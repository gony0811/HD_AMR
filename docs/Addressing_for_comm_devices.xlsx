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Workbook________"/>
  <mc:AlternateContent xmlns:mc="http://schemas.openxmlformats.org/markup-compatibility/2006">
    <mc:Choice Requires="x15">
      <x15ac:absPath xmlns:x15ac="http://schemas.microsoft.com/office/spreadsheetml/2010/11/ac" url="D:\9999. 개인\1. MBO\2023\하반기 MBO 업무들\하반기4_BSSRT 3rd Party 간 통신방법 간편 메뉴얼 작성(9월등록 완료 목표)_초안 검토 날림\프로그램\"/>
    </mc:Choice>
  </mc:AlternateContent>
  <xr:revisionPtr revIDLastSave="0" documentId="13_ncr:1_{67C35EA0-4D51-451F-8DD9-3D00684E53A1}" xr6:coauthVersionLast="47" xr6:coauthVersionMax="47" xr10:uidLastSave="{00000000-0000-0000-0000-000000000000}"/>
  <bookViews>
    <workbookView xWindow="-110" yWindow="-110" windowWidth="25820" windowHeight="15620" tabRatio="933" xr2:uid="{00000000-000D-0000-FFFF-FFFF00000000}"/>
  </bookViews>
  <sheets>
    <sheet name="XEL-BSSRx_Device mapping" sheetId="14" r:id="rId1"/>
    <sheet name="XGL-DBDx_Device mapping" sheetId="13" r:id="rId2"/>
    <sheet name="GEL-xxxx_Device mapping" sheetId="7" r:id="rId3"/>
    <sheet name="All data map" sheetId="8" state="hidden" r:id="rId4"/>
    <sheet name="ADDR" sheetId="11" state="hidden" r:id="rId5"/>
    <sheet name="Address mapping" sheetId="5" state="hidden" r:id="rId6"/>
    <sheet name="refresh size" sheetId="1" state="hidden" r:id="rId7"/>
    <sheet name="ref" sheetId="3" state="hidden" r:id="rId8"/>
    <sheet name="a.3 Special module data list" sheetId="4" state="hidden" r:id="rId9"/>
    <sheet name="slot" sheetId="10" state="hidden" r:id="rId10"/>
    <sheet name="Sample" sheetId="6" state="hidden" r:id="rId11"/>
  </sheets>
  <definedNames>
    <definedName name="_xlnm._FilterDatabase" localSheetId="4" hidden="1">ADDR!$E$2:$E$88</definedName>
    <definedName name="_xlnm._FilterDatabase" localSheetId="3" hidden="1">'All data map'!$C$1:$N$2062</definedName>
    <definedName name="Expansion_Driver">ref!$D$3:$D$50</definedName>
    <definedName name="Expansion_Smart_IO">ref!$E$3:$E$34</definedName>
    <definedName name="Smart_IO">ref!$F$3:$F$10</definedName>
    <definedName name="단독형_Smart_IO">ref!$F$3:$F$10</definedName>
    <definedName name="증설_드라이브">ref!$D$3:$D$50</definedName>
    <definedName name="증설형_Smart_IO">ref!$E$3:$E$34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7" l="1"/>
  <c r="S22" i="7"/>
  <c r="R22" i="7"/>
  <c r="Q22" i="7"/>
  <c r="T21" i="7"/>
  <c r="S21" i="7"/>
  <c r="R21" i="7"/>
  <c r="Q21" i="7"/>
  <c r="T20" i="7"/>
  <c r="S20" i="7"/>
  <c r="R20" i="7"/>
  <c r="Q20" i="7"/>
  <c r="T19" i="7"/>
  <c r="S19" i="7"/>
  <c r="R19" i="7"/>
  <c r="Q19" i="7"/>
  <c r="T18" i="7"/>
  <c r="S18" i="7"/>
  <c r="R18" i="7"/>
  <c r="Q18" i="7"/>
  <c r="T17" i="7"/>
  <c r="S17" i="7"/>
  <c r="R17" i="7"/>
  <c r="Q17" i="7"/>
  <c r="T16" i="7"/>
  <c r="S16" i="7"/>
  <c r="R16" i="7"/>
  <c r="Q16" i="7"/>
  <c r="T15" i="7"/>
  <c r="S15" i="7"/>
  <c r="R15" i="7"/>
  <c r="Q15" i="7"/>
  <c r="T14" i="7"/>
  <c r="S14" i="7"/>
  <c r="R14" i="7"/>
  <c r="Q14" i="7"/>
  <c r="T13" i="7"/>
  <c r="S13" i="7"/>
  <c r="R13" i="7"/>
  <c r="Q13" i="7"/>
  <c r="T12" i="7"/>
  <c r="S12" i="7"/>
  <c r="R12" i="7"/>
  <c r="Q12" i="7"/>
  <c r="T10" i="7"/>
  <c r="S10" i="7"/>
  <c r="R10" i="7"/>
  <c r="Q10" i="7"/>
  <c r="T15" i="13"/>
  <c r="S15" i="13"/>
  <c r="R15" i="13"/>
  <c r="Q15" i="13"/>
  <c r="T14" i="13"/>
  <c r="S14" i="13"/>
  <c r="R14" i="13"/>
  <c r="Q14" i="13"/>
  <c r="T13" i="13"/>
  <c r="S13" i="13"/>
  <c r="R13" i="13"/>
  <c r="Q13" i="13"/>
  <c r="T12" i="13"/>
  <c r="S12" i="13"/>
  <c r="R12" i="13"/>
  <c r="Q12" i="13"/>
  <c r="T11" i="13"/>
  <c r="S11" i="13"/>
  <c r="R11" i="13"/>
  <c r="Q11" i="13"/>
  <c r="T10" i="13"/>
  <c r="S10" i="13"/>
  <c r="R10" i="13"/>
  <c r="Q10" i="13"/>
  <c r="S11" i="14"/>
  <c r="S12" i="14"/>
  <c r="S13" i="14"/>
  <c r="S14" i="14"/>
  <c r="S15" i="14"/>
  <c r="S16" i="14"/>
  <c r="S17" i="14"/>
  <c r="S18" i="14"/>
  <c r="S19" i="14"/>
  <c r="S20" i="14"/>
  <c r="S21" i="14"/>
  <c r="S22" i="14"/>
  <c r="S10" i="14"/>
  <c r="Q12" i="14"/>
  <c r="Q13" i="14"/>
  <c r="Q14" i="14"/>
  <c r="Q15" i="14"/>
  <c r="Q16" i="14"/>
  <c r="Q17" i="14"/>
  <c r="Q18" i="14"/>
  <c r="Q19" i="14"/>
  <c r="Q20" i="14"/>
  <c r="Q21" i="14"/>
  <c r="Q22" i="14"/>
  <c r="Q11" i="14"/>
  <c r="Q10" i="14"/>
  <c r="G17" i="7"/>
  <c r="G16" i="7"/>
  <c r="G15" i="7"/>
  <c r="G14" i="7"/>
  <c r="G13" i="7"/>
  <c r="G12" i="7"/>
  <c r="O22" i="7"/>
  <c r="M22" i="7"/>
  <c r="J22" i="7"/>
  <c r="I22" i="7"/>
  <c r="H22" i="7"/>
  <c r="G22" i="7"/>
  <c r="F22" i="7"/>
  <c r="O21" i="7"/>
  <c r="M21" i="7"/>
  <c r="J21" i="7"/>
  <c r="I21" i="7"/>
  <c r="H21" i="7"/>
  <c r="G21" i="7"/>
  <c r="F21" i="7"/>
  <c r="O20" i="7"/>
  <c r="M20" i="7"/>
  <c r="J20" i="7"/>
  <c r="I20" i="7"/>
  <c r="H20" i="7"/>
  <c r="G20" i="7"/>
  <c r="F20" i="7"/>
  <c r="O19" i="7"/>
  <c r="M19" i="7"/>
  <c r="J19" i="7"/>
  <c r="I19" i="7"/>
  <c r="H19" i="7"/>
  <c r="G19" i="7"/>
  <c r="F19" i="7"/>
  <c r="O18" i="7"/>
  <c r="M18" i="7"/>
  <c r="J18" i="7"/>
  <c r="I18" i="7"/>
  <c r="H18" i="7"/>
  <c r="G18" i="7"/>
  <c r="F18" i="7"/>
  <c r="O17" i="7"/>
  <c r="M17" i="7"/>
  <c r="J17" i="7"/>
  <c r="I17" i="7"/>
  <c r="H17" i="7"/>
  <c r="F17" i="7"/>
  <c r="O16" i="7"/>
  <c r="M16" i="7"/>
  <c r="J16" i="7"/>
  <c r="I16" i="7"/>
  <c r="H16" i="7"/>
  <c r="F16" i="7"/>
  <c r="O15" i="7"/>
  <c r="M15" i="7"/>
  <c r="J15" i="7"/>
  <c r="I15" i="7"/>
  <c r="H15" i="7"/>
  <c r="F15" i="7"/>
  <c r="O14" i="7"/>
  <c r="M14" i="7"/>
  <c r="J14" i="7"/>
  <c r="I14" i="7"/>
  <c r="H14" i="7"/>
  <c r="F14" i="7"/>
  <c r="O13" i="7"/>
  <c r="M13" i="7"/>
  <c r="J13" i="7"/>
  <c r="I13" i="7"/>
  <c r="H13" i="7"/>
  <c r="F13" i="7"/>
  <c r="O12" i="7"/>
  <c r="M12" i="7"/>
  <c r="J12" i="7"/>
  <c r="I12" i="7"/>
  <c r="H12" i="7"/>
  <c r="F12" i="7"/>
  <c r="O11" i="7"/>
  <c r="M11" i="7"/>
  <c r="J11" i="7"/>
  <c r="I11" i="7"/>
  <c r="H11" i="7"/>
  <c r="X10" i="7"/>
  <c r="W10" i="7"/>
  <c r="V10" i="7"/>
  <c r="G10" i="7"/>
  <c r="L10" i="7" s="1"/>
  <c r="F10" i="7"/>
  <c r="K10" i="7" s="1"/>
  <c r="O22" i="13"/>
  <c r="M22" i="13"/>
  <c r="J22" i="13"/>
  <c r="I22" i="13"/>
  <c r="H22" i="13"/>
  <c r="O21" i="13"/>
  <c r="M21" i="13"/>
  <c r="J21" i="13"/>
  <c r="I21" i="13"/>
  <c r="H21" i="13"/>
  <c r="O20" i="13"/>
  <c r="M20" i="13"/>
  <c r="J20" i="13"/>
  <c r="I20" i="13"/>
  <c r="H20" i="13"/>
  <c r="O19" i="13"/>
  <c r="M19" i="13"/>
  <c r="J19" i="13"/>
  <c r="I19" i="13"/>
  <c r="H19" i="13"/>
  <c r="O18" i="13"/>
  <c r="M18" i="13"/>
  <c r="J18" i="13"/>
  <c r="I18" i="13"/>
  <c r="H18" i="13"/>
  <c r="O17" i="13"/>
  <c r="M17" i="13"/>
  <c r="J17" i="13"/>
  <c r="I17" i="13"/>
  <c r="H17" i="13"/>
  <c r="O16" i="13"/>
  <c r="M16" i="13"/>
  <c r="J16" i="13"/>
  <c r="I16" i="13"/>
  <c r="H16" i="13"/>
  <c r="O15" i="13"/>
  <c r="M15" i="13"/>
  <c r="J15" i="13"/>
  <c r="I15" i="13"/>
  <c r="H15" i="13"/>
  <c r="O14" i="13"/>
  <c r="M14" i="13"/>
  <c r="J14" i="13"/>
  <c r="I14" i="13"/>
  <c r="H14" i="13"/>
  <c r="O13" i="13"/>
  <c r="M13" i="13"/>
  <c r="J13" i="13"/>
  <c r="I13" i="13"/>
  <c r="H13" i="13"/>
  <c r="O12" i="13"/>
  <c r="M12" i="13"/>
  <c r="J12" i="13"/>
  <c r="I12" i="13"/>
  <c r="H12" i="13"/>
  <c r="O11" i="13"/>
  <c r="M11" i="13"/>
  <c r="J11" i="13"/>
  <c r="I11" i="13"/>
  <c r="H11" i="13"/>
  <c r="X10" i="13"/>
  <c r="W10" i="13"/>
  <c r="V10" i="13"/>
  <c r="G10" i="13"/>
  <c r="L10" i="13" s="1"/>
  <c r="F10" i="13"/>
  <c r="K10" i="13" s="1"/>
  <c r="X22" i="14"/>
  <c r="W22" i="14"/>
  <c r="V22" i="14"/>
  <c r="U22" i="14"/>
  <c r="T22" i="14"/>
  <c r="R22" i="14"/>
  <c r="X21" i="14"/>
  <c r="W21" i="14"/>
  <c r="V21" i="14"/>
  <c r="U21" i="14"/>
  <c r="T21" i="14"/>
  <c r="R21" i="14"/>
  <c r="X20" i="14"/>
  <c r="W20" i="14"/>
  <c r="V20" i="14"/>
  <c r="U20" i="14"/>
  <c r="T20" i="14"/>
  <c r="R20" i="14"/>
  <c r="X19" i="14"/>
  <c r="W19" i="14"/>
  <c r="V19" i="14"/>
  <c r="U19" i="14"/>
  <c r="T19" i="14"/>
  <c r="R19" i="14"/>
  <c r="X10" i="14"/>
  <c r="W10" i="14"/>
  <c r="V10" i="14"/>
  <c r="U10" i="14"/>
  <c r="T10" i="14"/>
  <c r="R10" i="14"/>
  <c r="P22" i="14"/>
  <c r="O22" i="14"/>
  <c r="N22" i="14"/>
  <c r="M22" i="14"/>
  <c r="P21" i="14"/>
  <c r="O21" i="14"/>
  <c r="N21" i="14"/>
  <c r="M21" i="14"/>
  <c r="P20" i="14"/>
  <c r="O20" i="14"/>
  <c r="N20" i="14"/>
  <c r="M20" i="14"/>
  <c r="P19" i="14"/>
  <c r="O19" i="14"/>
  <c r="N19" i="14"/>
  <c r="M19" i="14"/>
  <c r="O18" i="14"/>
  <c r="M18" i="14"/>
  <c r="O17" i="14"/>
  <c r="M17" i="14"/>
  <c r="O16" i="14"/>
  <c r="M16" i="14"/>
  <c r="O15" i="14"/>
  <c r="M15" i="14"/>
  <c r="O14" i="14"/>
  <c r="M14" i="14"/>
  <c r="O13" i="14"/>
  <c r="M13" i="14"/>
  <c r="O12" i="14"/>
  <c r="M12" i="14"/>
  <c r="O11" i="14"/>
  <c r="M11" i="14"/>
  <c r="J22" i="14"/>
  <c r="I22" i="14"/>
  <c r="H22" i="14"/>
  <c r="J21" i="14"/>
  <c r="I21" i="14"/>
  <c r="H21" i="14"/>
  <c r="J20" i="14"/>
  <c r="I20" i="14"/>
  <c r="H20" i="14"/>
  <c r="J19" i="14"/>
  <c r="I19" i="14"/>
  <c r="H19" i="14"/>
  <c r="J18" i="14"/>
  <c r="I18" i="14"/>
  <c r="H18" i="14"/>
  <c r="J17" i="14"/>
  <c r="I17" i="14"/>
  <c r="H17" i="14"/>
  <c r="J16" i="14"/>
  <c r="I16" i="14"/>
  <c r="H16" i="14"/>
  <c r="J15" i="14"/>
  <c r="I15" i="14"/>
  <c r="H15" i="14"/>
  <c r="J14" i="14"/>
  <c r="I14" i="14"/>
  <c r="H14" i="14"/>
  <c r="J13" i="14"/>
  <c r="I13" i="14"/>
  <c r="H13" i="14"/>
  <c r="J12" i="14"/>
  <c r="I12" i="14"/>
  <c r="H12" i="14"/>
  <c r="J11" i="14"/>
  <c r="I11" i="14"/>
  <c r="H11" i="14"/>
  <c r="G22" i="14"/>
  <c r="F22" i="14"/>
  <c r="G21" i="14"/>
  <c r="F21" i="14"/>
  <c r="G20" i="14"/>
  <c r="F20" i="14"/>
  <c r="G19" i="14"/>
  <c r="F19" i="14"/>
  <c r="G10" i="14"/>
  <c r="L10" i="14" s="1"/>
  <c r="F10" i="14"/>
  <c r="K10" i="14" s="1"/>
  <c r="U10" i="7" l="1"/>
  <c r="U10" i="13"/>
  <c r="G2087" i="8" l="1"/>
  <c r="G2095" i="8"/>
  <c r="G2094" i="8"/>
  <c r="G2093" i="8"/>
  <c r="G2092" i="8"/>
  <c r="G2091" i="8"/>
  <c r="G2090" i="8"/>
  <c r="G2089" i="8"/>
  <c r="G2088" i="8"/>
  <c r="E17" i="5"/>
  <c r="C17" i="5"/>
  <c r="E16" i="5"/>
  <c r="C16" i="5"/>
  <c r="E15" i="5"/>
  <c r="C15" i="5"/>
  <c r="E14" i="5"/>
  <c r="C14" i="5"/>
  <c r="E6" i="5"/>
  <c r="E5" i="5"/>
  <c r="D5" i="5"/>
  <c r="C5" i="5"/>
  <c r="B5" i="5"/>
  <c r="D17" i="5"/>
  <c r="B17" i="5"/>
  <c r="D16" i="5"/>
  <c r="B16" i="5"/>
  <c r="D15" i="5"/>
  <c r="B15" i="5"/>
  <c r="D14" i="5"/>
  <c r="B14" i="5"/>
  <c r="E13" i="5"/>
  <c r="C12" i="5"/>
  <c r="E11" i="5"/>
  <c r="D10" i="5"/>
  <c r="C10" i="5"/>
  <c r="E9" i="5"/>
  <c r="C7" i="5"/>
  <c r="I91" i="11"/>
  <c r="I90" i="11"/>
  <c r="L89" i="11"/>
  <c r="I89" i="11"/>
  <c r="I88" i="11"/>
  <c r="I87" i="11"/>
  <c r="I86" i="11"/>
  <c r="I85" i="11"/>
  <c r="I84" i="11"/>
  <c r="L83" i="11"/>
  <c r="I83" i="11"/>
  <c r="I82" i="11"/>
  <c r="L81" i="11"/>
  <c r="I81" i="11"/>
  <c r="I80" i="11"/>
  <c r="I79" i="11"/>
  <c r="I78" i="11"/>
  <c r="I77" i="11"/>
  <c r="I76" i="11"/>
  <c r="I75" i="11"/>
  <c r="I74" i="11"/>
  <c r="I73" i="11"/>
  <c r="I72" i="11"/>
  <c r="I71" i="11"/>
  <c r="I70" i="11"/>
  <c r="I69" i="11"/>
  <c r="I68" i="11"/>
  <c r="I67" i="11"/>
  <c r="I66" i="11"/>
  <c r="I65" i="11"/>
  <c r="I64" i="11"/>
  <c r="I63" i="11"/>
  <c r="I62" i="11"/>
  <c r="I61" i="11"/>
  <c r="I60" i="11"/>
  <c r="I59" i="11"/>
  <c r="I58" i="11"/>
  <c r="I57" i="11"/>
  <c r="I56" i="11"/>
  <c r="I55" i="11"/>
  <c r="I54" i="11"/>
  <c r="I53" i="11"/>
  <c r="I52" i="11"/>
  <c r="L51" i="11"/>
  <c r="I51" i="11"/>
  <c r="I50" i="11"/>
  <c r="L49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L12" i="11"/>
  <c r="I12" i="11"/>
  <c r="I11" i="11"/>
  <c r="I10" i="11"/>
  <c r="L9" i="11"/>
  <c r="I9" i="11"/>
  <c r="I8" i="11"/>
  <c r="I7" i="11"/>
  <c r="I6" i="11"/>
  <c r="I5" i="11"/>
  <c r="L4" i="11"/>
  <c r="I4" i="11"/>
  <c r="L3" i="11"/>
  <c r="I3" i="11"/>
  <c r="O2095" i="8"/>
  <c r="O2087" i="8"/>
  <c r="Q2087" i="8" s="1"/>
  <c r="T2087" i="8" s="1"/>
  <c r="N2087" i="8"/>
  <c r="K2087" i="8"/>
  <c r="O2075" i="8"/>
  <c r="G2075" i="8"/>
  <c r="G2074" i="8"/>
  <c r="G2073" i="8"/>
  <c r="G2072" i="8"/>
  <c r="G2071" i="8"/>
  <c r="G2070" i="8"/>
  <c r="G2069" i="8"/>
  <c r="G2068" i="8"/>
  <c r="G2067" i="8"/>
  <c r="G2066" i="8"/>
  <c r="G2065" i="8"/>
  <c r="G2064" i="8"/>
  <c r="O2063" i="8"/>
  <c r="Q2063" i="8" s="1"/>
  <c r="T2063" i="8" s="1"/>
  <c r="N2063" i="8"/>
  <c r="K2063" i="8"/>
  <c r="G2063" i="8"/>
  <c r="O2086" i="8"/>
  <c r="G2086" i="8"/>
  <c r="G2085" i="8"/>
  <c r="G2084" i="8"/>
  <c r="G2083" i="8"/>
  <c r="G2082" i="8"/>
  <c r="G2081" i="8"/>
  <c r="G2080" i="8"/>
  <c r="G2079" i="8"/>
  <c r="G2078" i="8"/>
  <c r="G2077" i="8"/>
  <c r="O2076" i="8"/>
  <c r="Q2076" i="8" s="1"/>
  <c r="T2076" i="8" s="1"/>
  <c r="N2076" i="8"/>
  <c r="K2076" i="8"/>
  <c r="G2076" i="8"/>
  <c r="O2062" i="8"/>
  <c r="O2061" i="8"/>
  <c r="O2060" i="8"/>
  <c r="O2059" i="8"/>
  <c r="O2058" i="8"/>
  <c r="O2057" i="8"/>
  <c r="O2056" i="8"/>
  <c r="O2055" i="8"/>
  <c r="O2054" i="8"/>
  <c r="O2053" i="8"/>
  <c r="O2052" i="8"/>
  <c r="O2051" i="8"/>
  <c r="O2050" i="8"/>
  <c r="O2049" i="8"/>
  <c r="L2049" i="8"/>
  <c r="K2049" i="8"/>
  <c r="O2048" i="8"/>
  <c r="L2048" i="8"/>
  <c r="K2048" i="8"/>
  <c r="O2047" i="8"/>
  <c r="L2047" i="8"/>
  <c r="K2047" i="8"/>
  <c r="O2046" i="8"/>
  <c r="L2046" i="8"/>
  <c r="K2046" i="8"/>
  <c r="O2045" i="8"/>
  <c r="L2045" i="8"/>
  <c r="K2045" i="8"/>
  <c r="O2044" i="8"/>
  <c r="L2044" i="8"/>
  <c r="K2044" i="8"/>
  <c r="O2043" i="8"/>
  <c r="L2043" i="8"/>
  <c r="K2043" i="8"/>
  <c r="O2042" i="8"/>
  <c r="L2042" i="8"/>
  <c r="K2042" i="8"/>
  <c r="O2041" i="8"/>
  <c r="Q2041" i="8" s="1"/>
  <c r="T2041" i="8" s="1"/>
  <c r="L2041" i="8"/>
  <c r="K2041" i="8"/>
  <c r="O2040" i="8"/>
  <c r="O2039" i="8"/>
  <c r="O2038" i="8"/>
  <c r="O2037" i="8"/>
  <c r="O2036" i="8"/>
  <c r="O2035" i="8"/>
  <c r="O2034" i="8"/>
  <c r="O2033" i="8"/>
  <c r="O2032" i="8"/>
  <c r="O2031" i="8"/>
  <c r="O2030" i="8"/>
  <c r="O2029" i="8"/>
  <c r="O2028" i="8"/>
  <c r="O2027" i="8"/>
  <c r="L2027" i="8"/>
  <c r="K2027" i="8"/>
  <c r="O2026" i="8"/>
  <c r="L2026" i="8"/>
  <c r="K2026" i="8"/>
  <c r="O2025" i="8"/>
  <c r="L2025" i="8"/>
  <c r="K2025" i="8"/>
  <c r="O2024" i="8"/>
  <c r="L2024" i="8"/>
  <c r="K2024" i="8"/>
  <c r="O2023" i="8"/>
  <c r="L2023" i="8"/>
  <c r="K2023" i="8"/>
  <c r="O2022" i="8"/>
  <c r="L2022" i="8"/>
  <c r="K2022" i="8"/>
  <c r="O2021" i="8"/>
  <c r="L2021" i="8"/>
  <c r="K2021" i="8"/>
  <c r="O2020" i="8"/>
  <c r="L2020" i="8"/>
  <c r="K2020" i="8"/>
  <c r="O2019" i="8"/>
  <c r="Q2019" i="8" s="1"/>
  <c r="T2019" i="8" s="1"/>
  <c r="L2019" i="8"/>
  <c r="K2019" i="8"/>
  <c r="O2018" i="8"/>
  <c r="O2017" i="8"/>
  <c r="L2017" i="8"/>
  <c r="K2017" i="8"/>
  <c r="O2016" i="8"/>
  <c r="L2016" i="8"/>
  <c r="K2016" i="8"/>
  <c r="O2015" i="8"/>
  <c r="L2015" i="8"/>
  <c r="K2015" i="8"/>
  <c r="O2014" i="8"/>
  <c r="L2014" i="8"/>
  <c r="K2014" i="8"/>
  <c r="O2013" i="8"/>
  <c r="L2013" i="8"/>
  <c r="K2013" i="8"/>
  <c r="O2012" i="8"/>
  <c r="L2012" i="8"/>
  <c r="K2012" i="8"/>
  <c r="O2011" i="8"/>
  <c r="L2011" i="8"/>
  <c r="K2011" i="8"/>
  <c r="O2010" i="8"/>
  <c r="L2010" i="8"/>
  <c r="K2010" i="8"/>
  <c r="O2009" i="8"/>
  <c r="L2009" i="8"/>
  <c r="K2009" i="8"/>
  <c r="O2008" i="8"/>
  <c r="L2008" i="8"/>
  <c r="K2008" i="8"/>
  <c r="O2007" i="8"/>
  <c r="L2007" i="8"/>
  <c r="K2007" i="8"/>
  <c r="O2006" i="8"/>
  <c r="L2006" i="8"/>
  <c r="K2006" i="8"/>
  <c r="O2005" i="8"/>
  <c r="L2005" i="8"/>
  <c r="K2005" i="8"/>
  <c r="O2004" i="8"/>
  <c r="L2004" i="8"/>
  <c r="K2004" i="8"/>
  <c r="O2003" i="8"/>
  <c r="L2003" i="8"/>
  <c r="K2003" i="8"/>
  <c r="O2002" i="8"/>
  <c r="L2002" i="8"/>
  <c r="K2002" i="8"/>
  <c r="O2001" i="8"/>
  <c r="L2001" i="8"/>
  <c r="K2001" i="8"/>
  <c r="O2000" i="8"/>
  <c r="L2000" i="8"/>
  <c r="K2000" i="8"/>
  <c r="O1999" i="8"/>
  <c r="L1999" i="8"/>
  <c r="K1999" i="8"/>
  <c r="O1998" i="8"/>
  <c r="L1998" i="8"/>
  <c r="K1998" i="8"/>
  <c r="O1997" i="8"/>
  <c r="L1997" i="8"/>
  <c r="K1997" i="8"/>
  <c r="O1996" i="8"/>
  <c r="L1996" i="8"/>
  <c r="K1996" i="8"/>
  <c r="O1995" i="8"/>
  <c r="L1995" i="8"/>
  <c r="K1995" i="8"/>
  <c r="O1994" i="8"/>
  <c r="L1994" i="8"/>
  <c r="K1994" i="8"/>
  <c r="O1993" i="8"/>
  <c r="L1993" i="8"/>
  <c r="K1993" i="8"/>
  <c r="O1992" i="8"/>
  <c r="L1992" i="8"/>
  <c r="K1992" i="8"/>
  <c r="O1991" i="8"/>
  <c r="L1991" i="8"/>
  <c r="K1991" i="8"/>
  <c r="O1990" i="8"/>
  <c r="L1990" i="8"/>
  <c r="K1990" i="8"/>
  <c r="O1989" i="8"/>
  <c r="L1989" i="8"/>
  <c r="K1989" i="8"/>
  <c r="O1988" i="8"/>
  <c r="L1988" i="8"/>
  <c r="K1988" i="8"/>
  <c r="O1987" i="8"/>
  <c r="L1987" i="8"/>
  <c r="K1987" i="8"/>
  <c r="O1986" i="8"/>
  <c r="L1986" i="8"/>
  <c r="K1986" i="8"/>
  <c r="O1985" i="8"/>
  <c r="L1985" i="8"/>
  <c r="K1985" i="8"/>
  <c r="O1984" i="8"/>
  <c r="L1984" i="8"/>
  <c r="K1984" i="8"/>
  <c r="O1983" i="8"/>
  <c r="L1983" i="8"/>
  <c r="K1983" i="8"/>
  <c r="O1982" i="8"/>
  <c r="L1982" i="8"/>
  <c r="K1982" i="8"/>
  <c r="O1981" i="8"/>
  <c r="L1981" i="8"/>
  <c r="K1981" i="8"/>
  <c r="O1980" i="8"/>
  <c r="L1980" i="8"/>
  <c r="K1980" i="8"/>
  <c r="O1979" i="8"/>
  <c r="L1979" i="8"/>
  <c r="K1979" i="8"/>
  <c r="O1978" i="8"/>
  <c r="L1978" i="8"/>
  <c r="K1978" i="8"/>
  <c r="O1977" i="8"/>
  <c r="L1977" i="8"/>
  <c r="K1977" i="8"/>
  <c r="O1976" i="8"/>
  <c r="Q1976" i="8" s="1"/>
  <c r="T1976" i="8" s="1"/>
  <c r="L1976" i="8"/>
  <c r="K1976" i="8"/>
  <c r="O1975" i="8"/>
  <c r="O1974" i="8"/>
  <c r="L1974" i="8"/>
  <c r="K1974" i="8"/>
  <c r="O1973" i="8"/>
  <c r="L1973" i="8"/>
  <c r="K1973" i="8"/>
  <c r="O1972" i="8"/>
  <c r="L1972" i="8"/>
  <c r="K1972" i="8"/>
  <c r="O1971" i="8"/>
  <c r="L1971" i="8"/>
  <c r="K1971" i="8"/>
  <c r="O1970" i="8"/>
  <c r="L1970" i="8"/>
  <c r="K1970" i="8"/>
  <c r="O1969" i="8"/>
  <c r="L1969" i="8"/>
  <c r="K1969" i="8"/>
  <c r="O1968" i="8"/>
  <c r="L1968" i="8"/>
  <c r="K1968" i="8"/>
  <c r="O1967" i="8"/>
  <c r="L1967" i="8"/>
  <c r="K1967" i="8"/>
  <c r="O1966" i="8"/>
  <c r="L1966" i="8"/>
  <c r="K1966" i="8"/>
  <c r="O1965" i="8"/>
  <c r="L1965" i="8"/>
  <c r="K1965" i="8"/>
  <c r="O1964" i="8"/>
  <c r="L1964" i="8"/>
  <c r="K1964" i="8"/>
  <c r="O1963" i="8"/>
  <c r="L1963" i="8"/>
  <c r="K1963" i="8"/>
  <c r="O1962" i="8"/>
  <c r="L1962" i="8"/>
  <c r="K1962" i="8"/>
  <c r="O1961" i="8"/>
  <c r="L1961" i="8"/>
  <c r="K1961" i="8"/>
  <c r="O1960" i="8"/>
  <c r="L1960" i="8"/>
  <c r="K1960" i="8"/>
  <c r="O1959" i="8"/>
  <c r="L1959" i="8"/>
  <c r="K1959" i="8"/>
  <c r="O1958" i="8"/>
  <c r="L1958" i="8"/>
  <c r="K1958" i="8"/>
  <c r="O1957" i="8"/>
  <c r="L1957" i="8"/>
  <c r="K1957" i="8"/>
  <c r="O1956" i="8"/>
  <c r="L1956" i="8"/>
  <c r="K1956" i="8"/>
  <c r="O1955" i="8"/>
  <c r="L1955" i="8"/>
  <c r="K1955" i="8"/>
  <c r="O1954" i="8"/>
  <c r="L1954" i="8"/>
  <c r="K1954" i="8"/>
  <c r="O1953" i="8"/>
  <c r="L1953" i="8"/>
  <c r="K1953" i="8"/>
  <c r="O1952" i="8"/>
  <c r="L1952" i="8"/>
  <c r="K1952" i="8"/>
  <c r="O1951" i="8"/>
  <c r="L1951" i="8"/>
  <c r="K1951" i="8"/>
  <c r="O1950" i="8"/>
  <c r="L1950" i="8"/>
  <c r="K1950" i="8"/>
  <c r="O1949" i="8"/>
  <c r="L1949" i="8"/>
  <c r="K1949" i="8"/>
  <c r="O1948" i="8"/>
  <c r="L1948" i="8"/>
  <c r="K1948" i="8"/>
  <c r="O1947" i="8"/>
  <c r="L1947" i="8"/>
  <c r="K1947" i="8"/>
  <c r="O1946" i="8"/>
  <c r="L1946" i="8"/>
  <c r="K1946" i="8"/>
  <c r="O1945" i="8"/>
  <c r="L1945" i="8"/>
  <c r="K1945" i="8"/>
  <c r="O1944" i="8"/>
  <c r="L1944" i="8"/>
  <c r="K1944" i="8"/>
  <c r="O1943" i="8"/>
  <c r="L1943" i="8"/>
  <c r="K1943" i="8"/>
  <c r="O1942" i="8"/>
  <c r="L1942" i="8"/>
  <c r="K1942" i="8"/>
  <c r="O1941" i="8"/>
  <c r="L1941" i="8"/>
  <c r="K1941" i="8"/>
  <c r="O1940" i="8"/>
  <c r="L1940" i="8"/>
  <c r="K1940" i="8"/>
  <c r="O1939" i="8"/>
  <c r="L1939" i="8"/>
  <c r="K1939" i="8"/>
  <c r="O1938" i="8"/>
  <c r="L1938" i="8"/>
  <c r="K1938" i="8"/>
  <c r="O1937" i="8"/>
  <c r="L1937" i="8"/>
  <c r="K1937" i="8"/>
  <c r="O1936" i="8"/>
  <c r="L1936" i="8"/>
  <c r="K1936" i="8"/>
  <c r="O1935" i="8"/>
  <c r="L1935" i="8"/>
  <c r="K1935" i="8"/>
  <c r="O1934" i="8"/>
  <c r="L1934" i="8"/>
  <c r="K1934" i="8"/>
  <c r="O1933" i="8"/>
  <c r="Q1933" i="8" s="1"/>
  <c r="T1933" i="8" s="1"/>
  <c r="L1933" i="8"/>
  <c r="K1933" i="8"/>
  <c r="O1932" i="8"/>
  <c r="O1931" i="8"/>
  <c r="Q1931" i="8" s="1"/>
  <c r="T1931" i="8" s="1"/>
  <c r="L1931" i="8"/>
  <c r="K1931" i="8"/>
  <c r="O1930" i="8"/>
  <c r="Q1930" i="8" s="1"/>
  <c r="T1930" i="8" s="1"/>
  <c r="L1930" i="8"/>
  <c r="O1929" i="8"/>
  <c r="Q1929" i="8" s="1"/>
  <c r="T1929" i="8" s="1"/>
  <c r="L1929" i="8"/>
  <c r="O1928" i="8"/>
  <c r="Q1928" i="8" s="1"/>
  <c r="T1928" i="8" s="1"/>
  <c r="L1928" i="8"/>
  <c r="K1928" i="8"/>
  <c r="O1927" i="8"/>
  <c r="O1926" i="8"/>
  <c r="O1925" i="8"/>
  <c r="O1924" i="8"/>
  <c r="O1923" i="8"/>
  <c r="O1922" i="8"/>
  <c r="O1921" i="8"/>
  <c r="O1920" i="8"/>
  <c r="O1919" i="8"/>
  <c r="O1918" i="8"/>
  <c r="O1917" i="8"/>
  <c r="O1916" i="8"/>
  <c r="O1915" i="8"/>
  <c r="O1914" i="8"/>
  <c r="O1913" i="8"/>
  <c r="O1912" i="8"/>
  <c r="O1911" i="8"/>
  <c r="O1910" i="8"/>
  <c r="O1909" i="8"/>
  <c r="O1908" i="8"/>
  <c r="O1907" i="8"/>
  <c r="O1906" i="8"/>
  <c r="O1905" i="8"/>
  <c r="O1904" i="8"/>
  <c r="O1903" i="8"/>
  <c r="L1903" i="8"/>
  <c r="K1903" i="8"/>
  <c r="O1902" i="8"/>
  <c r="L1902" i="8"/>
  <c r="K1902" i="8"/>
  <c r="O1901" i="8"/>
  <c r="L1901" i="8"/>
  <c r="K1901" i="8"/>
  <c r="O1900" i="8"/>
  <c r="L1900" i="8"/>
  <c r="K1900" i="8"/>
  <c r="O1899" i="8"/>
  <c r="L1899" i="8"/>
  <c r="K1899" i="8"/>
  <c r="O1898" i="8"/>
  <c r="L1898" i="8"/>
  <c r="K1898" i="8"/>
  <c r="O1897" i="8"/>
  <c r="L1897" i="8"/>
  <c r="K1897" i="8"/>
  <c r="O1896" i="8"/>
  <c r="L1896" i="8"/>
  <c r="K1896" i="8"/>
  <c r="O1895" i="8"/>
  <c r="L1895" i="8"/>
  <c r="K1895" i="8"/>
  <c r="O1894" i="8"/>
  <c r="L1894" i="8"/>
  <c r="K1894" i="8"/>
  <c r="O1893" i="8"/>
  <c r="L1893" i="8"/>
  <c r="K1893" i="8"/>
  <c r="O1892" i="8"/>
  <c r="L1892" i="8"/>
  <c r="K1892" i="8"/>
  <c r="O1891" i="8"/>
  <c r="L1891" i="8"/>
  <c r="K1891" i="8"/>
  <c r="O1890" i="8"/>
  <c r="L1890" i="8"/>
  <c r="K1890" i="8"/>
  <c r="O1889" i="8"/>
  <c r="L1889" i="8"/>
  <c r="K1889" i="8"/>
  <c r="O1888" i="8"/>
  <c r="L1888" i="8"/>
  <c r="K1888" i="8"/>
  <c r="O1887" i="8"/>
  <c r="L1887" i="8"/>
  <c r="K1887" i="8"/>
  <c r="O1886" i="8"/>
  <c r="L1886" i="8"/>
  <c r="K1886" i="8"/>
  <c r="O1885" i="8"/>
  <c r="L1885" i="8"/>
  <c r="K1885" i="8"/>
  <c r="O1884" i="8"/>
  <c r="L1884" i="8"/>
  <c r="K1884" i="8"/>
  <c r="O1883" i="8"/>
  <c r="L1883" i="8"/>
  <c r="K1883" i="8"/>
  <c r="O1882" i="8"/>
  <c r="L1882" i="8"/>
  <c r="K1882" i="8"/>
  <c r="O1881" i="8"/>
  <c r="L1881" i="8"/>
  <c r="K1881" i="8"/>
  <c r="O1880" i="8"/>
  <c r="L1880" i="8"/>
  <c r="K1880" i="8"/>
  <c r="O1879" i="8"/>
  <c r="L1879" i="8"/>
  <c r="K1879" i="8"/>
  <c r="O1878" i="8"/>
  <c r="L1878" i="8"/>
  <c r="K1878" i="8"/>
  <c r="O1877" i="8"/>
  <c r="L1877" i="8"/>
  <c r="K1877" i="8"/>
  <c r="O1876" i="8"/>
  <c r="L1876" i="8"/>
  <c r="K1876" i="8"/>
  <c r="O1875" i="8"/>
  <c r="L1875" i="8"/>
  <c r="K1875" i="8"/>
  <c r="O1874" i="8"/>
  <c r="L1874" i="8"/>
  <c r="K1874" i="8"/>
  <c r="O1873" i="8"/>
  <c r="L1873" i="8"/>
  <c r="K1873" i="8"/>
  <c r="O1872" i="8"/>
  <c r="L1872" i="8"/>
  <c r="K1872" i="8"/>
  <c r="O1871" i="8"/>
  <c r="L1871" i="8"/>
  <c r="K1871" i="8"/>
  <c r="O1870" i="8"/>
  <c r="L1870" i="8"/>
  <c r="K1870" i="8"/>
  <c r="O1869" i="8"/>
  <c r="L1869" i="8"/>
  <c r="K1869" i="8"/>
  <c r="O1868" i="8"/>
  <c r="L1868" i="8"/>
  <c r="K1868" i="8"/>
  <c r="O1867" i="8"/>
  <c r="Q1867" i="8" s="1"/>
  <c r="T1867" i="8" s="1"/>
  <c r="L1867" i="8"/>
  <c r="K1867" i="8"/>
  <c r="O1866" i="8"/>
  <c r="O1865" i="8"/>
  <c r="O1864" i="8"/>
  <c r="O1863" i="8"/>
  <c r="O1862" i="8"/>
  <c r="O1861" i="8"/>
  <c r="O1860" i="8"/>
  <c r="O1859" i="8"/>
  <c r="O1858" i="8"/>
  <c r="O1857" i="8"/>
  <c r="O1856" i="8"/>
  <c r="O1855" i="8"/>
  <c r="O1854" i="8"/>
  <c r="O1853" i="8"/>
  <c r="O1852" i="8"/>
  <c r="O1851" i="8"/>
  <c r="O1850" i="8"/>
  <c r="O1849" i="8"/>
  <c r="O1848" i="8"/>
  <c r="O1847" i="8"/>
  <c r="O1846" i="8"/>
  <c r="O1845" i="8"/>
  <c r="O1844" i="8"/>
  <c r="O1843" i="8"/>
  <c r="O1842" i="8"/>
  <c r="L1842" i="8"/>
  <c r="K1842" i="8"/>
  <c r="O1841" i="8"/>
  <c r="L1841" i="8"/>
  <c r="K1841" i="8"/>
  <c r="O1840" i="8"/>
  <c r="L1840" i="8"/>
  <c r="K1840" i="8"/>
  <c r="O1839" i="8"/>
  <c r="L1839" i="8"/>
  <c r="K1839" i="8"/>
  <c r="O1838" i="8"/>
  <c r="L1838" i="8"/>
  <c r="K1838" i="8"/>
  <c r="O1837" i="8"/>
  <c r="L1837" i="8"/>
  <c r="K1837" i="8"/>
  <c r="O1836" i="8"/>
  <c r="L1836" i="8"/>
  <c r="K1836" i="8"/>
  <c r="O1835" i="8"/>
  <c r="L1835" i="8"/>
  <c r="K1835" i="8"/>
  <c r="O1834" i="8"/>
  <c r="L1834" i="8"/>
  <c r="K1834" i="8"/>
  <c r="O1833" i="8"/>
  <c r="L1833" i="8"/>
  <c r="K1833" i="8"/>
  <c r="O1832" i="8"/>
  <c r="L1832" i="8"/>
  <c r="K1832" i="8"/>
  <c r="O1831" i="8"/>
  <c r="L1831" i="8"/>
  <c r="K1831" i="8"/>
  <c r="O1830" i="8"/>
  <c r="L1830" i="8"/>
  <c r="K1830" i="8"/>
  <c r="O1829" i="8"/>
  <c r="L1829" i="8"/>
  <c r="K1829" i="8"/>
  <c r="O1828" i="8"/>
  <c r="L1828" i="8"/>
  <c r="K1828" i="8"/>
  <c r="O1827" i="8"/>
  <c r="L1827" i="8"/>
  <c r="K1827" i="8"/>
  <c r="O1826" i="8"/>
  <c r="L1826" i="8"/>
  <c r="K1826" i="8"/>
  <c r="O1825" i="8"/>
  <c r="L1825" i="8"/>
  <c r="K1825" i="8"/>
  <c r="O1824" i="8"/>
  <c r="L1824" i="8"/>
  <c r="K1824" i="8"/>
  <c r="O1823" i="8"/>
  <c r="L1823" i="8"/>
  <c r="K1823" i="8"/>
  <c r="O1822" i="8"/>
  <c r="L1822" i="8"/>
  <c r="K1822" i="8"/>
  <c r="O1821" i="8"/>
  <c r="L1821" i="8"/>
  <c r="K1821" i="8"/>
  <c r="O1820" i="8"/>
  <c r="L1820" i="8"/>
  <c r="K1820" i="8"/>
  <c r="O1819" i="8"/>
  <c r="L1819" i="8"/>
  <c r="K1819" i="8"/>
  <c r="O1818" i="8"/>
  <c r="L1818" i="8"/>
  <c r="K1818" i="8"/>
  <c r="O1817" i="8"/>
  <c r="L1817" i="8"/>
  <c r="K1817" i="8"/>
  <c r="O1816" i="8"/>
  <c r="L1816" i="8"/>
  <c r="K1816" i="8"/>
  <c r="O1815" i="8"/>
  <c r="L1815" i="8"/>
  <c r="K1815" i="8"/>
  <c r="O1814" i="8"/>
  <c r="L1814" i="8"/>
  <c r="K1814" i="8"/>
  <c r="O1813" i="8"/>
  <c r="L1813" i="8"/>
  <c r="K1813" i="8"/>
  <c r="O1812" i="8"/>
  <c r="L1812" i="8"/>
  <c r="K1812" i="8"/>
  <c r="O1811" i="8"/>
  <c r="L1811" i="8"/>
  <c r="K1811" i="8"/>
  <c r="O1810" i="8"/>
  <c r="L1810" i="8"/>
  <c r="K1810" i="8"/>
  <c r="O1809" i="8"/>
  <c r="L1809" i="8"/>
  <c r="K1809" i="8"/>
  <c r="O1808" i="8"/>
  <c r="L1808" i="8"/>
  <c r="K1808" i="8"/>
  <c r="O1807" i="8"/>
  <c r="L1807" i="8"/>
  <c r="K1807" i="8"/>
  <c r="O1806" i="8"/>
  <c r="Q1806" i="8" s="1"/>
  <c r="T1806" i="8" s="1"/>
  <c r="L1806" i="8"/>
  <c r="K1806" i="8"/>
  <c r="O1805" i="8"/>
  <c r="O1804" i="8"/>
  <c r="O1803" i="8"/>
  <c r="O1802" i="8"/>
  <c r="O1801" i="8"/>
  <c r="O1800" i="8"/>
  <c r="O1799" i="8"/>
  <c r="O1798" i="8"/>
  <c r="O1797" i="8"/>
  <c r="O1796" i="8"/>
  <c r="O1795" i="8"/>
  <c r="O1794" i="8"/>
  <c r="O1793" i="8"/>
  <c r="O1792" i="8"/>
  <c r="O1791" i="8"/>
  <c r="O1790" i="8"/>
  <c r="O1789" i="8"/>
  <c r="O1788" i="8"/>
  <c r="O1787" i="8"/>
  <c r="O1786" i="8"/>
  <c r="O1785" i="8"/>
  <c r="O1784" i="8"/>
  <c r="O1783" i="8"/>
  <c r="O1782" i="8"/>
  <c r="O1781" i="8"/>
  <c r="O1780" i="8"/>
  <c r="O1779" i="8"/>
  <c r="L1779" i="8"/>
  <c r="K1779" i="8"/>
  <c r="O1778" i="8"/>
  <c r="L1778" i="8"/>
  <c r="K1778" i="8"/>
  <c r="O1777" i="8"/>
  <c r="L1777" i="8"/>
  <c r="K1777" i="8"/>
  <c r="O1776" i="8"/>
  <c r="L1776" i="8"/>
  <c r="K1776" i="8"/>
  <c r="O1775" i="8"/>
  <c r="L1775" i="8"/>
  <c r="K1775" i="8"/>
  <c r="O1774" i="8"/>
  <c r="L1774" i="8"/>
  <c r="K1774" i="8"/>
  <c r="O1773" i="8"/>
  <c r="L1773" i="8"/>
  <c r="K1773" i="8"/>
  <c r="O1772" i="8"/>
  <c r="L1772" i="8"/>
  <c r="K1772" i="8"/>
  <c r="O1771" i="8"/>
  <c r="L1771" i="8"/>
  <c r="K1771" i="8"/>
  <c r="O1770" i="8"/>
  <c r="L1770" i="8"/>
  <c r="K1770" i="8"/>
  <c r="O1769" i="8"/>
  <c r="L1769" i="8"/>
  <c r="K1769" i="8"/>
  <c r="O1768" i="8"/>
  <c r="L1768" i="8"/>
  <c r="K1768" i="8"/>
  <c r="O1767" i="8"/>
  <c r="L1767" i="8"/>
  <c r="K1767" i="8"/>
  <c r="O1766" i="8"/>
  <c r="L1766" i="8"/>
  <c r="K1766" i="8"/>
  <c r="O1765" i="8"/>
  <c r="L1765" i="8"/>
  <c r="K1765" i="8"/>
  <c r="O1764" i="8"/>
  <c r="L1764" i="8"/>
  <c r="K1764" i="8"/>
  <c r="O1763" i="8"/>
  <c r="L1763" i="8"/>
  <c r="K1763" i="8"/>
  <c r="O1762" i="8"/>
  <c r="L1762" i="8"/>
  <c r="K1762" i="8"/>
  <c r="O1761" i="8"/>
  <c r="L1761" i="8"/>
  <c r="K1761" i="8"/>
  <c r="O1760" i="8"/>
  <c r="L1760" i="8"/>
  <c r="K1760" i="8"/>
  <c r="O1759" i="8"/>
  <c r="L1759" i="8"/>
  <c r="K1759" i="8"/>
  <c r="O1758" i="8"/>
  <c r="L1758" i="8"/>
  <c r="K1758" i="8"/>
  <c r="O1757" i="8"/>
  <c r="L1757" i="8"/>
  <c r="K1757" i="8"/>
  <c r="O1756" i="8"/>
  <c r="L1756" i="8"/>
  <c r="K1756" i="8"/>
  <c r="O1755" i="8"/>
  <c r="L1755" i="8"/>
  <c r="K1755" i="8"/>
  <c r="O1754" i="8"/>
  <c r="L1754" i="8"/>
  <c r="K1754" i="8"/>
  <c r="O1753" i="8"/>
  <c r="L1753" i="8"/>
  <c r="K1753" i="8"/>
  <c r="O1752" i="8"/>
  <c r="L1752" i="8"/>
  <c r="K1752" i="8"/>
  <c r="O1751" i="8"/>
  <c r="L1751" i="8"/>
  <c r="K1751" i="8"/>
  <c r="O1750" i="8"/>
  <c r="L1750" i="8"/>
  <c r="K1750" i="8"/>
  <c r="O1749" i="8"/>
  <c r="L1749" i="8"/>
  <c r="K1749" i="8"/>
  <c r="O1748" i="8"/>
  <c r="L1748" i="8"/>
  <c r="K1748" i="8"/>
  <c r="O1747" i="8"/>
  <c r="L1747" i="8"/>
  <c r="K1747" i="8"/>
  <c r="O1746" i="8"/>
  <c r="L1746" i="8"/>
  <c r="K1746" i="8"/>
  <c r="O1745" i="8"/>
  <c r="L1745" i="8"/>
  <c r="K1745" i="8"/>
  <c r="O1744" i="8"/>
  <c r="L1744" i="8"/>
  <c r="K1744" i="8"/>
  <c r="O1743" i="8"/>
  <c r="L1743" i="8"/>
  <c r="K1743" i="8"/>
  <c r="O1742" i="8"/>
  <c r="L1742" i="8"/>
  <c r="K1742" i="8"/>
  <c r="O1741" i="8"/>
  <c r="L1741" i="8"/>
  <c r="K1741" i="8"/>
  <c r="O1740" i="8"/>
  <c r="L1740" i="8"/>
  <c r="K1740" i="8"/>
  <c r="O1739" i="8"/>
  <c r="L1739" i="8"/>
  <c r="K1739" i="8"/>
  <c r="O1738" i="8"/>
  <c r="L1738" i="8"/>
  <c r="K1738" i="8"/>
  <c r="O1737" i="8"/>
  <c r="L1737" i="8"/>
  <c r="K1737" i="8"/>
  <c r="O1736" i="8"/>
  <c r="L1736" i="8"/>
  <c r="K1736" i="8"/>
  <c r="O1735" i="8"/>
  <c r="L1735" i="8"/>
  <c r="K1735" i="8"/>
  <c r="O1734" i="8"/>
  <c r="L1734" i="8"/>
  <c r="K1734" i="8"/>
  <c r="O1733" i="8"/>
  <c r="L1733" i="8"/>
  <c r="K1733" i="8"/>
  <c r="O1732" i="8"/>
  <c r="L1732" i="8"/>
  <c r="K1732" i="8"/>
  <c r="O1731" i="8"/>
  <c r="L1731" i="8"/>
  <c r="K1731" i="8"/>
  <c r="O1730" i="8"/>
  <c r="L1730" i="8"/>
  <c r="K1730" i="8"/>
  <c r="O1729" i="8"/>
  <c r="L1729" i="8"/>
  <c r="K1729" i="8"/>
  <c r="O1728" i="8"/>
  <c r="L1728" i="8"/>
  <c r="K1728" i="8"/>
  <c r="O1727" i="8"/>
  <c r="L1727" i="8"/>
  <c r="K1727" i="8"/>
  <c r="O1726" i="8"/>
  <c r="L1726" i="8"/>
  <c r="K1726" i="8"/>
  <c r="O1725" i="8"/>
  <c r="L1725" i="8"/>
  <c r="K1725" i="8"/>
  <c r="O1724" i="8"/>
  <c r="L1724" i="8"/>
  <c r="K1724" i="8"/>
  <c r="O1723" i="8"/>
  <c r="L1723" i="8"/>
  <c r="K1723" i="8"/>
  <c r="O1722" i="8"/>
  <c r="L1722" i="8"/>
  <c r="K1722" i="8"/>
  <c r="O1721" i="8"/>
  <c r="L1721" i="8"/>
  <c r="K1721" i="8"/>
  <c r="O1720" i="8"/>
  <c r="L1720" i="8"/>
  <c r="K1720" i="8"/>
  <c r="O1719" i="8"/>
  <c r="L1719" i="8"/>
  <c r="K1719" i="8"/>
  <c r="O1718" i="8"/>
  <c r="L1718" i="8"/>
  <c r="K1718" i="8"/>
  <c r="O1717" i="8"/>
  <c r="L1717" i="8"/>
  <c r="K1717" i="8"/>
  <c r="O1716" i="8"/>
  <c r="L1716" i="8"/>
  <c r="K1716" i="8"/>
  <c r="O1715" i="8"/>
  <c r="L1715" i="8"/>
  <c r="K1715" i="8"/>
  <c r="O1714" i="8"/>
  <c r="L1714" i="8"/>
  <c r="K1714" i="8"/>
  <c r="O1713" i="8"/>
  <c r="L1713" i="8"/>
  <c r="K1713" i="8"/>
  <c r="O1712" i="8"/>
  <c r="L1712" i="8"/>
  <c r="K1712" i="8"/>
  <c r="O1711" i="8"/>
  <c r="L1711" i="8"/>
  <c r="K1711" i="8"/>
  <c r="O1710" i="8"/>
  <c r="L1710" i="8"/>
  <c r="K1710" i="8"/>
  <c r="O1709" i="8"/>
  <c r="L1709" i="8"/>
  <c r="K1709" i="8"/>
  <c r="O1708" i="8"/>
  <c r="L1708" i="8"/>
  <c r="K1708" i="8"/>
  <c r="O1707" i="8"/>
  <c r="L1707" i="8"/>
  <c r="K1707" i="8"/>
  <c r="O1706" i="8"/>
  <c r="L1706" i="8"/>
  <c r="K1706" i="8"/>
  <c r="O1705" i="8"/>
  <c r="L1705" i="8"/>
  <c r="K1705" i="8"/>
  <c r="O1704" i="8"/>
  <c r="L1704" i="8"/>
  <c r="K1704" i="8"/>
  <c r="O1703" i="8"/>
  <c r="L1703" i="8"/>
  <c r="K1703" i="8"/>
  <c r="O1702" i="8"/>
  <c r="L1702" i="8"/>
  <c r="K1702" i="8"/>
  <c r="O1701" i="8"/>
  <c r="L1701" i="8"/>
  <c r="K1701" i="8"/>
  <c r="O1700" i="8"/>
  <c r="L1700" i="8"/>
  <c r="K1700" i="8"/>
  <c r="O1699" i="8"/>
  <c r="L1699" i="8"/>
  <c r="K1699" i="8"/>
  <c r="O1698" i="8"/>
  <c r="L1698" i="8"/>
  <c r="K1698" i="8"/>
  <c r="O1697" i="8"/>
  <c r="Q1697" i="8" s="1"/>
  <c r="T1697" i="8" s="1"/>
  <c r="L1697" i="8"/>
  <c r="K1697" i="8"/>
  <c r="O1696" i="8"/>
  <c r="O1695" i="8"/>
  <c r="O1694" i="8"/>
  <c r="O1693" i="8"/>
  <c r="O1692" i="8"/>
  <c r="O1691" i="8"/>
  <c r="O1690" i="8"/>
  <c r="O1689" i="8"/>
  <c r="O1688" i="8"/>
  <c r="L1688" i="8"/>
  <c r="K1688" i="8"/>
  <c r="O1687" i="8"/>
  <c r="L1687" i="8"/>
  <c r="K1687" i="8"/>
  <c r="O1686" i="8"/>
  <c r="L1686" i="8"/>
  <c r="K1686" i="8"/>
  <c r="O1685" i="8"/>
  <c r="L1685" i="8"/>
  <c r="K1685" i="8"/>
  <c r="O1684" i="8"/>
  <c r="L1684" i="8"/>
  <c r="K1684" i="8"/>
  <c r="O1683" i="8"/>
  <c r="L1683" i="8"/>
  <c r="K1683" i="8"/>
  <c r="O1682" i="8"/>
  <c r="L1682" i="8"/>
  <c r="K1682" i="8"/>
  <c r="O1681" i="8"/>
  <c r="L1681" i="8"/>
  <c r="K1681" i="8"/>
  <c r="O1680" i="8"/>
  <c r="L1680" i="8"/>
  <c r="K1680" i="8"/>
  <c r="O1679" i="8"/>
  <c r="L1679" i="8"/>
  <c r="K1679" i="8"/>
  <c r="O1678" i="8"/>
  <c r="L1678" i="8"/>
  <c r="K1678" i="8"/>
  <c r="O1677" i="8"/>
  <c r="L1677" i="8"/>
  <c r="K1677" i="8"/>
  <c r="O1676" i="8"/>
  <c r="L1676" i="8"/>
  <c r="K1676" i="8"/>
  <c r="O1675" i="8"/>
  <c r="L1675" i="8"/>
  <c r="K1675" i="8"/>
  <c r="O1674" i="8"/>
  <c r="L1674" i="8"/>
  <c r="K1674" i="8"/>
  <c r="O1673" i="8"/>
  <c r="L1673" i="8"/>
  <c r="K1673" i="8"/>
  <c r="O1672" i="8"/>
  <c r="L1672" i="8"/>
  <c r="K1672" i="8"/>
  <c r="O1671" i="8"/>
  <c r="L1671" i="8"/>
  <c r="K1671" i="8"/>
  <c r="O1670" i="8"/>
  <c r="L1670" i="8"/>
  <c r="K1670" i="8"/>
  <c r="O1669" i="8"/>
  <c r="L1669" i="8"/>
  <c r="K1669" i="8"/>
  <c r="O1668" i="8"/>
  <c r="L1668" i="8"/>
  <c r="K1668" i="8"/>
  <c r="O1667" i="8"/>
  <c r="L1667" i="8"/>
  <c r="K1667" i="8"/>
  <c r="O1666" i="8"/>
  <c r="L1666" i="8"/>
  <c r="K1666" i="8"/>
  <c r="O1665" i="8"/>
  <c r="L1665" i="8"/>
  <c r="K1665" i="8"/>
  <c r="O1664" i="8"/>
  <c r="L1664" i="8"/>
  <c r="K1664" i="8"/>
  <c r="O1663" i="8"/>
  <c r="L1663" i="8"/>
  <c r="K1663" i="8"/>
  <c r="O1662" i="8"/>
  <c r="L1662" i="8"/>
  <c r="K1662" i="8"/>
  <c r="O1661" i="8"/>
  <c r="L1661" i="8"/>
  <c r="K1661" i="8"/>
  <c r="O1660" i="8"/>
  <c r="L1660" i="8"/>
  <c r="K1660" i="8"/>
  <c r="O1659" i="8"/>
  <c r="L1659" i="8"/>
  <c r="K1659" i="8"/>
  <c r="O1658" i="8"/>
  <c r="L1658" i="8"/>
  <c r="K1658" i="8"/>
  <c r="O1657" i="8"/>
  <c r="L1657" i="8"/>
  <c r="K1657" i="8"/>
  <c r="O1656" i="8"/>
  <c r="L1656" i="8"/>
  <c r="K1656" i="8"/>
  <c r="O1655" i="8"/>
  <c r="L1655" i="8"/>
  <c r="K1655" i="8"/>
  <c r="O1654" i="8"/>
  <c r="L1654" i="8"/>
  <c r="K1654" i="8"/>
  <c r="O1653" i="8"/>
  <c r="L1653" i="8"/>
  <c r="K1653" i="8"/>
  <c r="O1652" i="8"/>
  <c r="L1652" i="8"/>
  <c r="K1652" i="8"/>
  <c r="O1651" i="8"/>
  <c r="Q1651" i="8" s="1"/>
  <c r="T1651" i="8" s="1"/>
  <c r="L1651" i="8"/>
  <c r="K1651" i="8"/>
  <c r="O1650" i="8"/>
  <c r="O1649" i="8"/>
  <c r="O1648" i="8"/>
  <c r="O1647" i="8"/>
  <c r="O1646" i="8"/>
  <c r="O1645" i="8"/>
  <c r="O1644" i="8"/>
  <c r="O1643" i="8"/>
  <c r="O1642" i="8"/>
  <c r="L1642" i="8"/>
  <c r="K1642" i="8"/>
  <c r="O1641" i="8"/>
  <c r="L1641" i="8"/>
  <c r="K1641" i="8"/>
  <c r="O1640" i="8"/>
  <c r="L1640" i="8"/>
  <c r="K1640" i="8"/>
  <c r="O1639" i="8"/>
  <c r="L1639" i="8"/>
  <c r="K1639" i="8"/>
  <c r="O1638" i="8"/>
  <c r="L1638" i="8"/>
  <c r="K1638" i="8"/>
  <c r="O1637" i="8"/>
  <c r="L1637" i="8"/>
  <c r="K1637" i="8"/>
  <c r="O1636" i="8"/>
  <c r="L1636" i="8"/>
  <c r="K1636" i="8"/>
  <c r="O1635" i="8"/>
  <c r="L1635" i="8"/>
  <c r="K1635" i="8"/>
  <c r="O1634" i="8"/>
  <c r="L1634" i="8"/>
  <c r="K1634" i="8"/>
  <c r="O1633" i="8"/>
  <c r="L1633" i="8"/>
  <c r="K1633" i="8"/>
  <c r="O1632" i="8"/>
  <c r="L1632" i="8"/>
  <c r="K1632" i="8"/>
  <c r="O1631" i="8"/>
  <c r="L1631" i="8"/>
  <c r="K1631" i="8"/>
  <c r="O1630" i="8"/>
  <c r="L1630" i="8"/>
  <c r="K1630" i="8"/>
  <c r="O1629" i="8"/>
  <c r="L1629" i="8"/>
  <c r="K1629" i="8"/>
  <c r="O1628" i="8"/>
  <c r="L1628" i="8"/>
  <c r="K1628" i="8"/>
  <c r="O1627" i="8"/>
  <c r="L1627" i="8"/>
  <c r="K1627" i="8"/>
  <c r="O1626" i="8"/>
  <c r="L1626" i="8"/>
  <c r="K1626" i="8"/>
  <c r="O1625" i="8"/>
  <c r="L1625" i="8"/>
  <c r="K1625" i="8"/>
  <c r="O1624" i="8"/>
  <c r="L1624" i="8"/>
  <c r="K1624" i="8"/>
  <c r="O1623" i="8"/>
  <c r="L1623" i="8"/>
  <c r="K1623" i="8"/>
  <c r="O1622" i="8"/>
  <c r="L1622" i="8"/>
  <c r="K1622" i="8"/>
  <c r="O1621" i="8"/>
  <c r="L1621" i="8"/>
  <c r="K1621" i="8"/>
  <c r="O1620" i="8"/>
  <c r="L1620" i="8"/>
  <c r="K1620" i="8"/>
  <c r="O1619" i="8"/>
  <c r="L1619" i="8"/>
  <c r="K1619" i="8"/>
  <c r="O1618" i="8"/>
  <c r="L1618" i="8"/>
  <c r="K1618" i="8"/>
  <c r="O1617" i="8"/>
  <c r="L1617" i="8"/>
  <c r="K1617" i="8"/>
  <c r="O1616" i="8"/>
  <c r="L1616" i="8"/>
  <c r="K1616" i="8"/>
  <c r="O1615" i="8"/>
  <c r="L1615" i="8"/>
  <c r="K1615" i="8"/>
  <c r="O1614" i="8"/>
  <c r="L1614" i="8"/>
  <c r="K1614" i="8"/>
  <c r="O1613" i="8"/>
  <c r="L1613" i="8"/>
  <c r="K1613" i="8"/>
  <c r="O1612" i="8"/>
  <c r="L1612" i="8"/>
  <c r="K1612" i="8"/>
  <c r="O1611" i="8"/>
  <c r="L1611" i="8"/>
  <c r="K1611" i="8"/>
  <c r="O1610" i="8"/>
  <c r="L1610" i="8"/>
  <c r="K1610" i="8"/>
  <c r="O1609" i="8"/>
  <c r="L1609" i="8"/>
  <c r="K1609" i="8"/>
  <c r="O1608" i="8"/>
  <c r="L1608" i="8"/>
  <c r="K1608" i="8"/>
  <c r="O1607" i="8"/>
  <c r="L1607" i="8"/>
  <c r="K1607" i="8"/>
  <c r="O1606" i="8"/>
  <c r="L1606" i="8"/>
  <c r="K1606" i="8"/>
  <c r="O1605" i="8"/>
  <c r="Q1605" i="8" s="1"/>
  <c r="T1605" i="8" s="1"/>
  <c r="L1605" i="8"/>
  <c r="K1605" i="8"/>
  <c r="O1604" i="8"/>
  <c r="L1604" i="8"/>
  <c r="K1604" i="8"/>
  <c r="O1603" i="8"/>
  <c r="L1603" i="8"/>
  <c r="K1603" i="8"/>
  <c r="O1602" i="8"/>
  <c r="L1602" i="8"/>
  <c r="K1602" i="8"/>
  <c r="O1601" i="8"/>
  <c r="L1601" i="8"/>
  <c r="K1601" i="8"/>
  <c r="O1600" i="8"/>
  <c r="L1600" i="8"/>
  <c r="K1600" i="8"/>
  <c r="O1599" i="8"/>
  <c r="L1599" i="8"/>
  <c r="K1599" i="8"/>
  <c r="O1598" i="8"/>
  <c r="L1598" i="8"/>
  <c r="K1598" i="8"/>
  <c r="O1597" i="8"/>
  <c r="L1597" i="8"/>
  <c r="K1597" i="8"/>
  <c r="O1596" i="8"/>
  <c r="L1596" i="8"/>
  <c r="K1596" i="8"/>
  <c r="O1595" i="8"/>
  <c r="L1595" i="8"/>
  <c r="K1595" i="8"/>
  <c r="O1594" i="8"/>
  <c r="L1594" i="8"/>
  <c r="K1594" i="8"/>
  <c r="O1593" i="8"/>
  <c r="L1593" i="8"/>
  <c r="K1593" i="8"/>
  <c r="O1592" i="8"/>
  <c r="L1592" i="8"/>
  <c r="K1592" i="8"/>
  <c r="O1591" i="8"/>
  <c r="Q1591" i="8" s="1"/>
  <c r="T1591" i="8" s="1"/>
  <c r="L1591" i="8"/>
  <c r="K1591" i="8"/>
  <c r="O1590" i="8"/>
  <c r="L1590" i="8"/>
  <c r="K1590" i="8"/>
  <c r="O1589" i="8"/>
  <c r="L1589" i="8"/>
  <c r="K1589" i="8"/>
  <c r="O1588" i="8"/>
  <c r="L1588" i="8"/>
  <c r="K1588" i="8"/>
  <c r="O1587" i="8"/>
  <c r="L1587" i="8"/>
  <c r="K1587" i="8"/>
  <c r="O1586" i="8"/>
  <c r="L1586" i="8"/>
  <c r="K1586" i="8"/>
  <c r="O1585" i="8"/>
  <c r="L1585" i="8"/>
  <c r="K1585" i="8"/>
  <c r="O1584" i="8"/>
  <c r="L1584" i="8"/>
  <c r="K1584" i="8"/>
  <c r="O1583" i="8"/>
  <c r="L1583" i="8"/>
  <c r="K1583" i="8"/>
  <c r="O1582" i="8"/>
  <c r="L1582" i="8"/>
  <c r="K1582" i="8"/>
  <c r="O1581" i="8"/>
  <c r="L1581" i="8"/>
  <c r="K1581" i="8"/>
  <c r="O1580" i="8"/>
  <c r="L1580" i="8"/>
  <c r="K1580" i="8"/>
  <c r="O1579" i="8"/>
  <c r="L1579" i="8"/>
  <c r="K1579" i="8"/>
  <c r="O1578" i="8"/>
  <c r="L1578" i="8"/>
  <c r="K1578" i="8"/>
  <c r="O1577" i="8"/>
  <c r="L1577" i="8"/>
  <c r="K1577" i="8"/>
  <c r="O1576" i="8"/>
  <c r="L1576" i="8"/>
  <c r="K1576" i="8"/>
  <c r="O1575" i="8"/>
  <c r="L1575" i="8"/>
  <c r="K1575" i="8"/>
  <c r="O1574" i="8"/>
  <c r="L1574" i="8"/>
  <c r="K1574" i="8"/>
  <c r="O1573" i="8"/>
  <c r="L1573" i="8"/>
  <c r="K1573" i="8"/>
  <c r="O1572" i="8"/>
  <c r="L1572" i="8"/>
  <c r="K1572" i="8"/>
  <c r="O1571" i="8"/>
  <c r="Q1571" i="8" s="1"/>
  <c r="T1571" i="8" s="1"/>
  <c r="L1571" i="8"/>
  <c r="K1571" i="8"/>
  <c r="O1570" i="8"/>
  <c r="O1569" i="8"/>
  <c r="O1568" i="8"/>
  <c r="O1567" i="8"/>
  <c r="O1566" i="8"/>
  <c r="L1566" i="8"/>
  <c r="K1566" i="8"/>
  <c r="O1565" i="8"/>
  <c r="L1565" i="8"/>
  <c r="K1565" i="8"/>
  <c r="O1564" i="8"/>
  <c r="L1564" i="8"/>
  <c r="K1564" i="8"/>
  <c r="O1563" i="8"/>
  <c r="L1563" i="8"/>
  <c r="K1563" i="8"/>
  <c r="O1562" i="8"/>
  <c r="L1562" i="8"/>
  <c r="K1562" i="8"/>
  <c r="O1561" i="8"/>
  <c r="L1561" i="8"/>
  <c r="K1561" i="8"/>
  <c r="O1560" i="8"/>
  <c r="L1560" i="8"/>
  <c r="K1560" i="8"/>
  <c r="O1559" i="8"/>
  <c r="L1559" i="8"/>
  <c r="K1559" i="8"/>
  <c r="O1558" i="8"/>
  <c r="L1558" i="8"/>
  <c r="K1558" i="8"/>
  <c r="O1557" i="8"/>
  <c r="L1557" i="8"/>
  <c r="K1557" i="8"/>
  <c r="O1556" i="8"/>
  <c r="L1556" i="8"/>
  <c r="K1556" i="8"/>
  <c r="O1555" i="8"/>
  <c r="L1555" i="8"/>
  <c r="K1555" i="8"/>
  <c r="O1554" i="8"/>
  <c r="L1554" i="8"/>
  <c r="K1554" i="8"/>
  <c r="O1553" i="8"/>
  <c r="L1553" i="8"/>
  <c r="K1553" i="8"/>
  <c r="O1552" i="8"/>
  <c r="L1552" i="8"/>
  <c r="K1552" i="8"/>
  <c r="O1551" i="8"/>
  <c r="Q1551" i="8" s="1"/>
  <c r="T1551" i="8" s="1"/>
  <c r="L1551" i="8"/>
  <c r="K1551" i="8"/>
  <c r="O1550" i="8"/>
  <c r="O1549" i="8"/>
  <c r="O1548" i="8"/>
  <c r="O1547" i="8"/>
  <c r="O1546" i="8"/>
  <c r="O1545" i="8"/>
  <c r="O1544" i="8"/>
  <c r="O1543" i="8"/>
  <c r="O1542" i="8"/>
  <c r="L1542" i="8"/>
  <c r="K1542" i="8"/>
  <c r="O1541" i="8"/>
  <c r="L1541" i="8"/>
  <c r="K1541" i="8"/>
  <c r="O1540" i="8"/>
  <c r="L1540" i="8"/>
  <c r="K1540" i="8"/>
  <c r="O1539" i="8"/>
  <c r="L1539" i="8"/>
  <c r="K1539" i="8"/>
  <c r="O1538" i="8"/>
  <c r="L1538" i="8"/>
  <c r="K1538" i="8"/>
  <c r="O1537" i="8"/>
  <c r="L1537" i="8"/>
  <c r="K1537" i="8"/>
  <c r="O1536" i="8"/>
  <c r="L1536" i="8"/>
  <c r="K1536" i="8"/>
  <c r="O1535" i="8"/>
  <c r="L1535" i="8"/>
  <c r="K1535" i="8"/>
  <c r="O1534" i="8"/>
  <c r="L1534" i="8"/>
  <c r="K1534" i="8"/>
  <c r="O1533" i="8"/>
  <c r="L1533" i="8"/>
  <c r="K1533" i="8"/>
  <c r="O1532" i="8"/>
  <c r="L1532" i="8"/>
  <c r="K1532" i="8"/>
  <c r="O1531" i="8"/>
  <c r="L1531" i="8"/>
  <c r="K1531" i="8"/>
  <c r="O1530" i="8"/>
  <c r="L1530" i="8"/>
  <c r="K1530" i="8"/>
  <c r="O1529" i="8"/>
  <c r="L1529" i="8"/>
  <c r="K1529" i="8"/>
  <c r="O1528" i="8"/>
  <c r="L1528" i="8"/>
  <c r="K1528" i="8"/>
  <c r="O1527" i="8"/>
  <c r="L1527" i="8"/>
  <c r="K1527" i="8"/>
  <c r="O1526" i="8"/>
  <c r="Q1526" i="8" s="1"/>
  <c r="T1526" i="8" s="1"/>
  <c r="L1526" i="8"/>
  <c r="K1526" i="8"/>
  <c r="O1525" i="8"/>
  <c r="O1524" i="8"/>
  <c r="O1523" i="8"/>
  <c r="O1522" i="8"/>
  <c r="O1521" i="8"/>
  <c r="O1520" i="8"/>
  <c r="O1519" i="8"/>
  <c r="O1518" i="8"/>
  <c r="O1517" i="8"/>
  <c r="L1517" i="8"/>
  <c r="K1517" i="8"/>
  <c r="O1516" i="8"/>
  <c r="L1516" i="8"/>
  <c r="K1516" i="8"/>
  <c r="O1515" i="8"/>
  <c r="L1515" i="8"/>
  <c r="K1515" i="8"/>
  <c r="O1514" i="8"/>
  <c r="L1514" i="8"/>
  <c r="K1514" i="8"/>
  <c r="O1513" i="8"/>
  <c r="L1513" i="8"/>
  <c r="K1513" i="8"/>
  <c r="O1512" i="8"/>
  <c r="L1512" i="8"/>
  <c r="K1512" i="8"/>
  <c r="O1511" i="8"/>
  <c r="L1511" i="8"/>
  <c r="K1511" i="8"/>
  <c r="O1510" i="8"/>
  <c r="L1510" i="8"/>
  <c r="K1510" i="8"/>
  <c r="O1509" i="8"/>
  <c r="L1509" i="8"/>
  <c r="K1509" i="8"/>
  <c r="O1508" i="8"/>
  <c r="L1508" i="8"/>
  <c r="K1508" i="8"/>
  <c r="O1507" i="8"/>
  <c r="L1507" i="8"/>
  <c r="K1507" i="8"/>
  <c r="O1506" i="8"/>
  <c r="L1506" i="8"/>
  <c r="K1506" i="8"/>
  <c r="O1505" i="8"/>
  <c r="Q1505" i="8" s="1"/>
  <c r="T1505" i="8" s="1"/>
  <c r="L1505" i="8"/>
  <c r="K1505" i="8"/>
  <c r="O1504" i="8"/>
  <c r="O1503" i="8"/>
  <c r="O1502" i="8"/>
  <c r="O1501" i="8"/>
  <c r="O1500" i="8"/>
  <c r="O1499" i="8"/>
  <c r="O1498" i="8"/>
  <c r="O1497" i="8"/>
  <c r="O1496" i="8"/>
  <c r="L1496" i="8"/>
  <c r="K1496" i="8"/>
  <c r="O1495" i="8"/>
  <c r="L1495" i="8"/>
  <c r="K1495" i="8"/>
  <c r="O1494" i="8"/>
  <c r="L1494" i="8"/>
  <c r="K1494" i="8"/>
  <c r="O1493" i="8"/>
  <c r="L1493" i="8"/>
  <c r="K1493" i="8"/>
  <c r="O1492" i="8"/>
  <c r="L1492" i="8"/>
  <c r="K1492" i="8"/>
  <c r="O1491" i="8"/>
  <c r="L1491" i="8"/>
  <c r="K1491" i="8"/>
  <c r="O1490" i="8"/>
  <c r="L1490" i="8"/>
  <c r="K1490" i="8"/>
  <c r="O1489" i="8"/>
  <c r="L1489" i="8"/>
  <c r="K1489" i="8"/>
  <c r="O1488" i="8"/>
  <c r="Q1488" i="8" s="1"/>
  <c r="T1488" i="8" s="1"/>
  <c r="L1488" i="8"/>
  <c r="K1488" i="8"/>
  <c r="O1487" i="8"/>
  <c r="O1486" i="8"/>
  <c r="O1485" i="8"/>
  <c r="O1484" i="8"/>
  <c r="O1483" i="8"/>
  <c r="O1482" i="8"/>
  <c r="O1481" i="8"/>
  <c r="O1480" i="8"/>
  <c r="O1479" i="8"/>
  <c r="L1479" i="8"/>
  <c r="K1479" i="8"/>
  <c r="O1478" i="8"/>
  <c r="L1478" i="8"/>
  <c r="K1478" i="8"/>
  <c r="O1477" i="8"/>
  <c r="L1477" i="8"/>
  <c r="K1477" i="8"/>
  <c r="O1476" i="8"/>
  <c r="L1476" i="8"/>
  <c r="K1476" i="8"/>
  <c r="O1475" i="8"/>
  <c r="L1475" i="8"/>
  <c r="K1475" i="8"/>
  <c r="O1474" i="8"/>
  <c r="L1474" i="8"/>
  <c r="K1474" i="8"/>
  <c r="O1473" i="8"/>
  <c r="L1473" i="8"/>
  <c r="K1473" i="8"/>
  <c r="O1472" i="8"/>
  <c r="L1472" i="8"/>
  <c r="K1472" i="8"/>
  <c r="O1471" i="8"/>
  <c r="Q1471" i="8" s="1"/>
  <c r="T1471" i="8" s="1"/>
  <c r="L1471" i="8"/>
  <c r="K1471" i="8"/>
  <c r="O1470" i="8"/>
  <c r="O1469" i="8"/>
  <c r="O1468" i="8"/>
  <c r="O1467" i="8"/>
  <c r="O1466" i="8"/>
  <c r="O1465" i="8"/>
  <c r="O1464" i="8"/>
  <c r="O1463" i="8"/>
  <c r="O1462" i="8"/>
  <c r="L1462" i="8"/>
  <c r="K1462" i="8"/>
  <c r="O1461" i="8"/>
  <c r="L1461" i="8"/>
  <c r="K1461" i="8"/>
  <c r="O1460" i="8"/>
  <c r="L1460" i="8"/>
  <c r="K1460" i="8"/>
  <c r="O1459" i="8"/>
  <c r="L1459" i="8"/>
  <c r="K1459" i="8"/>
  <c r="O1458" i="8"/>
  <c r="L1458" i="8"/>
  <c r="K1458" i="8"/>
  <c r="O1457" i="8"/>
  <c r="L1457" i="8"/>
  <c r="K1457" i="8"/>
  <c r="O1456" i="8"/>
  <c r="L1456" i="8"/>
  <c r="K1456" i="8"/>
  <c r="O1455" i="8"/>
  <c r="L1455" i="8"/>
  <c r="K1455" i="8"/>
  <c r="O1454" i="8"/>
  <c r="Q1454" i="8" s="1"/>
  <c r="T1454" i="8" s="1"/>
  <c r="L1454" i="8"/>
  <c r="K1454" i="8"/>
  <c r="O1453" i="8"/>
  <c r="O1452" i="8"/>
  <c r="L1452" i="8"/>
  <c r="K1452" i="8"/>
  <c r="O1451" i="8"/>
  <c r="L1451" i="8"/>
  <c r="K1451" i="8"/>
  <c r="O1450" i="8"/>
  <c r="L1450" i="8"/>
  <c r="K1450" i="8"/>
  <c r="O1449" i="8"/>
  <c r="L1449" i="8"/>
  <c r="K1449" i="8"/>
  <c r="O1448" i="8"/>
  <c r="L1448" i="8"/>
  <c r="K1448" i="8"/>
  <c r="O1447" i="8"/>
  <c r="L1447" i="8"/>
  <c r="K1447" i="8"/>
  <c r="O1446" i="8"/>
  <c r="L1446" i="8"/>
  <c r="K1446" i="8"/>
  <c r="O1445" i="8"/>
  <c r="L1445" i="8"/>
  <c r="K1445" i="8"/>
  <c r="O1444" i="8"/>
  <c r="L1444" i="8"/>
  <c r="K1444" i="8"/>
  <c r="O1443" i="8"/>
  <c r="L1443" i="8"/>
  <c r="K1443" i="8"/>
  <c r="O1442" i="8"/>
  <c r="L1442" i="8"/>
  <c r="K1442" i="8"/>
  <c r="O1441" i="8"/>
  <c r="L1441" i="8"/>
  <c r="K1441" i="8"/>
  <c r="O1440" i="8"/>
  <c r="L1440" i="8"/>
  <c r="K1440" i="8"/>
  <c r="O1439" i="8"/>
  <c r="L1439" i="8"/>
  <c r="K1439" i="8"/>
  <c r="O1438" i="8"/>
  <c r="L1438" i="8"/>
  <c r="K1438" i="8"/>
  <c r="O1437" i="8"/>
  <c r="L1437" i="8"/>
  <c r="K1437" i="8"/>
  <c r="O1436" i="8"/>
  <c r="L1436" i="8"/>
  <c r="K1436" i="8"/>
  <c r="O1435" i="8"/>
  <c r="L1435" i="8"/>
  <c r="K1435" i="8"/>
  <c r="O1434" i="8"/>
  <c r="L1434" i="8"/>
  <c r="K1434" i="8"/>
  <c r="O1433" i="8"/>
  <c r="L1433" i="8"/>
  <c r="K1433" i="8"/>
  <c r="O1432" i="8"/>
  <c r="L1432" i="8"/>
  <c r="K1432" i="8"/>
  <c r="O1431" i="8"/>
  <c r="L1431" i="8"/>
  <c r="K1431" i="8"/>
  <c r="O1430" i="8"/>
  <c r="L1430" i="8"/>
  <c r="K1430" i="8"/>
  <c r="O1429" i="8"/>
  <c r="L1429" i="8"/>
  <c r="K1429" i="8"/>
  <c r="O1428" i="8"/>
  <c r="L1428" i="8"/>
  <c r="K1428" i="8"/>
  <c r="O1427" i="8"/>
  <c r="L1427" i="8"/>
  <c r="K1427" i="8"/>
  <c r="O1426" i="8"/>
  <c r="L1426" i="8"/>
  <c r="K1426" i="8"/>
  <c r="O1425" i="8"/>
  <c r="L1425" i="8"/>
  <c r="K1425" i="8"/>
  <c r="O1424" i="8"/>
  <c r="L1424" i="8"/>
  <c r="K1424" i="8"/>
  <c r="O1423" i="8"/>
  <c r="Q1423" i="8" s="1"/>
  <c r="T1423" i="8" s="1"/>
  <c r="L1423" i="8"/>
  <c r="K1423" i="8"/>
  <c r="O1422" i="8"/>
  <c r="O1421" i="8"/>
  <c r="L1421" i="8"/>
  <c r="K1421" i="8"/>
  <c r="O1420" i="8"/>
  <c r="L1420" i="8"/>
  <c r="K1420" i="8"/>
  <c r="O1419" i="8"/>
  <c r="L1419" i="8"/>
  <c r="K1419" i="8"/>
  <c r="O1418" i="8"/>
  <c r="L1418" i="8"/>
  <c r="K1418" i="8"/>
  <c r="O1417" i="8"/>
  <c r="L1417" i="8"/>
  <c r="K1417" i="8"/>
  <c r="O1416" i="8"/>
  <c r="L1416" i="8"/>
  <c r="K1416" i="8"/>
  <c r="O1415" i="8"/>
  <c r="L1415" i="8"/>
  <c r="K1415" i="8"/>
  <c r="O1414" i="8"/>
  <c r="L1414" i="8"/>
  <c r="K1414" i="8"/>
  <c r="O1413" i="8"/>
  <c r="L1413" i="8"/>
  <c r="K1413" i="8"/>
  <c r="O1412" i="8"/>
  <c r="L1412" i="8"/>
  <c r="K1412" i="8"/>
  <c r="O1411" i="8"/>
  <c r="L1411" i="8"/>
  <c r="K1411" i="8"/>
  <c r="O1410" i="8"/>
  <c r="L1410" i="8"/>
  <c r="K1410" i="8"/>
  <c r="O1409" i="8"/>
  <c r="L1409" i="8"/>
  <c r="K1409" i="8"/>
  <c r="O1408" i="8"/>
  <c r="L1408" i="8"/>
  <c r="K1408" i="8"/>
  <c r="O1407" i="8"/>
  <c r="L1407" i="8"/>
  <c r="K1407" i="8"/>
  <c r="O1406" i="8"/>
  <c r="L1406" i="8"/>
  <c r="K1406" i="8"/>
  <c r="O1405" i="8"/>
  <c r="L1405" i="8"/>
  <c r="K1405" i="8"/>
  <c r="O1404" i="8"/>
  <c r="L1404" i="8"/>
  <c r="K1404" i="8"/>
  <c r="O1403" i="8"/>
  <c r="L1403" i="8"/>
  <c r="K1403" i="8"/>
  <c r="O1402" i="8"/>
  <c r="L1402" i="8"/>
  <c r="K1402" i="8"/>
  <c r="O1401" i="8"/>
  <c r="L1401" i="8"/>
  <c r="K1401" i="8"/>
  <c r="O1400" i="8"/>
  <c r="L1400" i="8"/>
  <c r="K1400" i="8"/>
  <c r="O1399" i="8"/>
  <c r="L1399" i="8"/>
  <c r="K1399" i="8"/>
  <c r="O1398" i="8"/>
  <c r="L1398" i="8"/>
  <c r="K1398" i="8"/>
  <c r="O1397" i="8"/>
  <c r="L1397" i="8"/>
  <c r="K1397" i="8"/>
  <c r="O1396" i="8"/>
  <c r="L1396" i="8"/>
  <c r="K1396" i="8"/>
  <c r="O1395" i="8"/>
  <c r="L1395" i="8"/>
  <c r="K1395" i="8"/>
  <c r="O1394" i="8"/>
  <c r="L1394" i="8"/>
  <c r="K1394" i="8"/>
  <c r="O1393" i="8"/>
  <c r="L1393" i="8"/>
  <c r="K1393" i="8"/>
  <c r="O1392" i="8"/>
  <c r="L1392" i="8"/>
  <c r="K1392" i="8"/>
  <c r="O1391" i="8"/>
  <c r="L1391" i="8"/>
  <c r="K1391" i="8"/>
  <c r="O1390" i="8"/>
  <c r="L1390" i="8"/>
  <c r="K1390" i="8"/>
  <c r="O1389" i="8"/>
  <c r="L1389" i="8"/>
  <c r="K1389" i="8"/>
  <c r="O1388" i="8"/>
  <c r="Q1388" i="8" s="1"/>
  <c r="T1388" i="8" s="1"/>
  <c r="L1388" i="8"/>
  <c r="K1388" i="8"/>
  <c r="O1387" i="8"/>
  <c r="O1386" i="8"/>
  <c r="L1386" i="8"/>
  <c r="K1386" i="8"/>
  <c r="O1385" i="8"/>
  <c r="L1385" i="8"/>
  <c r="K1385" i="8"/>
  <c r="O1384" i="8"/>
  <c r="L1384" i="8"/>
  <c r="K1384" i="8"/>
  <c r="O1383" i="8"/>
  <c r="L1383" i="8"/>
  <c r="K1383" i="8"/>
  <c r="O1382" i="8"/>
  <c r="L1382" i="8"/>
  <c r="K1382" i="8"/>
  <c r="O1381" i="8"/>
  <c r="L1381" i="8"/>
  <c r="K1381" i="8"/>
  <c r="O1380" i="8"/>
  <c r="L1380" i="8"/>
  <c r="K1380" i="8"/>
  <c r="O1379" i="8"/>
  <c r="L1379" i="8"/>
  <c r="K1379" i="8"/>
  <c r="O1378" i="8"/>
  <c r="L1378" i="8"/>
  <c r="K1378" i="8"/>
  <c r="O1377" i="8"/>
  <c r="Q1377" i="8" s="1"/>
  <c r="T1377" i="8" s="1"/>
  <c r="L1377" i="8"/>
  <c r="K1377" i="8"/>
  <c r="O1376" i="8"/>
  <c r="O1375" i="8"/>
  <c r="Q1375" i="8" s="1"/>
  <c r="T1375" i="8" s="1"/>
  <c r="L1375" i="8"/>
  <c r="K1375" i="8"/>
  <c r="O1374" i="8"/>
  <c r="O1373" i="8"/>
  <c r="Q1373" i="8" s="1"/>
  <c r="T1373" i="8" s="1"/>
  <c r="L1373" i="8"/>
  <c r="K1373" i="8"/>
  <c r="O1372" i="8"/>
  <c r="Q1372" i="8" s="1"/>
  <c r="T1372" i="8" s="1"/>
  <c r="L1372" i="8"/>
  <c r="O1371" i="8"/>
  <c r="Q1371" i="8" s="1"/>
  <c r="T1371" i="8" s="1"/>
  <c r="L1371" i="8"/>
  <c r="O1370" i="8"/>
  <c r="Q1370" i="8" s="1"/>
  <c r="T1370" i="8" s="1"/>
  <c r="L1370" i="8"/>
  <c r="O1369" i="8"/>
  <c r="Q1369" i="8" s="1"/>
  <c r="T1369" i="8" s="1"/>
  <c r="L1369" i="8"/>
  <c r="O1368" i="8"/>
  <c r="Q1368" i="8" s="1"/>
  <c r="T1368" i="8" s="1"/>
  <c r="L1368" i="8"/>
  <c r="O1367" i="8"/>
  <c r="Q1367" i="8" s="1"/>
  <c r="T1367" i="8" s="1"/>
  <c r="L1367" i="8"/>
  <c r="O1366" i="8"/>
  <c r="Q1366" i="8" s="1"/>
  <c r="T1366" i="8" s="1"/>
  <c r="L1366" i="8"/>
  <c r="O1365" i="8"/>
  <c r="Q1365" i="8" s="1"/>
  <c r="T1365" i="8" s="1"/>
  <c r="L1365" i="8"/>
  <c r="O1364" i="8"/>
  <c r="Q1364" i="8" s="1"/>
  <c r="T1364" i="8" s="1"/>
  <c r="L1364" i="8"/>
  <c r="O1363" i="8"/>
  <c r="Q1363" i="8" s="1"/>
  <c r="T1363" i="8" s="1"/>
  <c r="L1363" i="8"/>
  <c r="K1363" i="8"/>
  <c r="O1362" i="8"/>
  <c r="Q1362" i="8" s="1"/>
  <c r="T1362" i="8" s="1"/>
  <c r="L1362" i="8"/>
  <c r="K1362" i="8"/>
  <c r="O1361" i="8"/>
  <c r="Q1361" i="8" s="1"/>
  <c r="T1361" i="8" s="1"/>
  <c r="L1361" i="8"/>
  <c r="K1361" i="8"/>
  <c r="O1360" i="8"/>
  <c r="Q1360" i="8" s="1"/>
  <c r="T1360" i="8" s="1"/>
  <c r="L1360" i="8"/>
  <c r="K1360" i="8"/>
  <c r="O1359" i="8"/>
  <c r="Q1359" i="8" s="1"/>
  <c r="T1359" i="8" s="1"/>
  <c r="L1359" i="8"/>
  <c r="K1359" i="8"/>
  <c r="O1358" i="8"/>
  <c r="Q1358" i="8" s="1"/>
  <c r="T1358" i="8" s="1"/>
  <c r="O1357" i="8"/>
  <c r="O1356" i="8"/>
  <c r="O1355" i="8"/>
  <c r="O1354" i="8"/>
  <c r="O1353" i="8"/>
  <c r="O1352" i="8"/>
  <c r="O1351" i="8"/>
  <c r="O1350" i="8"/>
  <c r="O1349" i="8"/>
  <c r="O1348" i="8"/>
  <c r="O1347" i="8"/>
  <c r="O1346" i="8"/>
  <c r="O1345" i="8"/>
  <c r="O1344" i="8"/>
  <c r="O1343" i="8"/>
  <c r="O1342" i="8"/>
  <c r="O1341" i="8"/>
  <c r="O1340" i="8"/>
  <c r="O1339" i="8"/>
  <c r="O1338" i="8"/>
  <c r="O1337" i="8"/>
  <c r="O1336" i="8"/>
  <c r="O1335" i="8"/>
  <c r="O1334" i="8"/>
  <c r="O1333" i="8"/>
  <c r="O1332" i="8"/>
  <c r="L1332" i="8"/>
  <c r="K1332" i="8"/>
  <c r="O1331" i="8"/>
  <c r="L1331" i="8"/>
  <c r="K1331" i="8"/>
  <c r="O1330" i="8"/>
  <c r="L1330" i="8"/>
  <c r="K1330" i="8"/>
  <c r="O1329" i="8"/>
  <c r="L1329" i="8"/>
  <c r="K1329" i="8"/>
  <c r="O1328" i="8"/>
  <c r="L1328" i="8"/>
  <c r="K1328" i="8"/>
  <c r="O1327" i="8"/>
  <c r="L1327" i="8"/>
  <c r="K1327" i="8"/>
  <c r="O1326" i="8"/>
  <c r="L1326" i="8"/>
  <c r="K1326" i="8"/>
  <c r="O1325" i="8"/>
  <c r="L1325" i="8"/>
  <c r="K1325" i="8"/>
  <c r="O1324" i="8"/>
  <c r="L1324" i="8"/>
  <c r="K1324" i="8"/>
  <c r="O1323" i="8"/>
  <c r="L1323" i="8"/>
  <c r="K1323" i="8"/>
  <c r="O1322" i="8"/>
  <c r="L1322" i="8"/>
  <c r="K1322" i="8"/>
  <c r="O1321" i="8"/>
  <c r="L1321" i="8"/>
  <c r="K1321" i="8"/>
  <c r="O1320" i="8"/>
  <c r="L1320" i="8"/>
  <c r="K1320" i="8"/>
  <c r="O1319" i="8"/>
  <c r="L1319" i="8"/>
  <c r="K1319" i="8"/>
  <c r="O1318" i="8"/>
  <c r="L1318" i="8"/>
  <c r="K1318" i="8"/>
  <c r="O1317" i="8"/>
  <c r="L1317" i="8"/>
  <c r="K1317" i="8"/>
  <c r="O1316" i="8"/>
  <c r="L1316" i="8"/>
  <c r="K1316" i="8"/>
  <c r="O1315" i="8"/>
  <c r="L1315" i="8"/>
  <c r="K1315" i="8"/>
  <c r="O1314" i="8"/>
  <c r="L1314" i="8"/>
  <c r="K1314" i="8"/>
  <c r="O1313" i="8"/>
  <c r="L1313" i="8"/>
  <c r="K1313" i="8"/>
  <c r="O1312" i="8"/>
  <c r="L1312" i="8"/>
  <c r="K1312" i="8"/>
  <c r="O1311" i="8"/>
  <c r="L1311" i="8"/>
  <c r="K1311" i="8"/>
  <c r="O1310" i="8"/>
  <c r="L1310" i="8"/>
  <c r="K1310" i="8"/>
  <c r="O1309" i="8"/>
  <c r="L1309" i="8"/>
  <c r="K1309" i="8"/>
  <c r="O1308" i="8"/>
  <c r="L1308" i="8"/>
  <c r="K1308" i="8"/>
  <c r="O1307" i="8"/>
  <c r="L1307" i="8"/>
  <c r="K1307" i="8"/>
  <c r="O1306" i="8"/>
  <c r="L1306" i="8"/>
  <c r="K1306" i="8"/>
  <c r="O1305" i="8"/>
  <c r="L1305" i="8"/>
  <c r="K1305" i="8"/>
  <c r="O1304" i="8"/>
  <c r="L1304" i="8"/>
  <c r="K1304" i="8"/>
  <c r="O1303" i="8"/>
  <c r="L1303" i="8"/>
  <c r="K1303" i="8"/>
  <c r="O1302" i="8"/>
  <c r="L1302" i="8"/>
  <c r="K1302" i="8"/>
  <c r="O1301" i="8"/>
  <c r="L1301" i="8"/>
  <c r="K1301" i="8"/>
  <c r="O1300" i="8"/>
  <c r="L1300" i="8"/>
  <c r="K1300" i="8"/>
  <c r="O1299" i="8"/>
  <c r="L1299" i="8"/>
  <c r="K1299" i="8"/>
  <c r="O1298" i="8"/>
  <c r="L1298" i="8"/>
  <c r="K1298" i="8"/>
  <c r="O1297" i="8"/>
  <c r="L1297" i="8"/>
  <c r="K1297" i="8"/>
  <c r="O1296" i="8"/>
  <c r="L1296" i="8"/>
  <c r="K1296" i="8"/>
  <c r="O1295" i="8"/>
  <c r="L1295" i="8"/>
  <c r="K1295" i="8"/>
  <c r="O1294" i="8"/>
  <c r="L1294" i="8"/>
  <c r="K1294" i="8"/>
  <c r="O1293" i="8"/>
  <c r="L1293" i="8"/>
  <c r="K1293" i="8"/>
  <c r="O1292" i="8"/>
  <c r="L1292" i="8"/>
  <c r="K1292" i="8"/>
  <c r="O1291" i="8"/>
  <c r="L1291" i="8"/>
  <c r="K1291" i="8"/>
  <c r="O1290" i="8"/>
  <c r="L1290" i="8"/>
  <c r="K1290" i="8"/>
  <c r="O1289" i="8"/>
  <c r="L1289" i="8"/>
  <c r="K1289" i="8"/>
  <c r="O1288" i="8"/>
  <c r="L1288" i="8"/>
  <c r="K1288" i="8"/>
  <c r="O1287" i="8"/>
  <c r="L1287" i="8"/>
  <c r="K1287" i="8"/>
  <c r="O1286" i="8"/>
  <c r="L1286" i="8"/>
  <c r="K1286" i="8"/>
  <c r="O1285" i="8"/>
  <c r="L1285" i="8"/>
  <c r="K1285" i="8"/>
  <c r="O1284" i="8"/>
  <c r="L1284" i="8"/>
  <c r="K1284" i="8"/>
  <c r="O1283" i="8"/>
  <c r="L1283" i="8"/>
  <c r="K1283" i="8"/>
  <c r="O1282" i="8"/>
  <c r="L1282" i="8"/>
  <c r="K1282" i="8"/>
  <c r="O1281" i="8"/>
  <c r="L1281" i="8"/>
  <c r="K1281" i="8"/>
  <c r="O1280" i="8"/>
  <c r="L1280" i="8"/>
  <c r="K1280" i="8"/>
  <c r="O1279" i="8"/>
  <c r="L1279" i="8"/>
  <c r="K1279" i="8"/>
  <c r="O1278" i="8"/>
  <c r="L1278" i="8"/>
  <c r="K1278" i="8"/>
  <c r="O1277" i="8"/>
  <c r="L1277" i="8"/>
  <c r="K1277" i="8"/>
  <c r="O1276" i="8"/>
  <c r="L1276" i="8"/>
  <c r="K1276" i="8"/>
  <c r="O1275" i="8"/>
  <c r="L1275" i="8"/>
  <c r="K1275" i="8"/>
  <c r="O1274" i="8"/>
  <c r="L1274" i="8"/>
  <c r="K1274" i="8"/>
  <c r="O1273" i="8"/>
  <c r="L1273" i="8"/>
  <c r="K1273" i="8"/>
  <c r="O1272" i="8"/>
  <c r="Q1272" i="8" s="1"/>
  <c r="T1272" i="8" s="1"/>
  <c r="L1272" i="8"/>
  <c r="K1272" i="8"/>
  <c r="O1271" i="8"/>
  <c r="O1270" i="8"/>
  <c r="O1269" i="8"/>
  <c r="O1268" i="8"/>
  <c r="O1267" i="8"/>
  <c r="O1266" i="8"/>
  <c r="O1265" i="8"/>
  <c r="O1264" i="8"/>
  <c r="O1263" i="8"/>
  <c r="O1262" i="8"/>
  <c r="O1261" i="8"/>
  <c r="O1260" i="8"/>
  <c r="O1259" i="8"/>
  <c r="O1258" i="8"/>
  <c r="O1257" i="8"/>
  <c r="O1256" i="8"/>
  <c r="O1255" i="8"/>
  <c r="O1254" i="8"/>
  <c r="O1253" i="8"/>
  <c r="O1252" i="8"/>
  <c r="O1251" i="8"/>
  <c r="O1250" i="8"/>
  <c r="O1249" i="8"/>
  <c r="O1248" i="8"/>
  <c r="O1247" i="8"/>
  <c r="O1246" i="8"/>
  <c r="O1245" i="8"/>
  <c r="L1245" i="8"/>
  <c r="K1245" i="8"/>
  <c r="O1244" i="8"/>
  <c r="L1244" i="8"/>
  <c r="K1244" i="8"/>
  <c r="O1243" i="8"/>
  <c r="L1243" i="8"/>
  <c r="K1243" i="8"/>
  <c r="O1242" i="8"/>
  <c r="L1242" i="8"/>
  <c r="K1242" i="8"/>
  <c r="O1241" i="8"/>
  <c r="L1241" i="8"/>
  <c r="K1241" i="8"/>
  <c r="O1240" i="8"/>
  <c r="L1240" i="8"/>
  <c r="K1240" i="8"/>
  <c r="O1239" i="8"/>
  <c r="L1239" i="8"/>
  <c r="K1239" i="8"/>
  <c r="O1238" i="8"/>
  <c r="L1238" i="8"/>
  <c r="K1238" i="8"/>
  <c r="O1237" i="8"/>
  <c r="L1237" i="8"/>
  <c r="K1237" i="8"/>
  <c r="O1236" i="8"/>
  <c r="L1236" i="8"/>
  <c r="K1236" i="8"/>
  <c r="O1235" i="8"/>
  <c r="L1235" i="8"/>
  <c r="K1235" i="8"/>
  <c r="O1234" i="8"/>
  <c r="L1234" i="8"/>
  <c r="K1234" i="8"/>
  <c r="O1233" i="8"/>
  <c r="L1233" i="8"/>
  <c r="K1233" i="8"/>
  <c r="O1232" i="8"/>
  <c r="L1232" i="8"/>
  <c r="K1232" i="8"/>
  <c r="O1231" i="8"/>
  <c r="L1231" i="8"/>
  <c r="K1231" i="8"/>
  <c r="O1230" i="8"/>
  <c r="L1230" i="8"/>
  <c r="K1230" i="8"/>
  <c r="O1229" i="8"/>
  <c r="L1229" i="8"/>
  <c r="K1229" i="8"/>
  <c r="O1228" i="8"/>
  <c r="L1228" i="8"/>
  <c r="K1228" i="8"/>
  <c r="O1227" i="8"/>
  <c r="L1227" i="8"/>
  <c r="K1227" i="8"/>
  <c r="O1226" i="8"/>
  <c r="L1226" i="8"/>
  <c r="K1226" i="8"/>
  <c r="O1225" i="8"/>
  <c r="L1225" i="8"/>
  <c r="K1225" i="8"/>
  <c r="O1224" i="8"/>
  <c r="L1224" i="8"/>
  <c r="K1224" i="8"/>
  <c r="O1223" i="8"/>
  <c r="L1223" i="8"/>
  <c r="K1223" i="8"/>
  <c r="O1222" i="8"/>
  <c r="L1222" i="8"/>
  <c r="K1222" i="8"/>
  <c r="O1221" i="8"/>
  <c r="L1221" i="8"/>
  <c r="K1221" i="8"/>
  <c r="O1220" i="8"/>
  <c r="L1220" i="8"/>
  <c r="K1220" i="8"/>
  <c r="O1219" i="8"/>
  <c r="L1219" i="8"/>
  <c r="K1219" i="8"/>
  <c r="O1218" i="8"/>
  <c r="L1218" i="8"/>
  <c r="K1218" i="8"/>
  <c r="O1217" i="8"/>
  <c r="L1217" i="8"/>
  <c r="K1217" i="8"/>
  <c r="O1216" i="8"/>
  <c r="L1216" i="8"/>
  <c r="K1216" i="8"/>
  <c r="O1215" i="8"/>
  <c r="L1215" i="8"/>
  <c r="K1215" i="8"/>
  <c r="O1214" i="8"/>
  <c r="L1214" i="8"/>
  <c r="K1214" i="8"/>
  <c r="O1213" i="8"/>
  <c r="L1213" i="8"/>
  <c r="K1213" i="8"/>
  <c r="O1212" i="8"/>
  <c r="L1212" i="8"/>
  <c r="K1212" i="8"/>
  <c r="O1211" i="8"/>
  <c r="L1211" i="8"/>
  <c r="K1211" i="8"/>
  <c r="O1210" i="8"/>
  <c r="L1210" i="8"/>
  <c r="K1210" i="8"/>
  <c r="O1209" i="8"/>
  <c r="L1209" i="8"/>
  <c r="K1209" i="8"/>
  <c r="O1208" i="8"/>
  <c r="L1208" i="8"/>
  <c r="K1208" i="8"/>
  <c r="O1207" i="8"/>
  <c r="L1207" i="8"/>
  <c r="K1207" i="8"/>
  <c r="O1206" i="8"/>
  <c r="L1206" i="8"/>
  <c r="K1206" i="8"/>
  <c r="O1205" i="8"/>
  <c r="L1205" i="8"/>
  <c r="K1205" i="8"/>
  <c r="O1204" i="8"/>
  <c r="L1204" i="8"/>
  <c r="K1204" i="8"/>
  <c r="O1203" i="8"/>
  <c r="L1203" i="8"/>
  <c r="K1203" i="8"/>
  <c r="O1202" i="8"/>
  <c r="L1202" i="8"/>
  <c r="K1202" i="8"/>
  <c r="O1201" i="8"/>
  <c r="L1201" i="8"/>
  <c r="K1201" i="8"/>
  <c r="O1200" i="8"/>
  <c r="L1200" i="8"/>
  <c r="K1200" i="8"/>
  <c r="O1199" i="8"/>
  <c r="L1199" i="8"/>
  <c r="K1199" i="8"/>
  <c r="O1198" i="8"/>
  <c r="L1198" i="8"/>
  <c r="K1198" i="8"/>
  <c r="O1197" i="8"/>
  <c r="L1197" i="8"/>
  <c r="K1197" i="8"/>
  <c r="O1196" i="8"/>
  <c r="L1196" i="8"/>
  <c r="K1196" i="8"/>
  <c r="O1195" i="8"/>
  <c r="L1195" i="8"/>
  <c r="K1195" i="8"/>
  <c r="O1194" i="8"/>
  <c r="L1194" i="8"/>
  <c r="K1194" i="8"/>
  <c r="O1193" i="8"/>
  <c r="L1193" i="8"/>
  <c r="K1193" i="8"/>
  <c r="O1192" i="8"/>
  <c r="L1192" i="8"/>
  <c r="K1192" i="8"/>
  <c r="O1191" i="8"/>
  <c r="L1191" i="8"/>
  <c r="K1191" i="8"/>
  <c r="O1190" i="8"/>
  <c r="L1190" i="8"/>
  <c r="K1190" i="8"/>
  <c r="O1189" i="8"/>
  <c r="L1189" i="8"/>
  <c r="K1189" i="8"/>
  <c r="O1188" i="8"/>
  <c r="L1188" i="8"/>
  <c r="K1188" i="8"/>
  <c r="O1187" i="8"/>
  <c r="L1187" i="8"/>
  <c r="K1187" i="8"/>
  <c r="O1186" i="8"/>
  <c r="L1186" i="8"/>
  <c r="K1186" i="8"/>
  <c r="O1185" i="8"/>
  <c r="Q1185" i="8" s="1"/>
  <c r="T1185" i="8" s="1"/>
  <c r="L1185" i="8"/>
  <c r="K1185" i="8"/>
  <c r="O1184" i="8"/>
  <c r="O1183" i="8"/>
  <c r="O1182" i="8"/>
  <c r="O1181" i="8"/>
  <c r="O1180" i="8"/>
  <c r="O1179" i="8"/>
  <c r="O1178" i="8"/>
  <c r="O1177" i="8"/>
  <c r="O1176" i="8"/>
  <c r="O1175" i="8"/>
  <c r="O1174" i="8"/>
  <c r="O1173" i="8"/>
  <c r="O1172" i="8"/>
  <c r="O1171" i="8"/>
  <c r="O1170" i="8"/>
  <c r="O1169" i="8"/>
  <c r="O1168" i="8"/>
  <c r="L1168" i="8"/>
  <c r="K1168" i="8"/>
  <c r="O1167" i="8"/>
  <c r="L1167" i="8"/>
  <c r="K1167" i="8"/>
  <c r="O1166" i="8"/>
  <c r="L1166" i="8"/>
  <c r="K1166" i="8"/>
  <c r="O1165" i="8"/>
  <c r="L1165" i="8"/>
  <c r="K1165" i="8"/>
  <c r="O1164" i="8"/>
  <c r="L1164" i="8"/>
  <c r="K1164" i="8"/>
  <c r="O1163" i="8"/>
  <c r="L1163" i="8"/>
  <c r="K1163" i="8"/>
  <c r="O1162" i="8"/>
  <c r="L1162" i="8"/>
  <c r="K1162" i="8"/>
  <c r="O1161" i="8"/>
  <c r="L1161" i="8"/>
  <c r="K1161" i="8"/>
  <c r="O1160" i="8"/>
  <c r="L1160" i="8"/>
  <c r="K1160" i="8"/>
  <c r="O1159" i="8"/>
  <c r="L1159" i="8"/>
  <c r="K1159" i="8"/>
  <c r="O1158" i="8"/>
  <c r="L1158" i="8"/>
  <c r="K1158" i="8"/>
  <c r="O1157" i="8"/>
  <c r="L1157" i="8"/>
  <c r="K1157" i="8"/>
  <c r="O1156" i="8"/>
  <c r="L1156" i="8"/>
  <c r="K1156" i="8"/>
  <c r="O1155" i="8"/>
  <c r="L1155" i="8"/>
  <c r="K1155" i="8"/>
  <c r="O1154" i="8"/>
  <c r="L1154" i="8"/>
  <c r="K1154" i="8"/>
  <c r="O1153" i="8"/>
  <c r="L1153" i="8"/>
  <c r="K1153" i="8"/>
  <c r="O1152" i="8"/>
  <c r="L1152" i="8"/>
  <c r="K1152" i="8"/>
  <c r="O1151" i="8"/>
  <c r="L1151" i="8"/>
  <c r="K1151" i="8"/>
  <c r="O1150" i="8"/>
  <c r="L1150" i="8"/>
  <c r="K1150" i="8"/>
  <c r="O1149" i="8"/>
  <c r="L1149" i="8"/>
  <c r="K1149" i="8"/>
  <c r="O1148" i="8"/>
  <c r="L1148" i="8"/>
  <c r="K1148" i="8"/>
  <c r="O1147" i="8"/>
  <c r="L1147" i="8"/>
  <c r="K1147" i="8"/>
  <c r="O1146" i="8"/>
  <c r="L1146" i="8"/>
  <c r="K1146" i="8"/>
  <c r="O1145" i="8"/>
  <c r="L1145" i="8"/>
  <c r="K1145" i="8"/>
  <c r="O1144" i="8"/>
  <c r="L1144" i="8"/>
  <c r="K1144" i="8"/>
  <c r="O1143" i="8"/>
  <c r="L1143" i="8"/>
  <c r="K1143" i="8"/>
  <c r="O1142" i="8"/>
  <c r="L1142" i="8"/>
  <c r="K1142" i="8"/>
  <c r="O1141" i="8"/>
  <c r="L1141" i="8"/>
  <c r="K1141" i="8"/>
  <c r="O1140" i="8"/>
  <c r="L1140" i="8"/>
  <c r="K1140" i="8"/>
  <c r="O1139" i="8"/>
  <c r="L1139" i="8"/>
  <c r="K1139" i="8"/>
  <c r="O1138" i="8"/>
  <c r="L1138" i="8"/>
  <c r="K1138" i="8"/>
  <c r="O1137" i="8"/>
  <c r="L1137" i="8"/>
  <c r="K1137" i="8"/>
  <c r="O1136" i="8"/>
  <c r="L1136" i="8"/>
  <c r="K1136" i="8"/>
  <c r="O1135" i="8"/>
  <c r="L1135" i="8"/>
  <c r="K1135" i="8"/>
  <c r="O1134" i="8"/>
  <c r="L1134" i="8"/>
  <c r="K1134" i="8"/>
  <c r="O1133" i="8"/>
  <c r="L1133" i="8"/>
  <c r="K1133" i="8"/>
  <c r="O1132" i="8"/>
  <c r="L1132" i="8"/>
  <c r="K1132" i="8"/>
  <c r="O1131" i="8"/>
  <c r="L1131" i="8"/>
  <c r="K1131" i="8"/>
  <c r="O1130" i="8"/>
  <c r="L1130" i="8"/>
  <c r="K1130" i="8"/>
  <c r="O1129" i="8"/>
  <c r="L1129" i="8"/>
  <c r="K1129" i="8"/>
  <c r="O1128" i="8"/>
  <c r="L1128" i="8"/>
  <c r="K1128" i="8"/>
  <c r="O1127" i="8"/>
  <c r="L1127" i="8"/>
  <c r="K1127" i="8"/>
  <c r="O1126" i="8"/>
  <c r="L1126" i="8"/>
  <c r="K1126" i="8"/>
  <c r="O1125" i="8"/>
  <c r="L1125" i="8"/>
  <c r="K1125" i="8"/>
  <c r="O1124" i="8"/>
  <c r="L1124" i="8"/>
  <c r="K1124" i="8"/>
  <c r="O1123" i="8"/>
  <c r="L1123" i="8"/>
  <c r="K1123" i="8"/>
  <c r="O1122" i="8"/>
  <c r="L1122" i="8"/>
  <c r="K1122" i="8"/>
  <c r="O1121" i="8"/>
  <c r="L1121" i="8"/>
  <c r="K1121" i="8"/>
  <c r="O1120" i="8"/>
  <c r="L1120" i="8"/>
  <c r="K1120" i="8"/>
  <c r="O1119" i="8"/>
  <c r="L1119" i="8"/>
  <c r="K1119" i="8"/>
  <c r="O1118" i="8"/>
  <c r="L1118" i="8"/>
  <c r="K1118" i="8"/>
  <c r="O1117" i="8"/>
  <c r="L1117" i="8"/>
  <c r="K1117" i="8"/>
  <c r="O1116" i="8"/>
  <c r="L1116" i="8"/>
  <c r="K1116" i="8"/>
  <c r="O1115" i="8"/>
  <c r="L1115" i="8"/>
  <c r="K1115" i="8"/>
  <c r="O1114" i="8"/>
  <c r="L1114" i="8"/>
  <c r="K1114" i="8"/>
  <c r="O1113" i="8"/>
  <c r="L1113" i="8"/>
  <c r="K1113" i="8"/>
  <c r="O1112" i="8"/>
  <c r="L1112" i="8"/>
  <c r="K1112" i="8"/>
  <c r="O1111" i="8"/>
  <c r="L1111" i="8"/>
  <c r="K1111" i="8"/>
  <c r="O1110" i="8"/>
  <c r="L1110" i="8"/>
  <c r="K1110" i="8"/>
  <c r="O1109" i="8"/>
  <c r="L1109" i="8"/>
  <c r="K1109" i="8"/>
  <c r="O1108" i="8"/>
  <c r="L1108" i="8"/>
  <c r="K1108" i="8"/>
  <c r="O1107" i="8"/>
  <c r="L1107" i="8"/>
  <c r="K1107" i="8"/>
  <c r="O1106" i="8"/>
  <c r="L1106" i="8"/>
  <c r="K1106" i="8"/>
  <c r="O1105" i="8"/>
  <c r="L1105" i="8"/>
  <c r="K1105" i="8"/>
  <c r="O1104" i="8"/>
  <c r="L1104" i="8"/>
  <c r="K1104" i="8"/>
  <c r="O1103" i="8"/>
  <c r="L1103" i="8"/>
  <c r="K1103" i="8"/>
  <c r="O1102" i="8"/>
  <c r="L1102" i="8"/>
  <c r="K1102" i="8"/>
  <c r="O1101" i="8"/>
  <c r="L1101" i="8"/>
  <c r="K1101" i="8"/>
  <c r="O1100" i="8"/>
  <c r="L1100" i="8"/>
  <c r="K1100" i="8"/>
  <c r="O1099" i="8"/>
  <c r="L1099" i="8"/>
  <c r="K1099" i="8"/>
  <c r="O1098" i="8"/>
  <c r="L1098" i="8"/>
  <c r="K1098" i="8"/>
  <c r="O1097" i="8"/>
  <c r="L1097" i="8"/>
  <c r="K1097" i="8"/>
  <c r="O1096" i="8"/>
  <c r="L1096" i="8"/>
  <c r="K1096" i="8"/>
  <c r="O1095" i="8"/>
  <c r="L1095" i="8"/>
  <c r="K1095" i="8"/>
  <c r="O1094" i="8"/>
  <c r="L1094" i="8"/>
  <c r="K1094" i="8"/>
  <c r="O1093" i="8"/>
  <c r="L1093" i="8"/>
  <c r="K1093" i="8"/>
  <c r="O1092" i="8"/>
  <c r="L1092" i="8"/>
  <c r="K1092" i="8"/>
  <c r="O1091" i="8"/>
  <c r="L1091" i="8"/>
  <c r="K1091" i="8"/>
  <c r="O1090" i="8"/>
  <c r="L1090" i="8"/>
  <c r="K1090" i="8"/>
  <c r="O1089" i="8"/>
  <c r="L1089" i="8"/>
  <c r="K1089" i="8"/>
  <c r="O1088" i="8"/>
  <c r="L1088" i="8"/>
  <c r="K1088" i="8"/>
  <c r="O1087" i="8"/>
  <c r="L1087" i="8"/>
  <c r="K1087" i="8"/>
  <c r="O1086" i="8"/>
  <c r="L1086" i="8"/>
  <c r="K1086" i="8"/>
  <c r="O1085" i="8"/>
  <c r="L1085" i="8"/>
  <c r="K1085" i="8"/>
  <c r="O1084" i="8"/>
  <c r="L1084" i="8"/>
  <c r="K1084" i="8"/>
  <c r="O1083" i="8"/>
  <c r="L1083" i="8"/>
  <c r="K1083" i="8"/>
  <c r="O1082" i="8"/>
  <c r="L1082" i="8"/>
  <c r="K1082" i="8"/>
  <c r="O1081" i="8"/>
  <c r="L1081" i="8"/>
  <c r="K1081" i="8"/>
  <c r="O1080" i="8"/>
  <c r="L1080" i="8"/>
  <c r="K1080" i="8"/>
  <c r="O1079" i="8"/>
  <c r="L1079" i="8"/>
  <c r="K1079" i="8"/>
  <c r="O1078" i="8"/>
  <c r="L1078" i="8"/>
  <c r="K1078" i="8"/>
  <c r="O1077" i="8"/>
  <c r="L1077" i="8"/>
  <c r="K1077" i="8"/>
  <c r="O1076" i="8"/>
  <c r="L1076" i="8"/>
  <c r="K1076" i="8"/>
  <c r="O1075" i="8"/>
  <c r="L1075" i="8"/>
  <c r="K1075" i="8"/>
  <c r="O1074" i="8"/>
  <c r="L1074" i="8"/>
  <c r="K1074" i="8"/>
  <c r="O1073" i="8"/>
  <c r="L1073" i="8"/>
  <c r="K1073" i="8"/>
  <c r="O1072" i="8"/>
  <c r="L1072" i="8"/>
  <c r="K1072" i="8"/>
  <c r="O1071" i="8"/>
  <c r="L1071" i="8"/>
  <c r="K1071" i="8"/>
  <c r="O1070" i="8"/>
  <c r="Q1070" i="8" s="1"/>
  <c r="T1070" i="8" s="1"/>
  <c r="L1070" i="8"/>
  <c r="K1070" i="8"/>
  <c r="O1069" i="8"/>
  <c r="O1068" i="8"/>
  <c r="O1067" i="8"/>
  <c r="O1066" i="8"/>
  <c r="O1065" i="8"/>
  <c r="O1064" i="8"/>
  <c r="O1063" i="8"/>
  <c r="O1062" i="8"/>
  <c r="O1061" i="8"/>
  <c r="O1060" i="8"/>
  <c r="O1059" i="8"/>
  <c r="O1058" i="8"/>
  <c r="O1057" i="8"/>
  <c r="L1057" i="8"/>
  <c r="K1057" i="8"/>
  <c r="O1056" i="8"/>
  <c r="L1056" i="8"/>
  <c r="K1056" i="8"/>
  <c r="O1055" i="8"/>
  <c r="L1055" i="8"/>
  <c r="K1055" i="8"/>
  <c r="O1054" i="8"/>
  <c r="L1054" i="8"/>
  <c r="K1054" i="8"/>
  <c r="O1053" i="8"/>
  <c r="L1053" i="8"/>
  <c r="K1053" i="8"/>
  <c r="O1052" i="8"/>
  <c r="L1052" i="8"/>
  <c r="K1052" i="8"/>
  <c r="O1051" i="8"/>
  <c r="L1051" i="8"/>
  <c r="K1051" i="8"/>
  <c r="O1050" i="8"/>
  <c r="L1050" i="8"/>
  <c r="K1050" i="8"/>
  <c r="O1049" i="8"/>
  <c r="L1049" i="8"/>
  <c r="K1049" i="8"/>
  <c r="O1048" i="8"/>
  <c r="L1048" i="8"/>
  <c r="K1048" i="8"/>
  <c r="O1047" i="8"/>
  <c r="L1047" i="8"/>
  <c r="K1047" i="8"/>
  <c r="O1046" i="8"/>
  <c r="L1046" i="8"/>
  <c r="K1046" i="8"/>
  <c r="O1045" i="8"/>
  <c r="L1045" i="8"/>
  <c r="K1045" i="8"/>
  <c r="O1044" i="8"/>
  <c r="L1044" i="8"/>
  <c r="K1044" i="8"/>
  <c r="O1043" i="8"/>
  <c r="L1043" i="8"/>
  <c r="K1043" i="8"/>
  <c r="O1042" i="8"/>
  <c r="L1042" i="8"/>
  <c r="K1042" i="8"/>
  <c r="O1041" i="8"/>
  <c r="L1041" i="8"/>
  <c r="K1041" i="8"/>
  <c r="O1040" i="8"/>
  <c r="L1040" i="8"/>
  <c r="K1040" i="8"/>
  <c r="O1039" i="8"/>
  <c r="L1039" i="8"/>
  <c r="K1039" i="8"/>
  <c r="O1038" i="8"/>
  <c r="L1038" i="8"/>
  <c r="K1038" i="8"/>
  <c r="O1037" i="8"/>
  <c r="L1037" i="8"/>
  <c r="K1037" i="8"/>
  <c r="O1036" i="8"/>
  <c r="L1036" i="8"/>
  <c r="K1036" i="8"/>
  <c r="O1035" i="8"/>
  <c r="L1035" i="8"/>
  <c r="K1035" i="8"/>
  <c r="O1034" i="8"/>
  <c r="L1034" i="8"/>
  <c r="K1034" i="8"/>
  <c r="O1033" i="8"/>
  <c r="L1033" i="8"/>
  <c r="K1033" i="8"/>
  <c r="O1032" i="8"/>
  <c r="L1032" i="8"/>
  <c r="K1032" i="8"/>
  <c r="O1031" i="8"/>
  <c r="L1031" i="8"/>
  <c r="K1031" i="8"/>
  <c r="O1030" i="8"/>
  <c r="L1030" i="8"/>
  <c r="K1030" i="8"/>
  <c r="O1029" i="8"/>
  <c r="L1029" i="8"/>
  <c r="K1029" i="8"/>
  <c r="O1028" i="8"/>
  <c r="L1028" i="8"/>
  <c r="K1028" i="8"/>
  <c r="O1027" i="8"/>
  <c r="L1027" i="8"/>
  <c r="K1027" i="8"/>
  <c r="O1026" i="8"/>
  <c r="L1026" i="8"/>
  <c r="K1026" i="8"/>
  <c r="O1025" i="8"/>
  <c r="L1025" i="8"/>
  <c r="K1025" i="8"/>
  <c r="O1024" i="8"/>
  <c r="L1024" i="8"/>
  <c r="K1024" i="8"/>
  <c r="O1023" i="8"/>
  <c r="L1023" i="8"/>
  <c r="K1023" i="8"/>
  <c r="O1022" i="8"/>
  <c r="L1022" i="8"/>
  <c r="K1022" i="8"/>
  <c r="O1021" i="8"/>
  <c r="L1021" i="8"/>
  <c r="K1021" i="8"/>
  <c r="O1020" i="8"/>
  <c r="L1020" i="8"/>
  <c r="K1020" i="8"/>
  <c r="O1019" i="8"/>
  <c r="L1019" i="8"/>
  <c r="K1019" i="8"/>
  <c r="O1018" i="8"/>
  <c r="L1018" i="8"/>
  <c r="K1018" i="8"/>
  <c r="O1017" i="8"/>
  <c r="L1017" i="8"/>
  <c r="K1017" i="8"/>
  <c r="O1016" i="8"/>
  <c r="L1016" i="8"/>
  <c r="K1016" i="8"/>
  <c r="O1015" i="8"/>
  <c r="L1015" i="8"/>
  <c r="K1015" i="8"/>
  <c r="O1014" i="8"/>
  <c r="L1014" i="8"/>
  <c r="K1014" i="8"/>
  <c r="O1013" i="8"/>
  <c r="L1013" i="8"/>
  <c r="K1013" i="8"/>
  <c r="O1012" i="8"/>
  <c r="L1012" i="8"/>
  <c r="K1012" i="8"/>
  <c r="O1011" i="8"/>
  <c r="L1011" i="8"/>
  <c r="K1011" i="8"/>
  <c r="O1010" i="8"/>
  <c r="L1010" i="8"/>
  <c r="K1010" i="8"/>
  <c r="O1009" i="8"/>
  <c r="L1009" i="8"/>
  <c r="K1009" i="8"/>
  <c r="O1008" i="8"/>
  <c r="L1008" i="8"/>
  <c r="K1008" i="8"/>
  <c r="O1007" i="8"/>
  <c r="L1007" i="8"/>
  <c r="K1007" i="8"/>
  <c r="O1006" i="8"/>
  <c r="L1006" i="8"/>
  <c r="K1006" i="8"/>
  <c r="O1005" i="8"/>
  <c r="L1005" i="8"/>
  <c r="K1005" i="8"/>
  <c r="O1004" i="8"/>
  <c r="L1004" i="8"/>
  <c r="K1004" i="8"/>
  <c r="O1003" i="8"/>
  <c r="L1003" i="8"/>
  <c r="K1003" i="8"/>
  <c r="O1002" i="8"/>
  <c r="L1002" i="8"/>
  <c r="K1002" i="8"/>
  <c r="O1001" i="8"/>
  <c r="L1001" i="8"/>
  <c r="K1001" i="8"/>
  <c r="O1000" i="8"/>
  <c r="L1000" i="8"/>
  <c r="K1000" i="8"/>
  <c r="O999" i="8"/>
  <c r="L999" i="8"/>
  <c r="K999" i="8"/>
  <c r="O998" i="8"/>
  <c r="L998" i="8"/>
  <c r="K998" i="8"/>
  <c r="O997" i="8"/>
  <c r="L997" i="8"/>
  <c r="K997" i="8"/>
  <c r="O996" i="8"/>
  <c r="L996" i="8"/>
  <c r="K996" i="8"/>
  <c r="O995" i="8"/>
  <c r="L995" i="8"/>
  <c r="K995" i="8"/>
  <c r="O994" i="8"/>
  <c r="L994" i="8"/>
  <c r="K994" i="8"/>
  <c r="O993" i="8"/>
  <c r="L993" i="8"/>
  <c r="K993" i="8"/>
  <c r="O992" i="8"/>
  <c r="L992" i="8"/>
  <c r="K992" i="8"/>
  <c r="O991" i="8"/>
  <c r="L991" i="8"/>
  <c r="K991" i="8"/>
  <c r="O990" i="8"/>
  <c r="Q990" i="8" s="1"/>
  <c r="T990" i="8" s="1"/>
  <c r="L990" i="8"/>
  <c r="K990" i="8"/>
  <c r="O989" i="8"/>
  <c r="O988" i="8"/>
  <c r="O987" i="8"/>
  <c r="O986" i="8"/>
  <c r="O985" i="8"/>
  <c r="O984" i="8"/>
  <c r="O983" i="8"/>
  <c r="O982" i="8"/>
  <c r="O981" i="8"/>
  <c r="L981" i="8"/>
  <c r="K981" i="8"/>
  <c r="O980" i="8"/>
  <c r="L980" i="8"/>
  <c r="K980" i="8"/>
  <c r="O979" i="8"/>
  <c r="L979" i="8"/>
  <c r="K979" i="8"/>
  <c r="O978" i="8"/>
  <c r="L978" i="8"/>
  <c r="K978" i="8"/>
  <c r="O977" i="8"/>
  <c r="L977" i="8"/>
  <c r="K977" i="8"/>
  <c r="O976" i="8"/>
  <c r="L976" i="8"/>
  <c r="K976" i="8"/>
  <c r="O975" i="8"/>
  <c r="L975" i="8"/>
  <c r="K975" i="8"/>
  <c r="O974" i="8"/>
  <c r="L974" i="8"/>
  <c r="K974" i="8"/>
  <c r="O973" i="8"/>
  <c r="L973" i="8"/>
  <c r="K973" i="8"/>
  <c r="O972" i="8"/>
  <c r="L972" i="8"/>
  <c r="K972" i="8"/>
  <c r="O971" i="8"/>
  <c r="L971" i="8"/>
  <c r="K971" i="8"/>
  <c r="O970" i="8"/>
  <c r="L970" i="8"/>
  <c r="K970" i="8"/>
  <c r="O969" i="8"/>
  <c r="L969" i="8"/>
  <c r="K969" i="8"/>
  <c r="O968" i="8"/>
  <c r="L968" i="8"/>
  <c r="K968" i="8"/>
  <c r="O967" i="8"/>
  <c r="L967" i="8"/>
  <c r="K967" i="8"/>
  <c r="O966" i="8"/>
  <c r="L966" i="8"/>
  <c r="K966" i="8"/>
  <c r="O965" i="8"/>
  <c r="L965" i="8"/>
  <c r="K965" i="8"/>
  <c r="O964" i="8"/>
  <c r="L964" i="8"/>
  <c r="K964" i="8"/>
  <c r="O963" i="8"/>
  <c r="L963" i="8"/>
  <c r="K963" i="8"/>
  <c r="O962" i="8"/>
  <c r="L962" i="8"/>
  <c r="K962" i="8"/>
  <c r="O961" i="8"/>
  <c r="L961" i="8"/>
  <c r="K961" i="8"/>
  <c r="O960" i="8"/>
  <c r="L960" i="8"/>
  <c r="K960" i="8"/>
  <c r="O959" i="8"/>
  <c r="L959" i="8"/>
  <c r="K959" i="8"/>
  <c r="O958" i="8"/>
  <c r="L958" i="8"/>
  <c r="K958" i="8"/>
  <c r="O957" i="8"/>
  <c r="L957" i="8"/>
  <c r="K957" i="8"/>
  <c r="O956" i="8"/>
  <c r="L956" i="8"/>
  <c r="K956" i="8"/>
  <c r="O955" i="8"/>
  <c r="L955" i="8"/>
  <c r="K955" i="8"/>
  <c r="O954" i="8"/>
  <c r="L954" i="8"/>
  <c r="K954" i="8"/>
  <c r="O953" i="8"/>
  <c r="L953" i="8"/>
  <c r="K953" i="8"/>
  <c r="O952" i="8"/>
  <c r="L952" i="8"/>
  <c r="K952" i="8"/>
  <c r="O951" i="8"/>
  <c r="L951" i="8"/>
  <c r="K951" i="8"/>
  <c r="O950" i="8"/>
  <c r="L950" i="8"/>
  <c r="K950" i="8"/>
  <c r="O949" i="8"/>
  <c r="L949" i="8"/>
  <c r="K949" i="8"/>
  <c r="O948" i="8"/>
  <c r="L948" i="8"/>
  <c r="K948" i="8"/>
  <c r="O947" i="8"/>
  <c r="L947" i="8"/>
  <c r="K947" i="8"/>
  <c r="O946" i="8"/>
  <c r="L946" i="8"/>
  <c r="K946" i="8"/>
  <c r="O945" i="8"/>
  <c r="L945" i="8"/>
  <c r="K945" i="8"/>
  <c r="O944" i="8"/>
  <c r="L944" i="8"/>
  <c r="K944" i="8"/>
  <c r="O943" i="8"/>
  <c r="L943" i="8"/>
  <c r="K943" i="8"/>
  <c r="O942" i="8"/>
  <c r="L942" i="8"/>
  <c r="K942" i="8"/>
  <c r="O941" i="8"/>
  <c r="L941" i="8"/>
  <c r="K941" i="8"/>
  <c r="O940" i="8"/>
  <c r="L940" i="8"/>
  <c r="K940" i="8"/>
  <c r="O939" i="8"/>
  <c r="L939" i="8"/>
  <c r="K939" i="8"/>
  <c r="O938" i="8"/>
  <c r="L938" i="8"/>
  <c r="K938" i="8"/>
  <c r="O937" i="8"/>
  <c r="L937" i="8"/>
  <c r="K937" i="8"/>
  <c r="O936" i="8"/>
  <c r="L936" i="8"/>
  <c r="K936" i="8"/>
  <c r="O935" i="8"/>
  <c r="L935" i="8"/>
  <c r="K935" i="8"/>
  <c r="O934" i="8"/>
  <c r="L934" i="8"/>
  <c r="K934" i="8"/>
  <c r="O933" i="8"/>
  <c r="L933" i="8"/>
  <c r="K933" i="8"/>
  <c r="O932" i="8"/>
  <c r="L932" i="8"/>
  <c r="K932" i="8"/>
  <c r="O931" i="8"/>
  <c r="L931" i="8"/>
  <c r="K931" i="8"/>
  <c r="O930" i="8"/>
  <c r="L930" i="8"/>
  <c r="K930" i="8"/>
  <c r="O929" i="8"/>
  <c r="L929" i="8"/>
  <c r="K929" i="8"/>
  <c r="O928" i="8"/>
  <c r="L928" i="8"/>
  <c r="K928" i="8"/>
  <c r="O927" i="8"/>
  <c r="L927" i="8"/>
  <c r="K927" i="8"/>
  <c r="O926" i="8"/>
  <c r="L926" i="8"/>
  <c r="K926" i="8"/>
  <c r="O925" i="8"/>
  <c r="L925" i="8"/>
  <c r="K925" i="8"/>
  <c r="O924" i="8"/>
  <c r="L924" i="8"/>
  <c r="K924" i="8"/>
  <c r="O923" i="8"/>
  <c r="L923" i="8"/>
  <c r="K923" i="8"/>
  <c r="O922" i="8"/>
  <c r="L922" i="8"/>
  <c r="K922" i="8"/>
  <c r="O921" i="8"/>
  <c r="L921" i="8"/>
  <c r="K921" i="8"/>
  <c r="O920" i="8"/>
  <c r="L920" i="8"/>
  <c r="K920" i="8"/>
  <c r="O919" i="8"/>
  <c r="L919" i="8"/>
  <c r="K919" i="8"/>
  <c r="O918" i="8"/>
  <c r="L918" i="8"/>
  <c r="K918" i="8"/>
  <c r="O917" i="8"/>
  <c r="L917" i="8"/>
  <c r="K917" i="8"/>
  <c r="O916" i="8"/>
  <c r="L916" i="8"/>
  <c r="K916" i="8"/>
  <c r="O915" i="8"/>
  <c r="L915" i="8"/>
  <c r="K915" i="8"/>
  <c r="O914" i="8"/>
  <c r="Q914" i="8" s="1"/>
  <c r="T914" i="8" s="1"/>
  <c r="L914" i="8"/>
  <c r="K914" i="8"/>
  <c r="O913" i="8"/>
  <c r="O912" i="8"/>
  <c r="O911" i="8"/>
  <c r="O910" i="8"/>
  <c r="O909" i="8"/>
  <c r="O908" i="8"/>
  <c r="O907" i="8"/>
  <c r="O906" i="8"/>
  <c r="O905" i="8"/>
  <c r="L905" i="8"/>
  <c r="K905" i="8"/>
  <c r="O904" i="8"/>
  <c r="L904" i="8"/>
  <c r="K904" i="8"/>
  <c r="O903" i="8"/>
  <c r="L903" i="8"/>
  <c r="K903" i="8"/>
  <c r="O902" i="8"/>
  <c r="L902" i="8"/>
  <c r="K902" i="8"/>
  <c r="O901" i="8"/>
  <c r="L901" i="8"/>
  <c r="K901" i="8"/>
  <c r="O900" i="8"/>
  <c r="L900" i="8"/>
  <c r="K900" i="8"/>
  <c r="O899" i="8"/>
  <c r="L899" i="8"/>
  <c r="K899" i="8"/>
  <c r="O898" i="8"/>
  <c r="L898" i="8"/>
  <c r="K898" i="8"/>
  <c r="O897" i="8"/>
  <c r="L897" i="8"/>
  <c r="K897" i="8"/>
  <c r="O896" i="8"/>
  <c r="L896" i="8"/>
  <c r="K896" i="8"/>
  <c r="O895" i="8"/>
  <c r="L895" i="8"/>
  <c r="K895" i="8"/>
  <c r="O894" i="8"/>
  <c r="L894" i="8"/>
  <c r="K894" i="8"/>
  <c r="O893" i="8"/>
  <c r="L893" i="8"/>
  <c r="K893" i="8"/>
  <c r="O892" i="8"/>
  <c r="L892" i="8"/>
  <c r="K892" i="8"/>
  <c r="O891" i="8"/>
  <c r="L891" i="8"/>
  <c r="K891" i="8"/>
  <c r="O890" i="8"/>
  <c r="L890" i="8"/>
  <c r="K890" i="8"/>
  <c r="O889" i="8"/>
  <c r="L889" i="8"/>
  <c r="K889" i="8"/>
  <c r="O888" i="8"/>
  <c r="L888" i="8"/>
  <c r="K888" i="8"/>
  <c r="O887" i="8"/>
  <c r="L887" i="8"/>
  <c r="K887" i="8"/>
  <c r="O886" i="8"/>
  <c r="L886" i="8"/>
  <c r="K886" i="8"/>
  <c r="O885" i="8"/>
  <c r="L885" i="8"/>
  <c r="K885" i="8"/>
  <c r="O884" i="8"/>
  <c r="L884" i="8"/>
  <c r="K884" i="8"/>
  <c r="O883" i="8"/>
  <c r="L883" i="8"/>
  <c r="K883" i="8"/>
  <c r="O882" i="8"/>
  <c r="L882" i="8"/>
  <c r="K882" i="8"/>
  <c r="O881" i="8"/>
  <c r="L881" i="8"/>
  <c r="K881" i="8"/>
  <c r="O880" i="8"/>
  <c r="L880" i="8"/>
  <c r="K880" i="8"/>
  <c r="O879" i="8"/>
  <c r="L879" i="8"/>
  <c r="K879" i="8"/>
  <c r="O878" i="8"/>
  <c r="L878" i="8"/>
  <c r="K878" i="8"/>
  <c r="O877" i="8"/>
  <c r="L877" i="8"/>
  <c r="K877" i="8"/>
  <c r="O876" i="8"/>
  <c r="L876" i="8"/>
  <c r="K876" i="8"/>
  <c r="O875" i="8"/>
  <c r="L875" i="8"/>
  <c r="K875" i="8"/>
  <c r="O874" i="8"/>
  <c r="L874" i="8"/>
  <c r="K874" i="8"/>
  <c r="O873" i="8"/>
  <c r="L873" i="8"/>
  <c r="K873" i="8"/>
  <c r="O872" i="8"/>
  <c r="L872" i="8"/>
  <c r="K872" i="8"/>
  <c r="O871" i="8"/>
  <c r="L871" i="8"/>
  <c r="K871" i="8"/>
  <c r="O870" i="8"/>
  <c r="L870" i="8"/>
  <c r="K870" i="8"/>
  <c r="O869" i="8"/>
  <c r="L869" i="8"/>
  <c r="K869" i="8"/>
  <c r="O868" i="8"/>
  <c r="L868" i="8"/>
  <c r="K868" i="8"/>
  <c r="O867" i="8"/>
  <c r="L867" i="8"/>
  <c r="K867" i="8"/>
  <c r="O866" i="8"/>
  <c r="L866" i="8"/>
  <c r="K866" i="8"/>
  <c r="O865" i="8"/>
  <c r="L865" i="8"/>
  <c r="K865" i="8"/>
  <c r="O864" i="8"/>
  <c r="L864" i="8"/>
  <c r="K864" i="8"/>
  <c r="O863" i="8"/>
  <c r="L863" i="8"/>
  <c r="K863" i="8"/>
  <c r="O862" i="8"/>
  <c r="L862" i="8"/>
  <c r="K862" i="8"/>
  <c r="O861" i="8"/>
  <c r="L861" i="8"/>
  <c r="K861" i="8"/>
  <c r="O860" i="8"/>
  <c r="L860" i="8"/>
  <c r="K860" i="8"/>
  <c r="O859" i="8"/>
  <c r="L859" i="8"/>
  <c r="K859" i="8"/>
  <c r="O858" i="8"/>
  <c r="L858" i="8"/>
  <c r="K858" i="8"/>
  <c r="O857" i="8"/>
  <c r="L857" i="8"/>
  <c r="K857" i="8"/>
  <c r="O856" i="8"/>
  <c r="L856" i="8"/>
  <c r="K856" i="8"/>
  <c r="O855" i="8"/>
  <c r="L855" i="8"/>
  <c r="K855" i="8"/>
  <c r="O854" i="8"/>
  <c r="L854" i="8"/>
  <c r="K854" i="8"/>
  <c r="O853" i="8"/>
  <c r="L853" i="8"/>
  <c r="K853" i="8"/>
  <c r="O852" i="8"/>
  <c r="L852" i="8"/>
  <c r="K852" i="8"/>
  <c r="O851" i="8"/>
  <c r="L851" i="8"/>
  <c r="K851" i="8"/>
  <c r="O850" i="8"/>
  <c r="L850" i="8"/>
  <c r="K850" i="8"/>
  <c r="O849" i="8"/>
  <c r="L849" i="8"/>
  <c r="K849" i="8"/>
  <c r="O848" i="8"/>
  <c r="L848" i="8"/>
  <c r="K848" i="8"/>
  <c r="O847" i="8"/>
  <c r="L847" i="8"/>
  <c r="K847" i="8"/>
  <c r="O846" i="8"/>
  <c r="L846" i="8"/>
  <c r="K846" i="8"/>
  <c r="O845" i="8"/>
  <c r="L845" i="8"/>
  <c r="K845" i="8"/>
  <c r="O844" i="8"/>
  <c r="L844" i="8"/>
  <c r="K844" i="8"/>
  <c r="O843" i="8"/>
  <c r="L843" i="8"/>
  <c r="K843" i="8"/>
  <c r="O842" i="8"/>
  <c r="L842" i="8"/>
  <c r="K842" i="8"/>
  <c r="O841" i="8"/>
  <c r="L841" i="8"/>
  <c r="K841" i="8"/>
  <c r="O840" i="8"/>
  <c r="L840" i="8"/>
  <c r="K840" i="8"/>
  <c r="O839" i="8"/>
  <c r="L839" i="8"/>
  <c r="K839" i="8"/>
  <c r="O838" i="8"/>
  <c r="Q838" i="8" s="1"/>
  <c r="T838" i="8" s="1"/>
  <c r="L838" i="8"/>
  <c r="K838" i="8"/>
  <c r="O837" i="8"/>
  <c r="O836" i="8"/>
  <c r="O835" i="8"/>
  <c r="O834" i="8"/>
  <c r="O833" i="8"/>
  <c r="O832" i="8"/>
  <c r="O831" i="8"/>
  <c r="O830" i="8"/>
  <c r="O829" i="8"/>
  <c r="O828" i="8"/>
  <c r="O827" i="8"/>
  <c r="O826" i="8"/>
  <c r="O825" i="8"/>
  <c r="O824" i="8"/>
  <c r="O823" i="8"/>
  <c r="O822" i="8"/>
  <c r="O821" i="8"/>
  <c r="O820" i="8"/>
  <c r="O819" i="8"/>
  <c r="O818" i="8"/>
  <c r="O817" i="8"/>
  <c r="O816" i="8"/>
  <c r="O815" i="8"/>
  <c r="O814" i="8"/>
  <c r="O813" i="8"/>
  <c r="O812" i="8"/>
  <c r="O811" i="8"/>
  <c r="O810" i="8"/>
  <c r="O809" i="8"/>
  <c r="O808" i="8"/>
  <c r="O807" i="8"/>
  <c r="O806" i="8"/>
  <c r="O805" i="8"/>
  <c r="O804" i="8"/>
  <c r="O803" i="8"/>
  <c r="O802" i="8"/>
  <c r="O801" i="8"/>
  <c r="O800" i="8"/>
  <c r="O799" i="8"/>
  <c r="O798" i="8"/>
  <c r="O797" i="8"/>
  <c r="O796" i="8"/>
  <c r="O795" i="8"/>
  <c r="O794" i="8"/>
  <c r="O793" i="8"/>
  <c r="O792" i="8"/>
  <c r="O791" i="8"/>
  <c r="O790" i="8"/>
  <c r="O789" i="8"/>
  <c r="O788" i="8"/>
  <c r="O787" i="8"/>
  <c r="O786" i="8"/>
  <c r="O785" i="8"/>
  <c r="O784" i="8"/>
  <c r="O783" i="8"/>
  <c r="O782" i="8"/>
  <c r="O781" i="8"/>
  <c r="O780" i="8"/>
  <c r="O779" i="8"/>
  <c r="O778" i="8"/>
  <c r="O777" i="8"/>
  <c r="O776" i="8"/>
  <c r="O775" i="8"/>
  <c r="O774" i="8"/>
  <c r="O773" i="8"/>
  <c r="L773" i="8"/>
  <c r="K773" i="8"/>
  <c r="O772" i="8"/>
  <c r="L772" i="8"/>
  <c r="K772" i="8"/>
  <c r="O771" i="8"/>
  <c r="L771" i="8"/>
  <c r="K771" i="8"/>
  <c r="O770" i="8"/>
  <c r="L770" i="8"/>
  <c r="K770" i="8"/>
  <c r="O769" i="8"/>
  <c r="L769" i="8"/>
  <c r="K769" i="8"/>
  <c r="O768" i="8"/>
  <c r="L768" i="8"/>
  <c r="K768" i="8"/>
  <c r="O767" i="8"/>
  <c r="L767" i="8"/>
  <c r="K767" i="8"/>
  <c r="O766" i="8"/>
  <c r="L766" i="8"/>
  <c r="K766" i="8"/>
  <c r="O765" i="8"/>
  <c r="L765" i="8"/>
  <c r="K765" i="8"/>
  <c r="O764" i="8"/>
  <c r="L764" i="8"/>
  <c r="K764" i="8"/>
  <c r="O763" i="8"/>
  <c r="L763" i="8"/>
  <c r="K763" i="8"/>
  <c r="O762" i="8"/>
  <c r="L762" i="8"/>
  <c r="K762" i="8"/>
  <c r="O761" i="8"/>
  <c r="L761" i="8"/>
  <c r="K761" i="8"/>
  <c r="O760" i="8"/>
  <c r="L760" i="8"/>
  <c r="K760" i="8"/>
  <c r="O759" i="8"/>
  <c r="L759" i="8"/>
  <c r="K759" i="8"/>
  <c r="O758" i="8"/>
  <c r="L758" i="8"/>
  <c r="K758" i="8"/>
  <c r="O757" i="8"/>
  <c r="L757" i="8"/>
  <c r="K757" i="8"/>
  <c r="O756" i="8"/>
  <c r="L756" i="8"/>
  <c r="K756" i="8"/>
  <c r="O755" i="8"/>
  <c r="L755" i="8"/>
  <c r="K755" i="8"/>
  <c r="O754" i="8"/>
  <c r="L754" i="8"/>
  <c r="K754" i="8"/>
  <c r="O753" i="8"/>
  <c r="L753" i="8"/>
  <c r="K753" i="8"/>
  <c r="O752" i="8"/>
  <c r="L752" i="8"/>
  <c r="K752" i="8"/>
  <c r="O751" i="8"/>
  <c r="L751" i="8"/>
  <c r="K751" i="8"/>
  <c r="O750" i="8"/>
  <c r="L750" i="8"/>
  <c r="K750" i="8"/>
  <c r="O749" i="8"/>
  <c r="L749" i="8"/>
  <c r="K749" i="8"/>
  <c r="O748" i="8"/>
  <c r="L748" i="8"/>
  <c r="K748" i="8"/>
  <c r="O747" i="8"/>
  <c r="L747" i="8"/>
  <c r="K747" i="8"/>
  <c r="O746" i="8"/>
  <c r="L746" i="8"/>
  <c r="K746" i="8"/>
  <c r="O745" i="8"/>
  <c r="L745" i="8"/>
  <c r="K745" i="8"/>
  <c r="O744" i="8"/>
  <c r="L744" i="8"/>
  <c r="K744" i="8"/>
  <c r="O743" i="8"/>
  <c r="L743" i="8"/>
  <c r="K743" i="8"/>
  <c r="O742" i="8"/>
  <c r="L742" i="8"/>
  <c r="K742" i="8"/>
  <c r="O741" i="8"/>
  <c r="L741" i="8"/>
  <c r="K741" i="8"/>
  <c r="O740" i="8"/>
  <c r="L740" i="8"/>
  <c r="K740" i="8"/>
  <c r="O739" i="8"/>
  <c r="L739" i="8"/>
  <c r="K739" i="8"/>
  <c r="O738" i="8"/>
  <c r="L738" i="8"/>
  <c r="K738" i="8"/>
  <c r="O737" i="8"/>
  <c r="L737" i="8"/>
  <c r="K737" i="8"/>
  <c r="O736" i="8"/>
  <c r="L736" i="8"/>
  <c r="K736" i="8"/>
  <c r="O735" i="8"/>
  <c r="L735" i="8"/>
  <c r="K735" i="8"/>
  <c r="O734" i="8"/>
  <c r="L734" i="8"/>
  <c r="K734" i="8"/>
  <c r="O733" i="8"/>
  <c r="L733" i="8"/>
  <c r="K733" i="8"/>
  <c r="O732" i="8"/>
  <c r="L732" i="8"/>
  <c r="K732" i="8"/>
  <c r="O731" i="8"/>
  <c r="L731" i="8"/>
  <c r="K731" i="8"/>
  <c r="O730" i="8"/>
  <c r="L730" i="8"/>
  <c r="K730" i="8"/>
  <c r="O729" i="8"/>
  <c r="L729" i="8"/>
  <c r="K729" i="8"/>
  <c r="O728" i="8"/>
  <c r="L728" i="8"/>
  <c r="K728" i="8"/>
  <c r="O727" i="8"/>
  <c r="L727" i="8"/>
  <c r="K727" i="8"/>
  <c r="O726" i="8"/>
  <c r="L726" i="8"/>
  <c r="K726" i="8"/>
  <c r="O725" i="8"/>
  <c r="L725" i="8"/>
  <c r="K725" i="8"/>
  <c r="O724" i="8"/>
  <c r="L724" i="8"/>
  <c r="K724" i="8"/>
  <c r="O723" i="8"/>
  <c r="L723" i="8"/>
  <c r="K723" i="8"/>
  <c r="O722" i="8"/>
  <c r="L722" i="8"/>
  <c r="K722" i="8"/>
  <c r="O721" i="8"/>
  <c r="L721" i="8"/>
  <c r="K721" i="8"/>
  <c r="O720" i="8"/>
  <c r="L720" i="8"/>
  <c r="K720" i="8"/>
  <c r="O719" i="8"/>
  <c r="L719" i="8"/>
  <c r="K719" i="8"/>
  <c r="O718" i="8"/>
  <c r="L718" i="8"/>
  <c r="K718" i="8"/>
  <c r="O717" i="8"/>
  <c r="L717" i="8"/>
  <c r="K717" i="8"/>
  <c r="O716" i="8"/>
  <c r="L716" i="8"/>
  <c r="K716" i="8"/>
  <c r="O715" i="8"/>
  <c r="L715" i="8"/>
  <c r="K715" i="8"/>
  <c r="O714" i="8"/>
  <c r="L714" i="8"/>
  <c r="K714" i="8"/>
  <c r="O713" i="8"/>
  <c r="L713" i="8"/>
  <c r="K713" i="8"/>
  <c r="O712" i="8"/>
  <c r="L712" i="8"/>
  <c r="K712" i="8"/>
  <c r="O711" i="8"/>
  <c r="L711" i="8"/>
  <c r="K711" i="8"/>
  <c r="O710" i="8"/>
  <c r="L710" i="8"/>
  <c r="K710" i="8"/>
  <c r="O709" i="8"/>
  <c r="L709" i="8"/>
  <c r="K709" i="8"/>
  <c r="O708" i="8"/>
  <c r="Q708" i="8" s="1"/>
  <c r="T708" i="8" s="1"/>
  <c r="L708" i="8"/>
  <c r="K708" i="8"/>
  <c r="O707" i="8"/>
  <c r="O706" i="8"/>
  <c r="O705" i="8"/>
  <c r="O704" i="8"/>
  <c r="O703" i="8"/>
  <c r="O702" i="8"/>
  <c r="O701" i="8"/>
  <c r="O700" i="8"/>
  <c r="O699" i="8"/>
  <c r="O698" i="8"/>
  <c r="O697" i="8"/>
  <c r="O696" i="8"/>
  <c r="O695" i="8"/>
  <c r="O694" i="8"/>
  <c r="O693" i="8"/>
  <c r="O692" i="8"/>
  <c r="O691" i="8"/>
  <c r="O690" i="8"/>
  <c r="O689" i="8"/>
  <c r="O688" i="8"/>
  <c r="O687" i="8"/>
  <c r="O686" i="8"/>
  <c r="O685" i="8"/>
  <c r="O684" i="8"/>
  <c r="O683" i="8"/>
  <c r="L683" i="8"/>
  <c r="K683" i="8"/>
  <c r="O682" i="8"/>
  <c r="L682" i="8"/>
  <c r="K682" i="8"/>
  <c r="O681" i="8"/>
  <c r="L681" i="8"/>
  <c r="K681" i="8"/>
  <c r="O680" i="8"/>
  <c r="L680" i="8"/>
  <c r="K680" i="8"/>
  <c r="O679" i="8"/>
  <c r="L679" i="8"/>
  <c r="K679" i="8"/>
  <c r="O678" i="8"/>
  <c r="L678" i="8"/>
  <c r="K678" i="8"/>
  <c r="O677" i="8"/>
  <c r="L677" i="8"/>
  <c r="K677" i="8"/>
  <c r="O676" i="8"/>
  <c r="L676" i="8"/>
  <c r="K676" i="8"/>
  <c r="O675" i="8"/>
  <c r="L675" i="8"/>
  <c r="K675" i="8"/>
  <c r="O674" i="8"/>
  <c r="L674" i="8"/>
  <c r="K674" i="8"/>
  <c r="O673" i="8"/>
  <c r="L673" i="8"/>
  <c r="K673" i="8"/>
  <c r="O672" i="8"/>
  <c r="L672" i="8"/>
  <c r="K672" i="8"/>
  <c r="O671" i="8"/>
  <c r="L671" i="8"/>
  <c r="K671" i="8"/>
  <c r="O670" i="8"/>
  <c r="L670" i="8"/>
  <c r="K670" i="8"/>
  <c r="O669" i="8"/>
  <c r="L669" i="8"/>
  <c r="K669" i="8"/>
  <c r="O668" i="8"/>
  <c r="L668" i="8"/>
  <c r="K668" i="8"/>
  <c r="O667" i="8"/>
  <c r="L667" i="8"/>
  <c r="K667" i="8"/>
  <c r="O666" i="8"/>
  <c r="L666" i="8"/>
  <c r="K666" i="8"/>
  <c r="O665" i="8"/>
  <c r="L665" i="8"/>
  <c r="K665" i="8"/>
  <c r="O664" i="8"/>
  <c r="L664" i="8"/>
  <c r="K664" i="8"/>
  <c r="O663" i="8"/>
  <c r="L663" i="8"/>
  <c r="K663" i="8"/>
  <c r="O662" i="8"/>
  <c r="L662" i="8"/>
  <c r="K662" i="8"/>
  <c r="O661" i="8"/>
  <c r="L661" i="8"/>
  <c r="K661" i="8"/>
  <c r="O660" i="8"/>
  <c r="L660" i="8"/>
  <c r="K660" i="8"/>
  <c r="O659" i="8"/>
  <c r="L659" i="8"/>
  <c r="K659" i="8"/>
  <c r="O658" i="8"/>
  <c r="L658" i="8"/>
  <c r="K658" i="8"/>
  <c r="O657" i="8"/>
  <c r="L657" i="8"/>
  <c r="K657" i="8"/>
  <c r="O656" i="8"/>
  <c r="L656" i="8"/>
  <c r="K656" i="8"/>
  <c r="O655" i="8"/>
  <c r="L655" i="8"/>
  <c r="K655" i="8"/>
  <c r="O654" i="8"/>
  <c r="L654" i="8"/>
  <c r="K654" i="8"/>
  <c r="O653" i="8"/>
  <c r="L653" i="8"/>
  <c r="K653" i="8"/>
  <c r="O652" i="8"/>
  <c r="L652" i="8"/>
  <c r="K652" i="8"/>
  <c r="O651" i="8"/>
  <c r="L651" i="8"/>
  <c r="K651" i="8"/>
  <c r="O650" i="8"/>
  <c r="L650" i="8"/>
  <c r="K650" i="8"/>
  <c r="O649" i="8"/>
  <c r="L649" i="8"/>
  <c r="K649" i="8"/>
  <c r="O648" i="8"/>
  <c r="L648" i="8"/>
  <c r="K648" i="8"/>
  <c r="O647" i="8"/>
  <c r="L647" i="8"/>
  <c r="K647" i="8"/>
  <c r="O646" i="8"/>
  <c r="Q646" i="8" s="1"/>
  <c r="T646" i="8" s="1"/>
  <c r="L646" i="8"/>
  <c r="K646" i="8"/>
  <c r="O645" i="8"/>
  <c r="O644" i="8"/>
  <c r="O643" i="8"/>
  <c r="O642" i="8"/>
  <c r="O641" i="8"/>
  <c r="O640" i="8"/>
  <c r="O639" i="8"/>
  <c r="O638" i="8"/>
  <c r="O637" i="8"/>
  <c r="O636" i="8"/>
  <c r="O635" i="8"/>
  <c r="O634" i="8"/>
  <c r="O633" i="8"/>
  <c r="O632" i="8"/>
  <c r="O631" i="8"/>
  <c r="O630" i="8"/>
  <c r="O629" i="8"/>
  <c r="O628" i="8"/>
  <c r="O627" i="8"/>
  <c r="O626" i="8"/>
  <c r="O625" i="8"/>
  <c r="O624" i="8"/>
  <c r="O623" i="8"/>
  <c r="O622" i="8"/>
  <c r="O621" i="8"/>
  <c r="L621" i="8"/>
  <c r="K621" i="8"/>
  <c r="O620" i="8"/>
  <c r="L620" i="8"/>
  <c r="K620" i="8"/>
  <c r="O619" i="8"/>
  <c r="L619" i="8"/>
  <c r="K619" i="8"/>
  <c r="O618" i="8"/>
  <c r="L618" i="8"/>
  <c r="K618" i="8"/>
  <c r="O617" i="8"/>
  <c r="L617" i="8"/>
  <c r="K617" i="8"/>
  <c r="O616" i="8"/>
  <c r="L616" i="8"/>
  <c r="K616" i="8"/>
  <c r="O615" i="8"/>
  <c r="L615" i="8"/>
  <c r="K615" i="8"/>
  <c r="O614" i="8"/>
  <c r="L614" i="8"/>
  <c r="K614" i="8"/>
  <c r="O613" i="8"/>
  <c r="L613" i="8"/>
  <c r="K613" i="8"/>
  <c r="O612" i="8"/>
  <c r="L612" i="8"/>
  <c r="K612" i="8"/>
  <c r="O611" i="8"/>
  <c r="L611" i="8"/>
  <c r="K611" i="8"/>
  <c r="O610" i="8"/>
  <c r="L610" i="8"/>
  <c r="K610" i="8"/>
  <c r="O609" i="8"/>
  <c r="L609" i="8"/>
  <c r="K609" i="8"/>
  <c r="O608" i="8"/>
  <c r="L608" i="8"/>
  <c r="K608" i="8"/>
  <c r="O607" i="8"/>
  <c r="L607" i="8"/>
  <c r="K607" i="8"/>
  <c r="O606" i="8"/>
  <c r="L606" i="8"/>
  <c r="K606" i="8"/>
  <c r="O605" i="8"/>
  <c r="L605" i="8"/>
  <c r="K605" i="8"/>
  <c r="O604" i="8"/>
  <c r="L604" i="8"/>
  <c r="K604" i="8"/>
  <c r="O603" i="8"/>
  <c r="L603" i="8"/>
  <c r="K603" i="8"/>
  <c r="O602" i="8"/>
  <c r="L602" i="8"/>
  <c r="K602" i="8"/>
  <c r="O601" i="8"/>
  <c r="L601" i="8"/>
  <c r="K601" i="8"/>
  <c r="O600" i="8"/>
  <c r="L600" i="8"/>
  <c r="K600" i="8"/>
  <c r="O599" i="8"/>
  <c r="L599" i="8"/>
  <c r="K599" i="8"/>
  <c r="O598" i="8"/>
  <c r="L598" i="8"/>
  <c r="K598" i="8"/>
  <c r="O597" i="8"/>
  <c r="L597" i="8"/>
  <c r="K597" i="8"/>
  <c r="O596" i="8"/>
  <c r="L596" i="8"/>
  <c r="K596" i="8"/>
  <c r="O595" i="8"/>
  <c r="L595" i="8"/>
  <c r="K595" i="8"/>
  <c r="O594" i="8"/>
  <c r="L594" i="8"/>
  <c r="K594" i="8"/>
  <c r="O593" i="8"/>
  <c r="L593" i="8"/>
  <c r="K593" i="8"/>
  <c r="O592" i="8"/>
  <c r="L592" i="8"/>
  <c r="K592" i="8"/>
  <c r="O591" i="8"/>
  <c r="L591" i="8"/>
  <c r="K591" i="8"/>
  <c r="O590" i="8"/>
  <c r="L590" i="8"/>
  <c r="K590" i="8"/>
  <c r="O589" i="8"/>
  <c r="L589" i="8"/>
  <c r="K589" i="8"/>
  <c r="O588" i="8"/>
  <c r="L588" i="8"/>
  <c r="K588" i="8"/>
  <c r="O587" i="8"/>
  <c r="L587" i="8"/>
  <c r="K587" i="8"/>
  <c r="O586" i="8"/>
  <c r="L586" i="8"/>
  <c r="K586" i="8"/>
  <c r="O585" i="8"/>
  <c r="L585" i="8"/>
  <c r="K585" i="8"/>
  <c r="O584" i="8"/>
  <c r="Q584" i="8" s="1"/>
  <c r="T584" i="8" s="1"/>
  <c r="L584" i="8"/>
  <c r="K584" i="8"/>
  <c r="O583" i="8"/>
  <c r="O582" i="8"/>
  <c r="O581" i="8"/>
  <c r="O580" i="8"/>
  <c r="O579" i="8"/>
  <c r="O578" i="8"/>
  <c r="O577" i="8"/>
  <c r="L577" i="8"/>
  <c r="K577" i="8"/>
  <c r="O576" i="8"/>
  <c r="L576" i="8"/>
  <c r="K576" i="8"/>
  <c r="O575" i="8"/>
  <c r="L575" i="8"/>
  <c r="K575" i="8"/>
  <c r="O574" i="8"/>
  <c r="L574" i="8"/>
  <c r="K574" i="8"/>
  <c r="O573" i="8"/>
  <c r="L573" i="8"/>
  <c r="K573" i="8"/>
  <c r="O572" i="8"/>
  <c r="L572" i="8"/>
  <c r="K572" i="8"/>
  <c r="O571" i="8"/>
  <c r="L571" i="8"/>
  <c r="K571" i="8"/>
  <c r="O570" i="8"/>
  <c r="L570" i="8"/>
  <c r="K570" i="8"/>
  <c r="O569" i="8"/>
  <c r="L569" i="8"/>
  <c r="K569" i="8"/>
  <c r="O568" i="8"/>
  <c r="L568" i="8"/>
  <c r="K568" i="8"/>
  <c r="O567" i="8"/>
  <c r="L567" i="8"/>
  <c r="K567" i="8"/>
  <c r="O566" i="8"/>
  <c r="L566" i="8"/>
  <c r="K566" i="8"/>
  <c r="O565" i="8"/>
  <c r="L565" i="8"/>
  <c r="K565" i="8"/>
  <c r="O564" i="8"/>
  <c r="L564" i="8"/>
  <c r="K564" i="8"/>
  <c r="O563" i="8"/>
  <c r="L563" i="8"/>
  <c r="K563" i="8"/>
  <c r="O562" i="8"/>
  <c r="L562" i="8"/>
  <c r="K562" i="8"/>
  <c r="O561" i="8"/>
  <c r="L561" i="8"/>
  <c r="K561" i="8"/>
  <c r="O560" i="8"/>
  <c r="L560" i="8"/>
  <c r="K560" i="8"/>
  <c r="O559" i="8"/>
  <c r="L559" i="8"/>
  <c r="K559" i="8"/>
  <c r="O558" i="8"/>
  <c r="L558" i="8"/>
  <c r="K558" i="8"/>
  <c r="O557" i="8"/>
  <c r="Q557" i="8" s="1"/>
  <c r="T557" i="8" s="1"/>
  <c r="L557" i="8"/>
  <c r="K557" i="8"/>
  <c r="O556" i="8"/>
  <c r="O555" i="8"/>
  <c r="O554" i="8"/>
  <c r="O553" i="8"/>
  <c r="O552" i="8"/>
  <c r="O551" i="8"/>
  <c r="O550" i="8"/>
  <c r="O549" i="8"/>
  <c r="O548" i="8"/>
  <c r="O547" i="8"/>
  <c r="O546" i="8"/>
  <c r="O545" i="8"/>
  <c r="O544" i="8"/>
  <c r="O543" i="8"/>
  <c r="L543" i="8"/>
  <c r="K543" i="8"/>
  <c r="O542" i="8"/>
  <c r="L542" i="8"/>
  <c r="K542" i="8"/>
  <c r="O541" i="8"/>
  <c r="L541" i="8"/>
  <c r="K541" i="8"/>
  <c r="O540" i="8"/>
  <c r="L540" i="8"/>
  <c r="K540" i="8"/>
  <c r="O539" i="8"/>
  <c r="L539" i="8"/>
  <c r="K539" i="8"/>
  <c r="O538" i="8"/>
  <c r="L538" i="8"/>
  <c r="K538" i="8"/>
  <c r="O537" i="8"/>
  <c r="L537" i="8"/>
  <c r="K537" i="8"/>
  <c r="O536" i="8"/>
  <c r="L536" i="8"/>
  <c r="K536" i="8"/>
  <c r="O535" i="8"/>
  <c r="L535" i="8"/>
  <c r="K535" i="8"/>
  <c r="O534" i="8"/>
  <c r="L534" i="8"/>
  <c r="K534" i="8"/>
  <c r="O533" i="8"/>
  <c r="L533" i="8"/>
  <c r="K533" i="8"/>
  <c r="O532" i="8"/>
  <c r="L532" i="8"/>
  <c r="K532" i="8"/>
  <c r="O531" i="8"/>
  <c r="L531" i="8"/>
  <c r="K531" i="8"/>
  <c r="O530" i="8"/>
  <c r="L530" i="8"/>
  <c r="K530" i="8"/>
  <c r="O529" i="8"/>
  <c r="L529" i="8"/>
  <c r="K529" i="8"/>
  <c r="O528" i="8"/>
  <c r="L528" i="8"/>
  <c r="K528" i="8"/>
  <c r="O527" i="8"/>
  <c r="L527" i="8"/>
  <c r="K527" i="8"/>
  <c r="O526" i="8"/>
  <c r="L526" i="8"/>
  <c r="K526" i="8"/>
  <c r="O525" i="8"/>
  <c r="L525" i="8"/>
  <c r="K525" i="8"/>
  <c r="O524" i="8"/>
  <c r="L524" i="8"/>
  <c r="K524" i="8"/>
  <c r="O523" i="8"/>
  <c r="Q523" i="8" s="1"/>
  <c r="T523" i="8" s="1"/>
  <c r="L523" i="8"/>
  <c r="K523" i="8"/>
  <c r="O522" i="8"/>
  <c r="O521" i="8"/>
  <c r="O520" i="8"/>
  <c r="O519" i="8"/>
  <c r="O518" i="8"/>
  <c r="O517" i="8"/>
  <c r="O516" i="8"/>
  <c r="O515" i="8"/>
  <c r="O514" i="8"/>
  <c r="O513" i="8"/>
  <c r="O512" i="8"/>
  <c r="O511" i="8"/>
  <c r="O510" i="8"/>
  <c r="O509" i="8"/>
  <c r="L509" i="8"/>
  <c r="K509" i="8"/>
  <c r="O508" i="8"/>
  <c r="L508" i="8"/>
  <c r="K508" i="8"/>
  <c r="O507" i="8"/>
  <c r="L507" i="8"/>
  <c r="K507" i="8"/>
  <c r="O506" i="8"/>
  <c r="L506" i="8"/>
  <c r="K506" i="8"/>
  <c r="O505" i="8"/>
  <c r="L505" i="8"/>
  <c r="K505" i="8"/>
  <c r="O504" i="8"/>
  <c r="L504" i="8"/>
  <c r="K504" i="8"/>
  <c r="O503" i="8"/>
  <c r="L503" i="8"/>
  <c r="K503" i="8"/>
  <c r="O502" i="8"/>
  <c r="L502" i="8"/>
  <c r="K502" i="8"/>
  <c r="O501" i="8"/>
  <c r="Q501" i="8" s="1"/>
  <c r="T501" i="8" s="1"/>
  <c r="L501" i="8"/>
  <c r="K501" i="8"/>
  <c r="O500" i="8"/>
  <c r="O499" i="8"/>
  <c r="O498" i="8"/>
  <c r="O497" i="8"/>
  <c r="O496" i="8"/>
  <c r="O495" i="8"/>
  <c r="O494" i="8"/>
  <c r="O493" i="8"/>
  <c r="O492" i="8"/>
  <c r="O491" i="8"/>
  <c r="O490" i="8"/>
  <c r="O489" i="8"/>
  <c r="O488" i="8"/>
  <c r="O487" i="8"/>
  <c r="L487" i="8"/>
  <c r="K487" i="8"/>
  <c r="O486" i="8"/>
  <c r="L486" i="8"/>
  <c r="K486" i="8"/>
  <c r="O485" i="8"/>
  <c r="L485" i="8"/>
  <c r="K485" i="8"/>
  <c r="O484" i="8"/>
  <c r="L484" i="8"/>
  <c r="K484" i="8"/>
  <c r="O483" i="8"/>
  <c r="L483" i="8"/>
  <c r="K483" i="8"/>
  <c r="O482" i="8"/>
  <c r="L482" i="8"/>
  <c r="K482" i="8"/>
  <c r="O481" i="8"/>
  <c r="L481" i="8"/>
  <c r="K481" i="8"/>
  <c r="O480" i="8"/>
  <c r="L480" i="8"/>
  <c r="K480" i="8"/>
  <c r="O479" i="8"/>
  <c r="Q479" i="8" s="1"/>
  <c r="T479" i="8" s="1"/>
  <c r="L479" i="8"/>
  <c r="K479" i="8"/>
  <c r="O478" i="8"/>
  <c r="O477" i="8"/>
  <c r="O476" i="8"/>
  <c r="O475" i="8"/>
  <c r="O474" i="8"/>
  <c r="O473" i="8"/>
  <c r="O472" i="8"/>
  <c r="O471" i="8"/>
  <c r="O470" i="8"/>
  <c r="O469" i="8"/>
  <c r="O468" i="8"/>
  <c r="O467" i="8"/>
  <c r="O466" i="8"/>
  <c r="O465" i="8"/>
  <c r="O464" i="8"/>
  <c r="O463" i="8"/>
  <c r="O462" i="8"/>
  <c r="O461" i="8"/>
  <c r="L461" i="8"/>
  <c r="K461" i="8"/>
  <c r="O460" i="8"/>
  <c r="L460" i="8"/>
  <c r="K460" i="8"/>
  <c r="O459" i="8"/>
  <c r="L459" i="8"/>
  <c r="K459" i="8"/>
  <c r="O458" i="8"/>
  <c r="L458" i="8"/>
  <c r="K458" i="8"/>
  <c r="O457" i="8"/>
  <c r="L457" i="8"/>
  <c r="K457" i="8"/>
  <c r="O456" i="8"/>
  <c r="L456" i="8"/>
  <c r="K456" i="8"/>
  <c r="O455" i="8"/>
  <c r="L455" i="8"/>
  <c r="K455" i="8"/>
  <c r="O454" i="8"/>
  <c r="L454" i="8"/>
  <c r="K454" i="8"/>
  <c r="O453" i="8"/>
  <c r="L453" i="8"/>
  <c r="K453" i="8"/>
  <c r="O452" i="8"/>
  <c r="L452" i="8"/>
  <c r="K452" i="8"/>
  <c r="O451" i="8"/>
  <c r="L451" i="8"/>
  <c r="K451" i="8"/>
  <c r="O450" i="8"/>
  <c r="L450" i="8"/>
  <c r="K450" i="8"/>
  <c r="O449" i="8"/>
  <c r="L449" i="8"/>
  <c r="K449" i="8"/>
  <c r="O448" i="8"/>
  <c r="L448" i="8"/>
  <c r="K448" i="8"/>
  <c r="O447" i="8"/>
  <c r="L447" i="8"/>
  <c r="K447" i="8"/>
  <c r="O446" i="8"/>
  <c r="L446" i="8"/>
  <c r="K446" i="8"/>
  <c r="O445" i="8"/>
  <c r="Q445" i="8" s="1"/>
  <c r="T445" i="8" s="1"/>
  <c r="L445" i="8"/>
  <c r="K445" i="8"/>
  <c r="O444" i="8"/>
  <c r="O443" i="8"/>
  <c r="O442" i="8"/>
  <c r="O441" i="8"/>
  <c r="O440" i="8"/>
  <c r="O439" i="8"/>
  <c r="O438" i="8"/>
  <c r="O437" i="8"/>
  <c r="O436" i="8"/>
  <c r="O435" i="8"/>
  <c r="O434" i="8"/>
  <c r="O433" i="8"/>
  <c r="O432" i="8"/>
  <c r="O431" i="8"/>
  <c r="L431" i="8"/>
  <c r="K431" i="8"/>
  <c r="O430" i="8"/>
  <c r="L430" i="8"/>
  <c r="K430" i="8"/>
  <c r="O429" i="8"/>
  <c r="L429" i="8"/>
  <c r="K429" i="8"/>
  <c r="O428" i="8"/>
  <c r="L428" i="8"/>
  <c r="K428" i="8"/>
  <c r="O427" i="8"/>
  <c r="L427" i="8"/>
  <c r="K427" i="8"/>
  <c r="O426" i="8"/>
  <c r="L426" i="8"/>
  <c r="K426" i="8"/>
  <c r="O425" i="8"/>
  <c r="L425" i="8"/>
  <c r="K425" i="8"/>
  <c r="O424" i="8"/>
  <c r="L424" i="8"/>
  <c r="K424" i="8"/>
  <c r="O423" i="8"/>
  <c r="Q423" i="8" s="1"/>
  <c r="T423" i="8" s="1"/>
  <c r="L423" i="8"/>
  <c r="K423" i="8"/>
  <c r="O422" i="8"/>
  <c r="O421" i="8"/>
  <c r="O420" i="8"/>
  <c r="O419" i="8"/>
  <c r="O418" i="8"/>
  <c r="O417" i="8"/>
  <c r="O416" i="8"/>
  <c r="O415" i="8"/>
  <c r="O414" i="8"/>
  <c r="O413" i="8"/>
  <c r="O412" i="8"/>
  <c r="O411" i="8"/>
  <c r="O410" i="8"/>
  <c r="O409" i="8"/>
  <c r="O408" i="8"/>
  <c r="O407" i="8"/>
  <c r="O406" i="8"/>
  <c r="O405" i="8"/>
  <c r="L405" i="8"/>
  <c r="K405" i="8"/>
  <c r="O404" i="8"/>
  <c r="L404" i="8"/>
  <c r="K404" i="8"/>
  <c r="O403" i="8"/>
  <c r="L403" i="8"/>
  <c r="K403" i="8"/>
  <c r="O402" i="8"/>
  <c r="L402" i="8"/>
  <c r="K402" i="8"/>
  <c r="O401" i="8"/>
  <c r="L401" i="8"/>
  <c r="K401" i="8"/>
  <c r="O400" i="8"/>
  <c r="L400" i="8"/>
  <c r="K400" i="8"/>
  <c r="O399" i="8"/>
  <c r="L399" i="8"/>
  <c r="K399" i="8"/>
  <c r="O398" i="8"/>
  <c r="L398" i="8"/>
  <c r="K398" i="8"/>
  <c r="O397" i="8"/>
  <c r="L397" i="8"/>
  <c r="K397" i="8"/>
  <c r="O396" i="8"/>
  <c r="L396" i="8"/>
  <c r="K396" i="8"/>
  <c r="O395" i="8"/>
  <c r="L395" i="8"/>
  <c r="K395" i="8"/>
  <c r="O394" i="8"/>
  <c r="L394" i="8"/>
  <c r="K394" i="8"/>
  <c r="O393" i="8"/>
  <c r="L393" i="8"/>
  <c r="K393" i="8"/>
  <c r="O392" i="8"/>
  <c r="L392" i="8"/>
  <c r="K392" i="8"/>
  <c r="O391" i="8"/>
  <c r="L391" i="8"/>
  <c r="K391" i="8"/>
  <c r="O390" i="8"/>
  <c r="L390" i="8"/>
  <c r="K390" i="8"/>
  <c r="O389" i="8"/>
  <c r="Q389" i="8" s="1"/>
  <c r="T389" i="8" s="1"/>
  <c r="L389" i="8"/>
  <c r="K389" i="8"/>
  <c r="O388" i="8"/>
  <c r="O387" i="8"/>
  <c r="O386" i="8"/>
  <c r="O385" i="8"/>
  <c r="O384" i="8"/>
  <c r="O383" i="8"/>
  <c r="O382" i="8"/>
  <c r="O381" i="8"/>
  <c r="O380" i="8"/>
  <c r="O379" i="8"/>
  <c r="O378" i="8"/>
  <c r="O377" i="8"/>
  <c r="O376" i="8"/>
  <c r="O375" i="8"/>
  <c r="L375" i="8"/>
  <c r="K375" i="8"/>
  <c r="O374" i="8"/>
  <c r="L374" i="8"/>
  <c r="K374" i="8"/>
  <c r="O373" i="8"/>
  <c r="L373" i="8"/>
  <c r="K373" i="8"/>
  <c r="O372" i="8"/>
  <c r="L372" i="8"/>
  <c r="K372" i="8"/>
  <c r="O371" i="8"/>
  <c r="L371" i="8"/>
  <c r="K371" i="8"/>
  <c r="O370" i="8"/>
  <c r="L370" i="8"/>
  <c r="K370" i="8"/>
  <c r="O369" i="8"/>
  <c r="L369" i="8"/>
  <c r="K369" i="8"/>
  <c r="O368" i="8"/>
  <c r="L368" i="8"/>
  <c r="K368" i="8"/>
  <c r="O367" i="8"/>
  <c r="Q367" i="8" s="1"/>
  <c r="T367" i="8" s="1"/>
  <c r="L367" i="8"/>
  <c r="K367" i="8"/>
  <c r="O366" i="8"/>
  <c r="O365" i="8"/>
  <c r="L365" i="8"/>
  <c r="K365" i="8"/>
  <c r="O364" i="8"/>
  <c r="L364" i="8"/>
  <c r="K364" i="8"/>
  <c r="O363" i="8"/>
  <c r="L363" i="8"/>
  <c r="K363" i="8"/>
  <c r="O362" i="8"/>
  <c r="L362" i="8"/>
  <c r="K362" i="8"/>
  <c r="O361" i="8"/>
  <c r="L361" i="8"/>
  <c r="K361" i="8"/>
  <c r="O360" i="8"/>
  <c r="L360" i="8"/>
  <c r="K360" i="8"/>
  <c r="O359" i="8"/>
  <c r="L359" i="8"/>
  <c r="K359" i="8"/>
  <c r="O358" i="8"/>
  <c r="L358" i="8"/>
  <c r="K358" i="8"/>
  <c r="O357" i="8"/>
  <c r="L357" i="8"/>
  <c r="K357" i="8"/>
  <c r="O356" i="8"/>
  <c r="L356" i="8"/>
  <c r="K356" i="8"/>
  <c r="O355" i="8"/>
  <c r="L355" i="8"/>
  <c r="K355" i="8"/>
  <c r="O354" i="8"/>
  <c r="L354" i="8"/>
  <c r="K354" i="8"/>
  <c r="O353" i="8"/>
  <c r="L353" i="8"/>
  <c r="K353" i="8"/>
  <c r="O352" i="8"/>
  <c r="L352" i="8"/>
  <c r="K352" i="8"/>
  <c r="O351" i="8"/>
  <c r="L351" i="8"/>
  <c r="K351" i="8"/>
  <c r="O350" i="8"/>
  <c r="L350" i="8"/>
  <c r="K350" i="8"/>
  <c r="O349" i="8"/>
  <c r="L349" i="8"/>
  <c r="K349" i="8"/>
  <c r="O348" i="8"/>
  <c r="L348" i="8"/>
  <c r="K348" i="8"/>
  <c r="O347" i="8"/>
  <c r="L347" i="8"/>
  <c r="K347" i="8"/>
  <c r="O346" i="8"/>
  <c r="L346" i="8"/>
  <c r="K346" i="8"/>
  <c r="O345" i="8"/>
  <c r="L345" i="8"/>
  <c r="K345" i="8"/>
  <c r="O344" i="8"/>
  <c r="L344" i="8"/>
  <c r="K344" i="8"/>
  <c r="O343" i="8"/>
  <c r="L343" i="8"/>
  <c r="K343" i="8"/>
  <c r="O342" i="8"/>
  <c r="L342" i="8"/>
  <c r="K342" i="8"/>
  <c r="O341" i="8"/>
  <c r="L341" i="8"/>
  <c r="K341" i="8"/>
  <c r="O340" i="8"/>
  <c r="L340" i="8"/>
  <c r="K340" i="8"/>
  <c r="O339" i="8"/>
  <c r="L339" i="8"/>
  <c r="K339" i="8"/>
  <c r="O338" i="8"/>
  <c r="L338" i="8"/>
  <c r="K338" i="8"/>
  <c r="O337" i="8"/>
  <c r="L337" i="8"/>
  <c r="K337" i="8"/>
  <c r="O336" i="8"/>
  <c r="L336" i="8"/>
  <c r="K336" i="8"/>
  <c r="O335" i="8"/>
  <c r="L335" i="8"/>
  <c r="K335" i="8"/>
  <c r="O334" i="8"/>
  <c r="L334" i="8"/>
  <c r="K334" i="8"/>
  <c r="O333" i="8"/>
  <c r="L333" i="8"/>
  <c r="K333" i="8"/>
  <c r="O332" i="8"/>
  <c r="L332" i="8"/>
  <c r="K332" i="8"/>
  <c r="O331" i="8"/>
  <c r="L331" i="8"/>
  <c r="K331" i="8"/>
  <c r="O330" i="8"/>
  <c r="L330" i="8"/>
  <c r="K330" i="8"/>
  <c r="O329" i="8"/>
  <c r="L329" i="8"/>
  <c r="K329" i="8"/>
  <c r="O328" i="8"/>
  <c r="L328" i="8"/>
  <c r="K328" i="8"/>
  <c r="O327" i="8"/>
  <c r="L327" i="8"/>
  <c r="K327" i="8"/>
  <c r="O326" i="8"/>
  <c r="Q326" i="8" s="1"/>
  <c r="T326" i="8" s="1"/>
  <c r="L326" i="8"/>
  <c r="K326" i="8"/>
  <c r="O325" i="8"/>
  <c r="O324" i="8"/>
  <c r="L324" i="8"/>
  <c r="K324" i="8"/>
  <c r="O323" i="8"/>
  <c r="L323" i="8"/>
  <c r="K323" i="8"/>
  <c r="O322" i="8"/>
  <c r="L322" i="8"/>
  <c r="K322" i="8"/>
  <c r="O321" i="8"/>
  <c r="L321" i="8"/>
  <c r="K321" i="8"/>
  <c r="O320" i="8"/>
  <c r="L320" i="8"/>
  <c r="K320" i="8"/>
  <c r="O319" i="8"/>
  <c r="L319" i="8"/>
  <c r="K319" i="8"/>
  <c r="O318" i="8"/>
  <c r="L318" i="8"/>
  <c r="K318" i="8"/>
  <c r="O317" i="8"/>
  <c r="L317" i="8"/>
  <c r="K317" i="8"/>
  <c r="O316" i="8"/>
  <c r="L316" i="8"/>
  <c r="K316" i="8"/>
  <c r="O315" i="8"/>
  <c r="L315" i="8"/>
  <c r="K315" i="8"/>
  <c r="O314" i="8"/>
  <c r="L314" i="8"/>
  <c r="K314" i="8"/>
  <c r="O313" i="8"/>
  <c r="L313" i="8"/>
  <c r="K313" i="8"/>
  <c r="O312" i="8"/>
  <c r="L312" i="8"/>
  <c r="K312" i="8"/>
  <c r="O311" i="8"/>
  <c r="L311" i="8"/>
  <c r="K311" i="8"/>
  <c r="O310" i="8"/>
  <c r="L310" i="8"/>
  <c r="K310" i="8"/>
  <c r="O309" i="8"/>
  <c r="L309" i="8"/>
  <c r="K309" i="8"/>
  <c r="O308" i="8"/>
  <c r="L308" i="8"/>
  <c r="K308" i="8"/>
  <c r="O307" i="8"/>
  <c r="L307" i="8"/>
  <c r="K307" i="8"/>
  <c r="O306" i="8"/>
  <c r="L306" i="8"/>
  <c r="K306" i="8"/>
  <c r="O305" i="8"/>
  <c r="L305" i="8"/>
  <c r="K305" i="8"/>
  <c r="O304" i="8"/>
  <c r="L304" i="8"/>
  <c r="K304" i="8"/>
  <c r="O303" i="8"/>
  <c r="L303" i="8"/>
  <c r="K303" i="8"/>
  <c r="O302" i="8"/>
  <c r="L302" i="8"/>
  <c r="K302" i="8"/>
  <c r="O301" i="8"/>
  <c r="L301" i="8"/>
  <c r="K301" i="8"/>
  <c r="O300" i="8"/>
  <c r="L300" i="8"/>
  <c r="K300" i="8"/>
  <c r="O299" i="8"/>
  <c r="L299" i="8"/>
  <c r="K299" i="8"/>
  <c r="O298" i="8"/>
  <c r="L298" i="8"/>
  <c r="K298" i="8"/>
  <c r="O297" i="8"/>
  <c r="L297" i="8"/>
  <c r="K297" i="8"/>
  <c r="O296" i="8"/>
  <c r="L296" i="8"/>
  <c r="K296" i="8"/>
  <c r="O295" i="8"/>
  <c r="L295" i="8"/>
  <c r="K295" i="8"/>
  <c r="O294" i="8"/>
  <c r="L294" i="8"/>
  <c r="K294" i="8"/>
  <c r="O293" i="8"/>
  <c r="L293" i="8"/>
  <c r="K293" i="8"/>
  <c r="O292" i="8"/>
  <c r="L292" i="8"/>
  <c r="K292" i="8"/>
  <c r="O291" i="8"/>
  <c r="L291" i="8"/>
  <c r="K291" i="8"/>
  <c r="O290" i="8"/>
  <c r="L290" i="8"/>
  <c r="K290" i="8"/>
  <c r="O289" i="8"/>
  <c r="L289" i="8"/>
  <c r="K289" i="8"/>
  <c r="O288" i="8"/>
  <c r="L288" i="8"/>
  <c r="K288" i="8"/>
  <c r="O287" i="8"/>
  <c r="L287" i="8"/>
  <c r="K287" i="8"/>
  <c r="O286" i="8"/>
  <c r="L286" i="8"/>
  <c r="K286" i="8"/>
  <c r="O285" i="8"/>
  <c r="L285" i="8"/>
  <c r="K285" i="8"/>
  <c r="O284" i="8"/>
  <c r="L284" i="8"/>
  <c r="K284" i="8"/>
  <c r="O283" i="8"/>
  <c r="L283" i="8"/>
  <c r="K283" i="8"/>
  <c r="O282" i="8"/>
  <c r="L282" i="8"/>
  <c r="K282" i="8"/>
  <c r="O281" i="8"/>
  <c r="Q281" i="8" s="1"/>
  <c r="T281" i="8" s="1"/>
  <c r="L281" i="8"/>
  <c r="K281" i="8"/>
  <c r="O280" i="8"/>
  <c r="O279" i="8"/>
  <c r="L279" i="8"/>
  <c r="K279" i="8"/>
  <c r="O278" i="8"/>
  <c r="L278" i="8"/>
  <c r="K278" i="8"/>
  <c r="O277" i="8"/>
  <c r="L277" i="8"/>
  <c r="K277" i="8"/>
  <c r="O276" i="8"/>
  <c r="L276" i="8"/>
  <c r="K276" i="8"/>
  <c r="O275" i="8"/>
  <c r="L275" i="8"/>
  <c r="K275" i="8"/>
  <c r="O274" i="8"/>
  <c r="L274" i="8"/>
  <c r="K274" i="8"/>
  <c r="O273" i="8"/>
  <c r="L273" i="8"/>
  <c r="K273" i="8"/>
  <c r="O272" i="8"/>
  <c r="L272" i="8"/>
  <c r="K272" i="8"/>
  <c r="O271" i="8"/>
  <c r="L271" i="8"/>
  <c r="K271" i="8"/>
  <c r="O270" i="8"/>
  <c r="L270" i="8"/>
  <c r="K270" i="8"/>
  <c r="O269" i="8"/>
  <c r="L269" i="8"/>
  <c r="K269" i="8"/>
  <c r="O268" i="8"/>
  <c r="L268" i="8"/>
  <c r="K268" i="8"/>
  <c r="O267" i="8"/>
  <c r="L267" i="8"/>
  <c r="K267" i="8"/>
  <c r="O266" i="8"/>
  <c r="L266" i="8"/>
  <c r="K266" i="8"/>
  <c r="O265" i="8"/>
  <c r="L265" i="8"/>
  <c r="K265" i="8"/>
  <c r="O264" i="8"/>
  <c r="L264" i="8"/>
  <c r="K264" i="8"/>
  <c r="O263" i="8"/>
  <c r="L263" i="8"/>
  <c r="K263" i="8"/>
  <c r="O262" i="8"/>
  <c r="L262" i="8"/>
  <c r="K262" i="8"/>
  <c r="O261" i="8"/>
  <c r="L261" i="8"/>
  <c r="K261" i="8"/>
  <c r="O260" i="8"/>
  <c r="L260" i="8"/>
  <c r="K260" i="8"/>
  <c r="O259" i="8"/>
  <c r="L259" i="8"/>
  <c r="K259" i="8"/>
  <c r="O258" i="8"/>
  <c r="L258" i="8"/>
  <c r="K258" i="8"/>
  <c r="O257" i="8"/>
  <c r="L257" i="8"/>
  <c r="K257" i="8"/>
  <c r="O256" i="8"/>
  <c r="L256" i="8"/>
  <c r="K256" i="8"/>
  <c r="O255" i="8"/>
  <c r="L255" i="8"/>
  <c r="K255" i="8"/>
  <c r="O254" i="8"/>
  <c r="L254" i="8"/>
  <c r="K254" i="8"/>
  <c r="O253" i="8"/>
  <c r="L253" i="8"/>
  <c r="K253" i="8"/>
  <c r="O252" i="8"/>
  <c r="L252" i="8"/>
  <c r="K252" i="8"/>
  <c r="O251" i="8"/>
  <c r="L251" i="8"/>
  <c r="K251" i="8"/>
  <c r="O250" i="8"/>
  <c r="L250" i="8"/>
  <c r="K250" i="8"/>
  <c r="O249" i="8"/>
  <c r="L249" i="8"/>
  <c r="K249" i="8"/>
  <c r="O248" i="8"/>
  <c r="L248" i="8"/>
  <c r="K248" i="8"/>
  <c r="O247" i="8"/>
  <c r="L247" i="8"/>
  <c r="K247" i="8"/>
  <c r="O246" i="8"/>
  <c r="L246" i="8"/>
  <c r="K246" i="8"/>
  <c r="O245" i="8"/>
  <c r="L245" i="8"/>
  <c r="K245" i="8"/>
  <c r="O244" i="8"/>
  <c r="L244" i="8"/>
  <c r="K244" i="8"/>
  <c r="O243" i="8"/>
  <c r="L243" i="8"/>
  <c r="K243" i="8"/>
  <c r="O242" i="8"/>
  <c r="L242" i="8"/>
  <c r="K242" i="8"/>
  <c r="O241" i="8"/>
  <c r="L241" i="8"/>
  <c r="K241" i="8"/>
  <c r="O240" i="8"/>
  <c r="L240" i="8"/>
  <c r="K240" i="8"/>
  <c r="O239" i="8"/>
  <c r="L239" i="8"/>
  <c r="K239" i="8"/>
  <c r="O238" i="8"/>
  <c r="L238" i="8"/>
  <c r="K238" i="8"/>
  <c r="O237" i="8"/>
  <c r="L237" i="8"/>
  <c r="K237" i="8"/>
  <c r="O236" i="8"/>
  <c r="L236" i="8"/>
  <c r="K236" i="8"/>
  <c r="O235" i="8"/>
  <c r="L235" i="8"/>
  <c r="K235" i="8"/>
  <c r="O234" i="8"/>
  <c r="L234" i="8"/>
  <c r="K234" i="8"/>
  <c r="O233" i="8"/>
  <c r="L233" i="8"/>
  <c r="K233" i="8"/>
  <c r="O232" i="8"/>
  <c r="L232" i="8"/>
  <c r="K232" i="8"/>
  <c r="O231" i="8"/>
  <c r="L231" i="8"/>
  <c r="K231" i="8"/>
  <c r="O230" i="8"/>
  <c r="L230" i="8"/>
  <c r="K230" i="8"/>
  <c r="O229" i="8"/>
  <c r="L229" i="8"/>
  <c r="K229" i="8"/>
  <c r="O228" i="8"/>
  <c r="L228" i="8"/>
  <c r="K228" i="8"/>
  <c r="O227" i="8"/>
  <c r="L227" i="8"/>
  <c r="K227" i="8"/>
  <c r="O226" i="8"/>
  <c r="L226" i="8"/>
  <c r="K226" i="8"/>
  <c r="O225" i="8"/>
  <c r="L225" i="8"/>
  <c r="K225" i="8"/>
  <c r="O224" i="8"/>
  <c r="L224" i="8"/>
  <c r="K224" i="8"/>
  <c r="O223" i="8"/>
  <c r="L223" i="8"/>
  <c r="K223" i="8"/>
  <c r="O222" i="8"/>
  <c r="L222" i="8"/>
  <c r="K222" i="8"/>
  <c r="O221" i="8"/>
  <c r="L221" i="8"/>
  <c r="K221" i="8"/>
  <c r="O220" i="8"/>
  <c r="L220" i="8"/>
  <c r="K220" i="8"/>
  <c r="O219" i="8"/>
  <c r="L219" i="8"/>
  <c r="K219" i="8"/>
  <c r="O218" i="8"/>
  <c r="L218" i="8"/>
  <c r="K218" i="8"/>
  <c r="O217" i="8"/>
  <c r="L217" i="8"/>
  <c r="K217" i="8"/>
  <c r="O216" i="8"/>
  <c r="L216" i="8"/>
  <c r="K216" i="8"/>
  <c r="O215" i="8"/>
  <c r="L215" i="8"/>
  <c r="K215" i="8"/>
  <c r="O214" i="8"/>
  <c r="L214" i="8"/>
  <c r="K214" i="8"/>
  <c r="O213" i="8"/>
  <c r="L213" i="8"/>
  <c r="K213" i="8"/>
  <c r="O212" i="8"/>
  <c r="L212" i="8"/>
  <c r="K212" i="8"/>
  <c r="O211" i="8"/>
  <c r="L211" i="8"/>
  <c r="K211" i="8"/>
  <c r="O210" i="8"/>
  <c r="L210" i="8"/>
  <c r="K210" i="8"/>
  <c r="O209" i="8"/>
  <c r="L209" i="8"/>
  <c r="K209" i="8"/>
  <c r="O208" i="8"/>
  <c r="L208" i="8"/>
  <c r="K208" i="8"/>
  <c r="O207" i="8"/>
  <c r="L207" i="8"/>
  <c r="K207" i="8"/>
  <c r="O206" i="8"/>
  <c r="L206" i="8"/>
  <c r="K206" i="8"/>
  <c r="O205" i="8"/>
  <c r="L205" i="8"/>
  <c r="K205" i="8"/>
  <c r="O204" i="8"/>
  <c r="L204" i="8"/>
  <c r="K204" i="8"/>
  <c r="O203" i="8"/>
  <c r="L203" i="8"/>
  <c r="K203" i="8"/>
  <c r="O202" i="8"/>
  <c r="L202" i="8"/>
  <c r="K202" i="8"/>
  <c r="O201" i="8"/>
  <c r="L201" i="8"/>
  <c r="K201" i="8"/>
  <c r="O200" i="8"/>
  <c r="L200" i="8"/>
  <c r="K200" i="8"/>
  <c r="O199" i="8"/>
  <c r="L199" i="8"/>
  <c r="K199" i="8"/>
  <c r="O198" i="8"/>
  <c r="L198" i="8"/>
  <c r="K198" i="8"/>
  <c r="O197" i="8"/>
  <c r="Q197" i="8" s="1"/>
  <c r="T197" i="8" s="1"/>
  <c r="L197" i="8"/>
  <c r="K197" i="8"/>
  <c r="O196" i="8"/>
  <c r="O195" i="8"/>
  <c r="L195" i="8"/>
  <c r="K195" i="8"/>
  <c r="O194" i="8"/>
  <c r="L194" i="8"/>
  <c r="K194" i="8"/>
  <c r="O193" i="8"/>
  <c r="L193" i="8"/>
  <c r="K193" i="8"/>
  <c r="O192" i="8"/>
  <c r="L192" i="8"/>
  <c r="K192" i="8"/>
  <c r="O191" i="8"/>
  <c r="L191" i="8"/>
  <c r="K191" i="8"/>
  <c r="O190" i="8"/>
  <c r="L190" i="8"/>
  <c r="K190" i="8"/>
  <c r="O189" i="8"/>
  <c r="L189" i="8"/>
  <c r="K189" i="8"/>
  <c r="O188" i="8"/>
  <c r="L188" i="8"/>
  <c r="K188" i="8"/>
  <c r="O187" i="8"/>
  <c r="L187" i="8"/>
  <c r="K187" i="8"/>
  <c r="O186" i="8"/>
  <c r="L186" i="8"/>
  <c r="K186" i="8"/>
  <c r="O185" i="8"/>
  <c r="L185" i="8"/>
  <c r="K185" i="8"/>
  <c r="O184" i="8"/>
  <c r="L184" i="8"/>
  <c r="K184" i="8"/>
  <c r="O183" i="8"/>
  <c r="L183" i="8"/>
  <c r="K183" i="8"/>
  <c r="O182" i="8"/>
  <c r="L182" i="8"/>
  <c r="K182" i="8"/>
  <c r="O181" i="8"/>
  <c r="L181" i="8"/>
  <c r="K181" i="8"/>
  <c r="O180" i="8"/>
  <c r="L180" i="8"/>
  <c r="K180" i="8"/>
  <c r="O179" i="8"/>
  <c r="L179" i="8"/>
  <c r="K179" i="8"/>
  <c r="O178" i="8"/>
  <c r="L178" i="8"/>
  <c r="K178" i="8"/>
  <c r="O177" i="8"/>
  <c r="L177" i="8"/>
  <c r="K177" i="8"/>
  <c r="O176" i="8"/>
  <c r="L176" i="8"/>
  <c r="K176" i="8"/>
  <c r="O175" i="8"/>
  <c r="L175" i="8"/>
  <c r="K175" i="8"/>
  <c r="O174" i="8"/>
  <c r="L174" i="8"/>
  <c r="K174" i="8"/>
  <c r="O173" i="8"/>
  <c r="L173" i="8"/>
  <c r="K173" i="8"/>
  <c r="O172" i="8"/>
  <c r="L172" i="8"/>
  <c r="K172" i="8"/>
  <c r="O171" i="8"/>
  <c r="L171" i="8"/>
  <c r="K171" i="8"/>
  <c r="O170" i="8"/>
  <c r="L170" i="8"/>
  <c r="K170" i="8"/>
  <c r="O169" i="8"/>
  <c r="L169" i="8"/>
  <c r="K169" i="8"/>
  <c r="O168" i="8"/>
  <c r="L168" i="8"/>
  <c r="K168" i="8"/>
  <c r="O167" i="8"/>
  <c r="L167" i="8"/>
  <c r="K167" i="8"/>
  <c r="O166" i="8"/>
  <c r="L166" i="8"/>
  <c r="K166" i="8"/>
  <c r="O165" i="8"/>
  <c r="L165" i="8"/>
  <c r="K165" i="8"/>
  <c r="O164" i="8"/>
  <c r="L164" i="8"/>
  <c r="K164" i="8"/>
  <c r="O163" i="8"/>
  <c r="L163" i="8"/>
  <c r="K163" i="8"/>
  <c r="O162" i="8"/>
  <c r="L162" i="8"/>
  <c r="K162" i="8"/>
  <c r="O161" i="8"/>
  <c r="L161" i="8"/>
  <c r="K161" i="8"/>
  <c r="O160" i="8"/>
  <c r="L160" i="8"/>
  <c r="K160" i="8"/>
  <c r="O159" i="8"/>
  <c r="L159" i="8"/>
  <c r="K159" i="8"/>
  <c r="O158" i="8"/>
  <c r="L158" i="8"/>
  <c r="K158" i="8"/>
  <c r="O157" i="8"/>
  <c r="L157" i="8"/>
  <c r="K157" i="8"/>
  <c r="O156" i="8"/>
  <c r="L156" i="8"/>
  <c r="K156" i="8"/>
  <c r="O155" i="8"/>
  <c r="L155" i="8"/>
  <c r="K155" i="8"/>
  <c r="O154" i="8"/>
  <c r="Q154" i="8" s="1"/>
  <c r="T154" i="8" s="1"/>
  <c r="L154" i="8"/>
  <c r="K154" i="8"/>
  <c r="O153" i="8"/>
  <c r="O152" i="8"/>
  <c r="L152" i="8"/>
  <c r="K152" i="8"/>
  <c r="O151" i="8"/>
  <c r="L151" i="8"/>
  <c r="K151" i="8"/>
  <c r="O150" i="8"/>
  <c r="L150" i="8"/>
  <c r="K150" i="8"/>
  <c r="O149" i="8"/>
  <c r="L149" i="8"/>
  <c r="K149" i="8"/>
  <c r="O148" i="8"/>
  <c r="L148" i="8"/>
  <c r="K148" i="8"/>
  <c r="O147" i="8"/>
  <c r="L147" i="8"/>
  <c r="K147" i="8"/>
  <c r="O146" i="8"/>
  <c r="L146" i="8"/>
  <c r="K146" i="8"/>
  <c r="O145" i="8"/>
  <c r="L145" i="8"/>
  <c r="K145" i="8"/>
  <c r="O144" i="8"/>
  <c r="L144" i="8"/>
  <c r="K144" i="8"/>
  <c r="O143" i="8"/>
  <c r="L143" i="8"/>
  <c r="K143" i="8"/>
  <c r="O142" i="8"/>
  <c r="L142" i="8"/>
  <c r="K142" i="8"/>
  <c r="O141" i="8"/>
  <c r="L141" i="8"/>
  <c r="K141" i="8"/>
  <c r="O140" i="8"/>
  <c r="L140" i="8"/>
  <c r="K140" i="8"/>
  <c r="O139" i="8"/>
  <c r="L139" i="8"/>
  <c r="K139" i="8"/>
  <c r="O138" i="8"/>
  <c r="L138" i="8"/>
  <c r="K138" i="8"/>
  <c r="O137" i="8"/>
  <c r="L137" i="8"/>
  <c r="K137" i="8"/>
  <c r="O136" i="8"/>
  <c r="L136" i="8"/>
  <c r="K136" i="8"/>
  <c r="O135" i="8"/>
  <c r="L135" i="8"/>
  <c r="K135" i="8"/>
  <c r="O134" i="8"/>
  <c r="L134" i="8"/>
  <c r="K134" i="8"/>
  <c r="O133" i="8"/>
  <c r="L133" i="8"/>
  <c r="K133" i="8"/>
  <c r="O132" i="8"/>
  <c r="L132" i="8"/>
  <c r="K132" i="8"/>
  <c r="O131" i="8"/>
  <c r="L131" i="8"/>
  <c r="K131" i="8"/>
  <c r="O130" i="8"/>
  <c r="L130" i="8"/>
  <c r="K130" i="8"/>
  <c r="O129" i="8"/>
  <c r="L129" i="8"/>
  <c r="K129" i="8"/>
  <c r="O128" i="8"/>
  <c r="L128" i="8"/>
  <c r="K128" i="8"/>
  <c r="O127" i="8"/>
  <c r="L127" i="8"/>
  <c r="K127" i="8"/>
  <c r="O126" i="8"/>
  <c r="L126" i="8"/>
  <c r="K126" i="8"/>
  <c r="O125" i="8"/>
  <c r="L125" i="8"/>
  <c r="K125" i="8"/>
  <c r="O124" i="8"/>
  <c r="L124" i="8"/>
  <c r="K124" i="8"/>
  <c r="O123" i="8"/>
  <c r="L123" i="8"/>
  <c r="K123" i="8"/>
  <c r="O122" i="8"/>
  <c r="L122" i="8"/>
  <c r="K122" i="8"/>
  <c r="O121" i="8"/>
  <c r="L121" i="8"/>
  <c r="K121" i="8"/>
  <c r="O120" i="8"/>
  <c r="L120" i="8"/>
  <c r="K120" i="8"/>
  <c r="O119" i="8"/>
  <c r="L119" i="8"/>
  <c r="K119" i="8"/>
  <c r="O118" i="8"/>
  <c r="L118" i="8"/>
  <c r="K118" i="8"/>
  <c r="O117" i="8"/>
  <c r="L117" i="8"/>
  <c r="K117" i="8"/>
  <c r="O116" i="8"/>
  <c r="L116" i="8"/>
  <c r="K116" i="8"/>
  <c r="O115" i="8"/>
  <c r="L115" i="8"/>
  <c r="K115" i="8"/>
  <c r="O114" i="8"/>
  <c r="L114" i="8"/>
  <c r="K114" i="8"/>
  <c r="O113" i="8"/>
  <c r="Q113" i="8" s="1"/>
  <c r="T113" i="8" s="1"/>
  <c r="L113" i="8"/>
  <c r="K113" i="8"/>
  <c r="O112" i="8"/>
  <c r="O111" i="8"/>
  <c r="L111" i="8"/>
  <c r="K111" i="8"/>
  <c r="O110" i="8"/>
  <c r="L110" i="8"/>
  <c r="K110" i="8"/>
  <c r="O109" i="8"/>
  <c r="L109" i="8"/>
  <c r="K109" i="8"/>
  <c r="O108" i="8"/>
  <c r="L108" i="8"/>
  <c r="K108" i="8"/>
  <c r="O107" i="8"/>
  <c r="L107" i="8"/>
  <c r="K107" i="8"/>
  <c r="O106" i="8"/>
  <c r="L106" i="8"/>
  <c r="K106" i="8"/>
  <c r="O105" i="8"/>
  <c r="L105" i="8"/>
  <c r="K105" i="8"/>
  <c r="O104" i="8"/>
  <c r="L104" i="8"/>
  <c r="K104" i="8"/>
  <c r="O103" i="8"/>
  <c r="L103" i="8"/>
  <c r="K103" i="8"/>
  <c r="O102" i="8"/>
  <c r="L102" i="8"/>
  <c r="K102" i="8"/>
  <c r="O101" i="8"/>
  <c r="L101" i="8"/>
  <c r="K101" i="8"/>
  <c r="O100" i="8"/>
  <c r="L100" i="8"/>
  <c r="K100" i="8"/>
  <c r="O99" i="8"/>
  <c r="L99" i="8"/>
  <c r="K99" i="8"/>
  <c r="O98" i="8"/>
  <c r="L98" i="8"/>
  <c r="K98" i="8"/>
  <c r="O97" i="8"/>
  <c r="L97" i="8"/>
  <c r="K97" i="8"/>
  <c r="O96" i="8"/>
  <c r="L96" i="8"/>
  <c r="K96" i="8"/>
  <c r="O95" i="8"/>
  <c r="L95" i="8"/>
  <c r="K95" i="8"/>
  <c r="O94" i="8"/>
  <c r="L94" i="8"/>
  <c r="K94" i="8"/>
  <c r="O93" i="8"/>
  <c r="L93" i="8"/>
  <c r="K93" i="8"/>
  <c r="O92" i="8"/>
  <c r="L92" i="8"/>
  <c r="K92" i="8"/>
  <c r="O91" i="8"/>
  <c r="L91" i="8"/>
  <c r="K91" i="8"/>
  <c r="O90" i="8"/>
  <c r="L90" i="8"/>
  <c r="K90" i="8"/>
  <c r="O89" i="8"/>
  <c r="L89" i="8"/>
  <c r="K89" i="8"/>
  <c r="O88" i="8"/>
  <c r="L88" i="8"/>
  <c r="K88" i="8"/>
  <c r="O87" i="8"/>
  <c r="L87" i="8"/>
  <c r="K87" i="8"/>
  <c r="O86" i="8"/>
  <c r="L86" i="8"/>
  <c r="K86" i="8"/>
  <c r="O85" i="8"/>
  <c r="L85" i="8"/>
  <c r="K85" i="8"/>
  <c r="O84" i="8"/>
  <c r="L84" i="8"/>
  <c r="K84" i="8"/>
  <c r="O83" i="8"/>
  <c r="L83" i="8"/>
  <c r="K83" i="8"/>
  <c r="O82" i="8"/>
  <c r="L82" i="8"/>
  <c r="K82" i="8"/>
  <c r="O81" i="8"/>
  <c r="L81" i="8"/>
  <c r="K81" i="8"/>
  <c r="O80" i="8"/>
  <c r="L80" i="8"/>
  <c r="K80" i="8"/>
  <c r="O79" i="8"/>
  <c r="L79" i="8"/>
  <c r="K79" i="8"/>
  <c r="O78" i="8"/>
  <c r="L78" i="8"/>
  <c r="K78" i="8"/>
  <c r="O77" i="8"/>
  <c r="L77" i="8"/>
  <c r="K77" i="8"/>
  <c r="O76" i="8"/>
  <c r="L76" i="8"/>
  <c r="K76" i="8"/>
  <c r="O75" i="8"/>
  <c r="L75" i="8"/>
  <c r="K75" i="8"/>
  <c r="O74" i="8"/>
  <c r="L74" i="8"/>
  <c r="K74" i="8"/>
  <c r="O73" i="8"/>
  <c r="L73" i="8"/>
  <c r="K73" i="8"/>
  <c r="O72" i="8"/>
  <c r="L72" i="8"/>
  <c r="K72" i="8"/>
  <c r="O71" i="8"/>
  <c r="L71" i="8"/>
  <c r="K71" i="8"/>
  <c r="O70" i="8"/>
  <c r="Q70" i="8" s="1"/>
  <c r="T70" i="8" s="1"/>
  <c r="L70" i="8"/>
  <c r="K70" i="8"/>
  <c r="O69" i="8"/>
  <c r="O68" i="8"/>
  <c r="L68" i="8"/>
  <c r="K68" i="8"/>
  <c r="O67" i="8"/>
  <c r="L67" i="8"/>
  <c r="K67" i="8"/>
  <c r="O66" i="8"/>
  <c r="L66" i="8"/>
  <c r="K66" i="8"/>
  <c r="O65" i="8"/>
  <c r="L65" i="8"/>
  <c r="K65" i="8"/>
  <c r="O64" i="8"/>
  <c r="L64" i="8"/>
  <c r="K64" i="8"/>
  <c r="O63" i="8"/>
  <c r="L63" i="8"/>
  <c r="K63" i="8"/>
  <c r="O62" i="8"/>
  <c r="L62" i="8"/>
  <c r="K62" i="8"/>
  <c r="O61" i="8"/>
  <c r="L61" i="8"/>
  <c r="K61" i="8"/>
  <c r="O60" i="8"/>
  <c r="L60" i="8"/>
  <c r="K60" i="8"/>
  <c r="O59" i="8"/>
  <c r="L59" i="8"/>
  <c r="K59" i="8"/>
  <c r="O58" i="8"/>
  <c r="L58" i="8"/>
  <c r="K58" i="8"/>
  <c r="O57" i="8"/>
  <c r="L57" i="8"/>
  <c r="K57" i="8"/>
  <c r="O56" i="8"/>
  <c r="L56" i="8"/>
  <c r="K56" i="8"/>
  <c r="O55" i="8"/>
  <c r="L55" i="8"/>
  <c r="K55" i="8"/>
  <c r="O54" i="8"/>
  <c r="L54" i="8"/>
  <c r="K54" i="8"/>
  <c r="O53" i="8"/>
  <c r="L53" i="8"/>
  <c r="K53" i="8"/>
  <c r="O52" i="8"/>
  <c r="L52" i="8"/>
  <c r="K52" i="8"/>
  <c r="O51" i="8"/>
  <c r="L51" i="8"/>
  <c r="K51" i="8"/>
  <c r="O50" i="8"/>
  <c r="L50" i="8"/>
  <c r="K50" i="8"/>
  <c r="O49" i="8"/>
  <c r="L49" i="8"/>
  <c r="K49" i="8"/>
  <c r="O48" i="8"/>
  <c r="L48" i="8"/>
  <c r="K48" i="8"/>
  <c r="O47" i="8"/>
  <c r="L47" i="8"/>
  <c r="K47" i="8"/>
  <c r="O46" i="8"/>
  <c r="L46" i="8"/>
  <c r="K46" i="8"/>
  <c r="O45" i="8"/>
  <c r="L45" i="8"/>
  <c r="K45" i="8"/>
  <c r="O44" i="8"/>
  <c r="L44" i="8"/>
  <c r="K44" i="8"/>
  <c r="O43" i="8"/>
  <c r="L43" i="8"/>
  <c r="K43" i="8"/>
  <c r="O42" i="8"/>
  <c r="L42" i="8"/>
  <c r="K42" i="8"/>
  <c r="O41" i="8"/>
  <c r="L41" i="8"/>
  <c r="K41" i="8"/>
  <c r="O40" i="8"/>
  <c r="L40" i="8"/>
  <c r="K40" i="8"/>
  <c r="O39" i="8"/>
  <c r="L39" i="8"/>
  <c r="K39" i="8"/>
  <c r="O38" i="8"/>
  <c r="L38" i="8"/>
  <c r="K38" i="8"/>
  <c r="O37" i="8"/>
  <c r="L37" i="8"/>
  <c r="K37" i="8"/>
  <c r="O36" i="8"/>
  <c r="L36" i="8"/>
  <c r="K36" i="8"/>
  <c r="O35" i="8"/>
  <c r="L35" i="8"/>
  <c r="K35" i="8"/>
  <c r="O34" i="8"/>
  <c r="L34" i="8"/>
  <c r="K34" i="8"/>
  <c r="O33" i="8"/>
  <c r="L33" i="8"/>
  <c r="K33" i="8"/>
  <c r="O32" i="8"/>
  <c r="L32" i="8"/>
  <c r="K32" i="8"/>
  <c r="O31" i="8"/>
  <c r="L31" i="8"/>
  <c r="K31" i="8"/>
  <c r="O30" i="8"/>
  <c r="L30" i="8"/>
  <c r="K30" i="8"/>
  <c r="O29" i="8"/>
  <c r="L29" i="8"/>
  <c r="K29" i="8"/>
  <c r="O28" i="8"/>
  <c r="L28" i="8"/>
  <c r="K28" i="8"/>
  <c r="O27" i="8"/>
  <c r="Q27" i="8" s="1"/>
  <c r="T27" i="8" s="1"/>
  <c r="L27" i="8"/>
  <c r="K27" i="8"/>
  <c r="O26" i="8"/>
  <c r="L26" i="8"/>
  <c r="O25" i="8"/>
  <c r="Q25" i="8" s="1"/>
  <c r="T25" i="8" s="1"/>
  <c r="L25" i="8"/>
  <c r="K25" i="8"/>
  <c r="O24" i="8"/>
  <c r="Q24" i="8" s="1"/>
  <c r="T24" i="8" s="1"/>
  <c r="L24" i="8"/>
  <c r="O23" i="8"/>
  <c r="Q23" i="8" s="1"/>
  <c r="T23" i="8" s="1"/>
  <c r="L23" i="8"/>
  <c r="O22" i="8"/>
  <c r="Q22" i="8" s="1"/>
  <c r="T22" i="8" s="1"/>
  <c r="L22" i="8"/>
  <c r="O21" i="8"/>
  <c r="Q21" i="8" s="1"/>
  <c r="T21" i="8" s="1"/>
  <c r="L21" i="8"/>
  <c r="O20" i="8"/>
  <c r="Q20" i="8" s="1"/>
  <c r="T20" i="8" s="1"/>
  <c r="L20" i="8"/>
  <c r="O19" i="8"/>
  <c r="Q19" i="8" s="1"/>
  <c r="T19" i="8" s="1"/>
  <c r="L19" i="8"/>
  <c r="O18" i="8"/>
  <c r="Q18" i="8" s="1"/>
  <c r="T18" i="8" s="1"/>
  <c r="L18" i="8"/>
  <c r="O17" i="8"/>
  <c r="Q17" i="8" s="1"/>
  <c r="T17" i="8" s="1"/>
  <c r="L17" i="8"/>
  <c r="O16" i="8"/>
  <c r="Q16" i="8" s="1"/>
  <c r="T16" i="8" s="1"/>
  <c r="L16" i="8"/>
  <c r="O15" i="8"/>
  <c r="Q15" i="8" s="1"/>
  <c r="T15" i="8" s="1"/>
  <c r="L15" i="8"/>
  <c r="O14" i="8"/>
  <c r="Q14" i="8" s="1"/>
  <c r="T14" i="8" s="1"/>
  <c r="L14" i="8"/>
  <c r="O13" i="8"/>
  <c r="Q13" i="8" s="1"/>
  <c r="T13" i="8" s="1"/>
  <c r="L13" i="8"/>
  <c r="O12" i="8"/>
  <c r="Q12" i="8" s="1"/>
  <c r="T12" i="8" s="1"/>
  <c r="L12" i="8"/>
  <c r="K12" i="8"/>
  <c r="O11" i="8"/>
  <c r="Q11" i="8" s="1"/>
  <c r="T11" i="8" s="1"/>
  <c r="L11" i="8"/>
  <c r="K11" i="8"/>
  <c r="O10" i="8"/>
  <c r="Q10" i="8" s="1"/>
  <c r="T10" i="8" s="1"/>
  <c r="L10" i="8"/>
  <c r="K10" i="8"/>
  <c r="O9" i="8"/>
  <c r="Q9" i="8" s="1"/>
  <c r="T9" i="8" s="1"/>
  <c r="L9" i="8"/>
  <c r="K9" i="8"/>
  <c r="O8" i="8"/>
  <c r="Q8" i="8" s="1"/>
  <c r="T8" i="8" s="1"/>
  <c r="L8" i="8"/>
  <c r="K8" i="8"/>
  <c r="O7" i="8"/>
  <c r="Q7" i="8" s="1"/>
  <c r="T7" i="8" s="1"/>
  <c r="L7" i="8"/>
  <c r="K7" i="8"/>
  <c r="O6" i="8"/>
  <c r="Q6" i="8" s="1"/>
  <c r="T6" i="8" s="1"/>
  <c r="L6" i="8"/>
  <c r="K6" i="8"/>
  <c r="O5" i="8"/>
  <c r="Q5" i="8" s="1"/>
  <c r="T5" i="8" s="1"/>
  <c r="L5" i="8"/>
  <c r="K5" i="8"/>
  <c r="O4" i="8"/>
  <c r="Q4" i="8" s="1"/>
  <c r="T4" i="8" s="1"/>
  <c r="L4" i="8"/>
  <c r="K4" i="8"/>
  <c r="O3" i="8"/>
  <c r="Q3" i="8" s="1"/>
  <c r="T3" i="8" s="1"/>
  <c r="L3" i="8"/>
  <c r="K3" i="8"/>
  <c r="O2" i="8"/>
  <c r="Q2" i="8" s="1"/>
  <c r="T2" i="8" s="1"/>
  <c r="L2" i="8"/>
  <c r="K2" i="8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Y14" i="7"/>
  <c r="AA65" i="7" s="1"/>
  <c r="E14" i="7"/>
  <c r="D14" i="7"/>
  <c r="E13" i="7"/>
  <c r="D13" i="7"/>
  <c r="E12" i="7"/>
  <c r="D12" i="7"/>
  <c r="E11" i="7"/>
  <c r="D11" i="7"/>
  <c r="E22" i="13"/>
  <c r="D22" i="13"/>
  <c r="E21" i="13"/>
  <c r="D21" i="13"/>
  <c r="E20" i="13"/>
  <c r="D20" i="13"/>
  <c r="E19" i="13"/>
  <c r="D19" i="13"/>
  <c r="E18" i="13"/>
  <c r="D18" i="13"/>
  <c r="E17" i="13"/>
  <c r="D17" i="13"/>
  <c r="E16" i="13"/>
  <c r="D16" i="13"/>
  <c r="E15" i="13"/>
  <c r="D15" i="13"/>
  <c r="Y14" i="13"/>
  <c r="Y20" i="13" s="1"/>
  <c r="E14" i="13"/>
  <c r="D14" i="13"/>
  <c r="E13" i="13"/>
  <c r="D13" i="13"/>
  <c r="E12" i="13"/>
  <c r="D12" i="13"/>
  <c r="E11" i="13"/>
  <c r="D11" i="13"/>
  <c r="E22" i="14"/>
  <c r="L22" i="14" s="1"/>
  <c r="D22" i="14"/>
  <c r="K22" i="14" s="1"/>
  <c r="E21" i="14"/>
  <c r="L21" i="14" s="1"/>
  <c r="D21" i="14"/>
  <c r="K21" i="14" s="1"/>
  <c r="E20" i="14"/>
  <c r="L20" i="14" s="1"/>
  <c r="D20" i="14"/>
  <c r="K20" i="14" s="1"/>
  <c r="E19" i="14"/>
  <c r="L19" i="14" s="1"/>
  <c r="D19" i="14"/>
  <c r="K19" i="14" s="1"/>
  <c r="E18" i="14"/>
  <c r="D18" i="14"/>
  <c r="E17" i="14"/>
  <c r="D17" i="14"/>
  <c r="E16" i="14"/>
  <c r="D16" i="14"/>
  <c r="E15" i="14"/>
  <c r="D15" i="14"/>
  <c r="Y14" i="14"/>
  <c r="Z109" i="14" s="1"/>
  <c r="E14" i="14"/>
  <c r="D14" i="14"/>
  <c r="E13" i="14"/>
  <c r="D13" i="14"/>
  <c r="E12" i="14"/>
  <c r="D12" i="14"/>
  <c r="E11" i="14"/>
  <c r="D11" i="14"/>
  <c r="T11" i="7" l="1"/>
  <c r="R11" i="7"/>
  <c r="R22" i="13"/>
  <c r="T22" i="13"/>
  <c r="R21" i="13"/>
  <c r="T21" i="13"/>
  <c r="T20" i="13"/>
  <c r="S20" i="13"/>
  <c r="R20" i="13"/>
  <c r="R19" i="13"/>
  <c r="T19" i="13"/>
  <c r="S19" i="13"/>
  <c r="T18" i="13"/>
  <c r="R18" i="13"/>
  <c r="T17" i="13"/>
  <c r="R17" i="13"/>
  <c r="T16" i="13"/>
  <c r="R16" i="13"/>
  <c r="E10" i="5"/>
  <c r="C8" i="5"/>
  <c r="B11" i="5"/>
  <c r="E12" i="5"/>
  <c r="B6" i="5"/>
  <c r="E7" i="5"/>
  <c r="C9" i="5"/>
  <c r="C11" i="5"/>
  <c r="C13" i="5"/>
  <c r="C6" i="5"/>
  <c r="B7" i="5"/>
  <c r="F11" i="14"/>
  <c r="K11" i="14" s="1"/>
  <c r="U11" i="14" s="1"/>
  <c r="V11" i="14"/>
  <c r="R11" i="14"/>
  <c r="G11" i="14"/>
  <c r="T11" i="14"/>
  <c r="X11" i="14"/>
  <c r="W12" i="14"/>
  <c r="T12" i="14"/>
  <c r="X12" i="14"/>
  <c r="V16" i="14"/>
  <c r="N16" i="14"/>
  <c r="U16" i="14"/>
  <c r="R16" i="14"/>
  <c r="F13" i="14"/>
  <c r="K13" i="14" s="1"/>
  <c r="U13" i="14" s="1"/>
  <c r="V13" i="14"/>
  <c r="R13" i="14"/>
  <c r="T16" i="14"/>
  <c r="X16" i="14"/>
  <c r="V12" i="14"/>
  <c r="R12" i="14"/>
  <c r="T13" i="14"/>
  <c r="X13" i="14"/>
  <c r="V17" i="14"/>
  <c r="R17" i="14"/>
  <c r="V14" i="14"/>
  <c r="R14" i="14"/>
  <c r="G17" i="14"/>
  <c r="L17" i="14" s="1"/>
  <c r="W17" i="14"/>
  <c r="T17" i="14"/>
  <c r="X17" i="14"/>
  <c r="W15" i="14"/>
  <c r="T15" i="14"/>
  <c r="P15" i="14"/>
  <c r="X15" i="14"/>
  <c r="T14" i="14"/>
  <c r="X14" i="14"/>
  <c r="V18" i="14"/>
  <c r="R18" i="14"/>
  <c r="G18" i="14"/>
  <c r="L18" i="14" s="1"/>
  <c r="P18" i="14" s="1"/>
  <c r="W18" i="14"/>
  <c r="T18" i="14"/>
  <c r="X18" i="14"/>
  <c r="F15" i="14"/>
  <c r="K15" i="14" s="1"/>
  <c r="N15" i="14" s="1"/>
  <c r="V15" i="14"/>
  <c r="U15" i="14"/>
  <c r="R15" i="14"/>
  <c r="X11" i="7"/>
  <c r="G11" i="7"/>
  <c r="L11" i="7" s="1"/>
  <c r="S11" i="7" s="1"/>
  <c r="U15" i="7"/>
  <c r="K15" i="7"/>
  <c r="V15" i="7"/>
  <c r="N15" i="7"/>
  <c r="K19" i="7"/>
  <c r="V19" i="7"/>
  <c r="N19" i="7"/>
  <c r="U19" i="7"/>
  <c r="X18" i="7"/>
  <c r="P18" i="7"/>
  <c r="W18" i="7"/>
  <c r="L18" i="7"/>
  <c r="V12" i="7"/>
  <c r="N12" i="7"/>
  <c r="U12" i="7"/>
  <c r="K12" i="7"/>
  <c r="X15" i="7"/>
  <c r="P15" i="7"/>
  <c r="W15" i="7"/>
  <c r="L15" i="7"/>
  <c r="X19" i="7"/>
  <c r="P19" i="7"/>
  <c r="W19" i="7"/>
  <c r="L19" i="7"/>
  <c r="L12" i="7"/>
  <c r="P12" i="7"/>
  <c r="X12" i="7"/>
  <c r="W12" i="7"/>
  <c r="V16" i="7"/>
  <c r="N16" i="7"/>
  <c r="U16" i="7"/>
  <c r="K16" i="7"/>
  <c r="V20" i="7"/>
  <c r="N20" i="7"/>
  <c r="U20" i="7"/>
  <c r="K20" i="7"/>
  <c r="U13" i="7"/>
  <c r="V13" i="7"/>
  <c r="N13" i="7"/>
  <c r="K13" i="7"/>
  <c r="X16" i="7"/>
  <c r="P16" i="7"/>
  <c r="W16" i="7"/>
  <c r="L16" i="7"/>
  <c r="L20" i="7"/>
  <c r="X20" i="7"/>
  <c r="W20" i="7"/>
  <c r="P20" i="7"/>
  <c r="X13" i="7"/>
  <c r="P13" i="7"/>
  <c r="W13" i="7"/>
  <c r="L13" i="7"/>
  <c r="V17" i="7"/>
  <c r="N17" i="7"/>
  <c r="U17" i="7"/>
  <c r="K17" i="7"/>
  <c r="U21" i="7"/>
  <c r="V21" i="7"/>
  <c r="N21" i="7"/>
  <c r="K21" i="7"/>
  <c r="X22" i="7"/>
  <c r="P22" i="7"/>
  <c r="W22" i="7"/>
  <c r="L22" i="7"/>
  <c r="V14" i="7"/>
  <c r="N14" i="7"/>
  <c r="U14" i="7"/>
  <c r="K14" i="7"/>
  <c r="W17" i="7"/>
  <c r="X17" i="7"/>
  <c r="P17" i="7"/>
  <c r="L17" i="7"/>
  <c r="X21" i="7"/>
  <c r="P21" i="7"/>
  <c r="W21" i="7"/>
  <c r="L21" i="7"/>
  <c r="V11" i="7"/>
  <c r="F11" i="7"/>
  <c r="K11" i="7" s="1"/>
  <c r="Q11" i="7" s="1"/>
  <c r="X14" i="7"/>
  <c r="P14" i="7"/>
  <c r="W14" i="7"/>
  <c r="L14" i="7"/>
  <c r="V18" i="7"/>
  <c r="N18" i="7"/>
  <c r="U18" i="7"/>
  <c r="K18" i="7"/>
  <c r="V22" i="7"/>
  <c r="N22" i="7"/>
  <c r="U22" i="7"/>
  <c r="K22" i="7"/>
  <c r="D23" i="13"/>
  <c r="D24" i="13" s="1"/>
  <c r="V11" i="13"/>
  <c r="F11" i="13"/>
  <c r="K11" i="13" s="1"/>
  <c r="E23" i="13"/>
  <c r="E24" i="13" s="1"/>
  <c r="X11" i="13"/>
  <c r="P11" i="13"/>
  <c r="W11" i="13"/>
  <c r="G11" i="13"/>
  <c r="L11" i="13" s="1"/>
  <c r="V15" i="13"/>
  <c r="V19" i="13"/>
  <c r="X15" i="13"/>
  <c r="G12" i="13"/>
  <c r="L12" i="13" s="1"/>
  <c r="P12" i="13" s="1"/>
  <c r="X12" i="13"/>
  <c r="V16" i="13"/>
  <c r="V20" i="13"/>
  <c r="V13" i="13"/>
  <c r="F13" i="13"/>
  <c r="K13" i="13" s="1"/>
  <c r="X16" i="13"/>
  <c r="X20" i="13"/>
  <c r="G13" i="13"/>
  <c r="L13" i="13" s="1"/>
  <c r="P13" i="13" s="1"/>
  <c r="X13" i="13"/>
  <c r="V17" i="13"/>
  <c r="V21" i="13"/>
  <c r="V12" i="13"/>
  <c r="F12" i="13"/>
  <c r="K12" i="13" s="1"/>
  <c r="U12" i="13" s="1"/>
  <c r="V14" i="13"/>
  <c r="F14" i="13"/>
  <c r="K14" i="13" s="1"/>
  <c r="X17" i="13"/>
  <c r="X21" i="13"/>
  <c r="X19" i="13"/>
  <c r="P19" i="13"/>
  <c r="W19" i="13"/>
  <c r="G19" i="13"/>
  <c r="L19" i="13" s="1"/>
  <c r="X14" i="13"/>
  <c r="V18" i="13"/>
  <c r="V22" i="13"/>
  <c r="X18" i="13"/>
  <c r="X22" i="13"/>
  <c r="G12" i="14"/>
  <c r="L12" i="14" s="1"/>
  <c r="P12" i="14" s="1"/>
  <c r="L11" i="14"/>
  <c r="P11" i="14" s="1"/>
  <c r="F12" i="14"/>
  <c r="G13" i="14"/>
  <c r="E23" i="14"/>
  <c r="E24" i="14" s="1"/>
  <c r="D23" i="14"/>
  <c r="D24" i="14" s="1"/>
  <c r="D23" i="7"/>
  <c r="D24" i="7" s="1"/>
  <c r="E23" i="7"/>
  <c r="E24" i="7" s="1"/>
  <c r="E8" i="5"/>
  <c r="B18" i="5"/>
  <c r="D18" i="5"/>
  <c r="AC23" i="14"/>
  <c r="AD20" i="14"/>
  <c r="AB31" i="14"/>
  <c r="Z87" i="14"/>
  <c r="AA11" i="14"/>
  <c r="AC33" i="14"/>
  <c r="AA19" i="14"/>
  <c r="Y22" i="14"/>
  <c r="AB48" i="14"/>
  <c r="AC16" i="14"/>
  <c r="Z74" i="14"/>
  <c r="AB43" i="14"/>
  <c r="AA29" i="14"/>
  <c r="AD95" i="14"/>
  <c r="AC14" i="7"/>
  <c r="AD45" i="14"/>
  <c r="AB107" i="14"/>
  <c r="AD12" i="14"/>
  <c r="AA15" i="14"/>
  <c r="Z25" i="14"/>
  <c r="AC53" i="14"/>
  <c r="AA27" i="14"/>
  <c r="AB66" i="14"/>
  <c r="Z69" i="14"/>
  <c r="Z64" i="14"/>
  <c r="AA84" i="14"/>
  <c r="Z105" i="14"/>
  <c r="AA90" i="14"/>
  <c r="AA23" i="13"/>
  <c r="AA51" i="14"/>
  <c r="AB71" i="14"/>
  <c r="AD92" i="14"/>
  <c r="Y18" i="13"/>
  <c r="AC35" i="14"/>
  <c r="AA56" i="14"/>
  <c r="AD76" i="14"/>
  <c r="AC98" i="14"/>
  <c r="AB38" i="14"/>
  <c r="AC58" i="14"/>
  <c r="AA79" i="14"/>
  <c r="AC101" i="14"/>
  <c r="AD40" i="14"/>
  <c r="AA61" i="14"/>
  <c r="AD81" i="14"/>
  <c r="AD104" i="14"/>
  <c r="AA103" i="7"/>
  <c r="AA87" i="7"/>
  <c r="AA71" i="7"/>
  <c r="AA63" i="7"/>
  <c r="AA79" i="7"/>
  <c r="AA55" i="7"/>
  <c r="AA47" i="7"/>
  <c r="AA39" i="7"/>
  <c r="AA95" i="7"/>
  <c r="AA31" i="7"/>
  <c r="AA23" i="7"/>
  <c r="AC11" i="14"/>
  <c r="Z22" i="14"/>
  <c r="AB27" i="14"/>
  <c r="AD33" i="14"/>
  <c r="AC43" i="14"/>
  <c r="AB51" i="14"/>
  <c r="AA59" i="14"/>
  <c r="AC66" i="14"/>
  <c r="AB74" i="14"/>
  <c r="Z82" i="14"/>
  <c r="AB90" i="14"/>
  <c r="Z96" i="14"/>
  <c r="AD107" i="14"/>
  <c r="AB13" i="14"/>
  <c r="AD18" i="14"/>
  <c r="Y20" i="14"/>
  <c r="AB26" i="14"/>
  <c r="AC13" i="14"/>
  <c r="AC17" i="14"/>
  <c r="Z11" i="14"/>
  <c r="AB12" i="14"/>
  <c r="AB16" i="14"/>
  <c r="AD17" i="14"/>
  <c r="AB20" i="14"/>
  <c r="AA23" i="14"/>
  <c r="AD24" i="14"/>
  <c r="Z27" i="14"/>
  <c r="Z29" i="14"/>
  <c r="AA31" i="14"/>
  <c r="AB33" i="14"/>
  <c r="AB35" i="14"/>
  <c r="AD37" i="14"/>
  <c r="AB40" i="14"/>
  <c r="AA43" i="14"/>
  <c r="AC45" i="14"/>
  <c r="AA48" i="14"/>
  <c r="AC50" i="14"/>
  <c r="AA53" i="14"/>
  <c r="Z56" i="14"/>
  <c r="AB58" i="14"/>
  <c r="Z61" i="14"/>
  <c r="AB63" i="14"/>
  <c r="Z66" i="14"/>
  <c r="AD68" i="14"/>
  <c r="AA71" i="14"/>
  <c r="AD73" i="14"/>
  <c r="AA76" i="14"/>
  <c r="AD78" i="14"/>
  <c r="AC81" i="14"/>
  <c r="Z84" i="14"/>
  <c r="AC86" i="14"/>
  <c r="AB89" i="14"/>
  <c r="AB92" i="14"/>
  <c r="AC95" i="14"/>
  <c r="AB98" i="14"/>
  <c r="AB101" i="14"/>
  <c r="Z104" i="14"/>
  <c r="Z107" i="14"/>
  <c r="AA104" i="7"/>
  <c r="AA96" i="7"/>
  <c r="AA88" i="7"/>
  <c r="AA80" i="7"/>
  <c r="AA72" i="7"/>
  <c r="AA64" i="7"/>
  <c r="AA56" i="7"/>
  <c r="AA48" i="7"/>
  <c r="AA40" i="7"/>
  <c r="AA32" i="7"/>
  <c r="AA24" i="7"/>
  <c r="AA16" i="7"/>
  <c r="AA15" i="7"/>
  <c r="AA102" i="7"/>
  <c r="AA94" i="7"/>
  <c r="AA86" i="7"/>
  <c r="AA78" i="7"/>
  <c r="AA70" i="7"/>
  <c r="AA62" i="7"/>
  <c r="AA54" i="7"/>
  <c r="AA46" i="7"/>
  <c r="AA38" i="7"/>
  <c r="AA30" i="7"/>
  <c r="AA22" i="7"/>
  <c r="AA14" i="7"/>
  <c r="AB15" i="14"/>
  <c r="AD23" i="14"/>
  <c r="AC29" i="14"/>
  <c r="Z36" i="14"/>
  <c r="Z41" i="14"/>
  <c r="AD48" i="14"/>
  <c r="AB56" i="14"/>
  <c r="AA64" i="14"/>
  <c r="Z72" i="14"/>
  <c r="AB79" i="14"/>
  <c r="AB87" i="14"/>
  <c r="Z102" i="14"/>
  <c r="AB10" i="14"/>
  <c r="AD11" i="14"/>
  <c r="Z14" i="14"/>
  <c r="AC15" i="14"/>
  <c r="Z18" i="14"/>
  <c r="AD19" i="14"/>
  <c r="AB22" i="14"/>
  <c r="AC25" i="14"/>
  <c r="AC27" i="14"/>
  <c r="AD29" i="14"/>
  <c r="Z32" i="14"/>
  <c r="Z34" i="14"/>
  <c r="AA36" i="14"/>
  <c r="AD38" i="14"/>
  <c r="AC41" i="14"/>
  <c r="Z44" i="14"/>
  <c r="AC46" i="14"/>
  <c r="Z49" i="14"/>
  <c r="AC51" i="14"/>
  <c r="AB54" i="14"/>
  <c r="AD56" i="14"/>
  <c r="AB59" i="14"/>
  <c r="AD61" i="14"/>
  <c r="AB64" i="14"/>
  <c r="AA67" i="14"/>
  <c r="AC69" i="14"/>
  <c r="AA72" i="14"/>
  <c r="AC74" i="14"/>
  <c r="AA77" i="14"/>
  <c r="Z80" i="14"/>
  <c r="AB82" i="14"/>
  <c r="Z85" i="14"/>
  <c r="AC87" i="14"/>
  <c r="AC90" i="14"/>
  <c r="AD93" i="14"/>
  <c r="AC96" i="14"/>
  <c r="AB99" i="14"/>
  <c r="AA102" i="14"/>
  <c r="AA105" i="14"/>
  <c r="AB108" i="14"/>
  <c r="Y22" i="13"/>
  <c r="AA109" i="7"/>
  <c r="AA101" i="7"/>
  <c r="AA93" i="7"/>
  <c r="AA85" i="7"/>
  <c r="AA77" i="7"/>
  <c r="AA69" i="7"/>
  <c r="AA61" i="7"/>
  <c r="AA53" i="7"/>
  <c r="AA45" i="7"/>
  <c r="AA37" i="7"/>
  <c r="AA29" i="7"/>
  <c r="AA21" i="7"/>
  <c r="AA13" i="7"/>
  <c r="AC10" i="14"/>
  <c r="AD15" i="14"/>
  <c r="Z21" i="14"/>
  <c r="AD25" i="14"/>
  <c r="AA30" i="14"/>
  <c r="AA32" i="14"/>
  <c r="AB34" i="14"/>
  <c r="AD36" i="14"/>
  <c r="AA39" i="14"/>
  <c r="AD41" i="14"/>
  <c r="AA44" i="14"/>
  <c r="AD46" i="14"/>
  <c r="AC49" i="14"/>
  <c r="Z52" i="14"/>
  <c r="AC54" i="14"/>
  <c r="Z57" i="14"/>
  <c r="AC59" i="14"/>
  <c r="AB62" i="14"/>
  <c r="AD64" i="14"/>
  <c r="AB67" i="14"/>
  <c r="AD69" i="14"/>
  <c r="AB72" i="14"/>
  <c r="AA75" i="14"/>
  <c r="AC77" i="14"/>
  <c r="AA80" i="14"/>
  <c r="AC82" i="14"/>
  <c r="AA85" i="14"/>
  <c r="AA88" i="14"/>
  <c r="Z91" i="14"/>
  <c r="Z94" i="14"/>
  <c r="AD96" i="14"/>
  <c r="AD99" i="14"/>
  <c r="Z103" i="14"/>
  <c r="AC105" i="14"/>
  <c r="AC108" i="14"/>
  <c r="AA108" i="7"/>
  <c r="AA100" i="7"/>
  <c r="AA92" i="7"/>
  <c r="AA84" i="7"/>
  <c r="AA76" i="7"/>
  <c r="AA68" i="7"/>
  <c r="AA60" i="7"/>
  <c r="AA52" i="7"/>
  <c r="AA44" i="7"/>
  <c r="AA36" i="7"/>
  <c r="AA28" i="7"/>
  <c r="AA20" i="7"/>
  <c r="AA12" i="7"/>
  <c r="AD16" i="14"/>
  <c r="AB25" i="14"/>
  <c r="AD31" i="14"/>
  <c r="AC38" i="14"/>
  <c r="AB46" i="14"/>
  <c r="AD53" i="14"/>
  <c r="AC61" i="14"/>
  <c r="AA69" i="14"/>
  <c r="Z77" i="14"/>
  <c r="AD84" i="14"/>
  <c r="Z93" i="14"/>
  <c r="AA99" i="14"/>
  <c r="Z13" i="14"/>
  <c r="AA18" i="14"/>
  <c r="AC22" i="14"/>
  <c r="Z28" i="14"/>
  <c r="AD10" i="14"/>
  <c r="AA13" i="14"/>
  <c r="AB14" i="14"/>
  <c r="Z17" i="14"/>
  <c r="AC18" i="14"/>
  <c r="AB21" i="14"/>
  <c r="Z24" i="14"/>
  <c r="Z26" i="14"/>
  <c r="AA28" i="14"/>
  <c r="AB30" i="14"/>
  <c r="AB32" i="14"/>
  <c r="AC34" i="14"/>
  <c r="Z37" i="14"/>
  <c r="AB39" i="14"/>
  <c r="Z42" i="14"/>
  <c r="AD44" i="14"/>
  <c r="AA47" i="14"/>
  <c r="AD49" i="14"/>
  <c r="AA52" i="14"/>
  <c r="AD54" i="14"/>
  <c r="AC57" i="14"/>
  <c r="Z60" i="14"/>
  <c r="AC62" i="14"/>
  <c r="Z65" i="14"/>
  <c r="AC67" i="14"/>
  <c r="AB70" i="14"/>
  <c r="AD72" i="14"/>
  <c r="AB75" i="14"/>
  <c r="AD77" i="14"/>
  <c r="AB80" i="14"/>
  <c r="AA83" i="14"/>
  <c r="AC85" i="14"/>
  <c r="AC88" i="14"/>
  <c r="AA91" i="14"/>
  <c r="AA94" i="14"/>
  <c r="AB97" i="14"/>
  <c r="AA100" i="14"/>
  <c r="AA103" i="14"/>
  <c r="AD105" i="14"/>
  <c r="AD108" i="14"/>
  <c r="AA107" i="7"/>
  <c r="AA99" i="7"/>
  <c r="AA91" i="7"/>
  <c r="AA83" i="7"/>
  <c r="AA75" i="7"/>
  <c r="AA67" i="7"/>
  <c r="AA59" i="7"/>
  <c r="AA51" i="7"/>
  <c r="AA43" i="7"/>
  <c r="AA35" i="7"/>
  <c r="AA27" i="7"/>
  <c r="AA19" i="7"/>
  <c r="AA11" i="7"/>
  <c r="AA14" i="14"/>
  <c r="AC14" i="14"/>
  <c r="AC21" i="14"/>
  <c r="AC28" i="14"/>
  <c r="AC30" i="14"/>
  <c r="AD32" i="14"/>
  <c r="Z35" i="14"/>
  <c r="AA37" i="14"/>
  <c r="Z40" i="14"/>
  <c r="AB42" i="14"/>
  <c r="Z45" i="14"/>
  <c r="AB47" i="14"/>
  <c r="Z50" i="14"/>
  <c r="AD52" i="14"/>
  <c r="AA55" i="14"/>
  <c r="AD57" i="14"/>
  <c r="AA60" i="14"/>
  <c r="AD62" i="14"/>
  <c r="AC65" i="14"/>
  <c r="Z68" i="14"/>
  <c r="AC70" i="14"/>
  <c r="Z73" i="14"/>
  <c r="AC75" i="14"/>
  <c r="AB78" i="14"/>
  <c r="AD80" i="14"/>
  <c r="AB83" i="14"/>
  <c r="AD85" i="14"/>
  <c r="AD88" i="14"/>
  <c r="Z92" i="14"/>
  <c r="AC94" i="14"/>
  <c r="AC97" i="14"/>
  <c r="AB100" i="14"/>
  <c r="AB103" i="14"/>
  <c r="AC106" i="14"/>
  <c r="AB109" i="14"/>
  <c r="AA106" i="7"/>
  <c r="AA98" i="7"/>
  <c r="AA90" i="7"/>
  <c r="AA82" i="7"/>
  <c r="AA74" i="7"/>
  <c r="AA66" i="7"/>
  <c r="AA58" i="7"/>
  <c r="AA50" i="7"/>
  <c r="AA42" i="7"/>
  <c r="AA34" i="7"/>
  <c r="AA26" i="7"/>
  <c r="AA18" i="7"/>
  <c r="AA10" i="7"/>
  <c r="AB19" i="14"/>
  <c r="Z12" i="14"/>
  <c r="AA17" i="14"/>
  <c r="AA24" i="14"/>
  <c r="AA12" i="14"/>
  <c r="Z16" i="14"/>
  <c r="AA20" i="14"/>
  <c r="Z23" i="14"/>
  <c r="AB24" i="14"/>
  <c r="AC26" i="14"/>
  <c r="AD28" i="14"/>
  <c r="AD30" i="14"/>
  <c r="Z33" i="14"/>
  <c r="AA35" i="14"/>
  <c r="AC37" i="14"/>
  <c r="AA40" i="14"/>
  <c r="AC42" i="14"/>
  <c r="AA45" i="14"/>
  <c r="Z48" i="14"/>
  <c r="AB50" i="14"/>
  <c r="Z53" i="14"/>
  <c r="AB55" i="14"/>
  <c r="Z58" i="14"/>
  <c r="AD60" i="14"/>
  <c r="AA63" i="14"/>
  <c r="AD65" i="14"/>
  <c r="AA68" i="14"/>
  <c r="AD70" i="14"/>
  <c r="AC73" i="14"/>
  <c r="Z76" i="14"/>
  <c r="AC78" i="14"/>
  <c r="Z81" i="14"/>
  <c r="AC83" i="14"/>
  <c r="AB86" i="14"/>
  <c r="AA89" i="14"/>
  <c r="AA92" i="14"/>
  <c r="Z95" i="14"/>
  <c r="AD97" i="14"/>
  <c r="Z101" i="14"/>
  <c r="AD103" i="14"/>
  <c r="AD106" i="14"/>
  <c r="AC109" i="14"/>
  <c r="AA105" i="7"/>
  <c r="AA97" i="7"/>
  <c r="AA89" i="7"/>
  <c r="AA81" i="7"/>
  <c r="AA73" i="7"/>
  <c r="AA57" i="7"/>
  <c r="AA49" i="7"/>
  <c r="AA41" i="7"/>
  <c r="AA33" i="7"/>
  <c r="AA25" i="7"/>
  <c r="AA17" i="7"/>
  <c r="AD98" i="7"/>
  <c r="Z10" i="14"/>
  <c r="AB11" i="14"/>
  <c r="AC12" i="14"/>
  <c r="AD13" i="14"/>
  <c r="AD14" i="14"/>
  <c r="Y18" i="14"/>
  <c r="Z19" i="14"/>
  <c r="Z20" i="14"/>
  <c r="AA21" i="14"/>
  <c r="AA22" i="14"/>
  <c r="AB23" i="14"/>
  <c r="AC24" i="14"/>
  <c r="AA26" i="14"/>
  <c r="AD27" i="14"/>
  <c r="AB29" i="14"/>
  <c r="Z31" i="14"/>
  <c r="AC32" i="14"/>
  <c r="AA34" i="14"/>
  <c r="AD35" i="14"/>
  <c r="AB37" i="14"/>
  <c r="Z39" i="14"/>
  <c r="AC40" i="14"/>
  <c r="AA42" i="14"/>
  <c r="AD43" i="14"/>
  <c r="AB45" i="14"/>
  <c r="Z47" i="14"/>
  <c r="AC48" i="14"/>
  <c r="AA50" i="14"/>
  <c r="AD51" i="14"/>
  <c r="AB53" i="14"/>
  <c r="Z55" i="14"/>
  <c r="AC56" i="14"/>
  <c r="AA58" i="14"/>
  <c r="AD59" i="14"/>
  <c r="AB61" i="14"/>
  <c r="Z63" i="14"/>
  <c r="AC64" i="14"/>
  <c r="AA66" i="14"/>
  <c r="AD67" i="14"/>
  <c r="AB69" i="14"/>
  <c r="Z71" i="14"/>
  <c r="AC72" i="14"/>
  <c r="AA74" i="14"/>
  <c r="AD75" i="14"/>
  <c r="AB77" i="14"/>
  <c r="Z79" i="14"/>
  <c r="AC80" i="14"/>
  <c r="AA82" i="14"/>
  <c r="AD83" i="14"/>
  <c r="AB85" i="14"/>
  <c r="AA87" i="14"/>
  <c r="Z89" i="14"/>
  <c r="AD90" i="14"/>
  <c r="AC92" i="14"/>
  <c r="AB94" i="14"/>
  <c r="AA96" i="14"/>
  <c r="AA98" i="14"/>
  <c r="Z100" i="14"/>
  <c r="AD101" i="14"/>
  <c r="AC103" i="14"/>
  <c r="AB105" i="14"/>
  <c r="AA107" i="14"/>
  <c r="AD19" i="7"/>
  <c r="AD82" i="7"/>
  <c r="AD12" i="7"/>
  <c r="AD22" i="7"/>
  <c r="AA109" i="14"/>
  <c r="AC107" i="14"/>
  <c r="Z106" i="14"/>
  <c r="AB104" i="14"/>
  <c r="AD102" i="14"/>
  <c r="AA101" i="14"/>
  <c r="AC99" i="14"/>
  <c r="Z98" i="14"/>
  <c r="AB96" i="14"/>
  <c r="AD94" i="14"/>
  <c r="AA93" i="14"/>
  <c r="AC91" i="14"/>
  <c r="Z90" i="14"/>
  <c r="AB88" i="14"/>
  <c r="AD86" i="14"/>
  <c r="Z15" i="14"/>
  <c r="AA16" i="14"/>
  <c r="AB17" i="14"/>
  <c r="AB18" i="14"/>
  <c r="AC19" i="14"/>
  <c r="AC20" i="14"/>
  <c r="AD21" i="14"/>
  <c r="AD22" i="14"/>
  <c r="AA25" i="14"/>
  <c r="AD26" i="14"/>
  <c r="AB28" i="14"/>
  <c r="Z30" i="14"/>
  <c r="AC31" i="14"/>
  <c r="AA33" i="14"/>
  <c r="AD34" i="14"/>
  <c r="AB36" i="14"/>
  <c r="Z38" i="14"/>
  <c r="AC39" i="14"/>
  <c r="AA41" i="14"/>
  <c r="AD42" i="14"/>
  <c r="AB44" i="14"/>
  <c r="Z46" i="14"/>
  <c r="AC47" i="14"/>
  <c r="AA49" i="14"/>
  <c r="AD50" i="14"/>
  <c r="AB52" i="14"/>
  <c r="Z54" i="14"/>
  <c r="AC55" i="14"/>
  <c r="AA57" i="14"/>
  <c r="AD58" i="14"/>
  <c r="AB60" i="14"/>
  <c r="Z62" i="14"/>
  <c r="AC63" i="14"/>
  <c r="AA65" i="14"/>
  <c r="AD66" i="14"/>
  <c r="AB68" i="14"/>
  <c r="Z70" i="14"/>
  <c r="AC71" i="14"/>
  <c r="AA73" i="14"/>
  <c r="AD74" i="14"/>
  <c r="AB76" i="14"/>
  <c r="Z78" i="14"/>
  <c r="AC79" i="14"/>
  <c r="AA81" i="14"/>
  <c r="AD82" i="14"/>
  <c r="AB84" i="14"/>
  <c r="Z86" i="14"/>
  <c r="AD87" i="14"/>
  <c r="AC89" i="14"/>
  <c r="AB91" i="14"/>
  <c r="AB93" i="14"/>
  <c r="AA95" i="14"/>
  <c r="Z97" i="14"/>
  <c r="AD98" i="14"/>
  <c r="AC100" i="14"/>
  <c r="AB102" i="14"/>
  <c r="AA104" i="14"/>
  <c r="AA106" i="14"/>
  <c r="Z108" i="14"/>
  <c r="AD109" i="14"/>
  <c r="AC36" i="14"/>
  <c r="AA38" i="14"/>
  <c r="AD39" i="14"/>
  <c r="AB41" i="14"/>
  <c r="Z43" i="14"/>
  <c r="AC44" i="14"/>
  <c r="AA46" i="14"/>
  <c r="AD47" i="14"/>
  <c r="AB49" i="14"/>
  <c r="Z51" i="14"/>
  <c r="AC52" i="14"/>
  <c r="AA54" i="14"/>
  <c r="AD55" i="14"/>
  <c r="AB57" i="14"/>
  <c r="Z59" i="14"/>
  <c r="AC60" i="14"/>
  <c r="AA62" i="14"/>
  <c r="AD63" i="14"/>
  <c r="AB65" i="14"/>
  <c r="Z67" i="14"/>
  <c r="AC68" i="14"/>
  <c r="AA70" i="14"/>
  <c r="AD71" i="14"/>
  <c r="AB73" i="14"/>
  <c r="Z75" i="14"/>
  <c r="AC76" i="14"/>
  <c r="AA78" i="14"/>
  <c r="AD79" i="14"/>
  <c r="AB81" i="14"/>
  <c r="Z83" i="14"/>
  <c r="AC84" i="14"/>
  <c r="AA86" i="14"/>
  <c r="Z88" i="14"/>
  <c r="AD89" i="14"/>
  <c r="AD91" i="14"/>
  <c r="AC93" i="14"/>
  <c r="AB95" i="14"/>
  <c r="AA97" i="14"/>
  <c r="Z99" i="14"/>
  <c r="AD100" i="14"/>
  <c r="AC102" i="14"/>
  <c r="AC104" i="14"/>
  <c r="AB106" i="14"/>
  <c r="AA108" i="14"/>
  <c r="AC11" i="13"/>
  <c r="AD14" i="13"/>
  <c r="AD11" i="13"/>
  <c r="AB13" i="13"/>
  <c r="Z15" i="13"/>
  <c r="Z12" i="13"/>
  <c r="AC13" i="13"/>
  <c r="AD16" i="13"/>
  <c r="AB18" i="13"/>
  <c r="Z20" i="13"/>
  <c r="AC21" i="13"/>
  <c r="AD24" i="13"/>
  <c r="AB26" i="13"/>
  <c r="Z28" i="13"/>
  <c r="AC29" i="13"/>
  <c r="AD32" i="13"/>
  <c r="AB34" i="13"/>
  <c r="Z36" i="13"/>
  <c r="AC37" i="13"/>
  <c r="AD40" i="13"/>
  <c r="AB42" i="13"/>
  <c r="Z44" i="13"/>
  <c r="AC45" i="13"/>
  <c r="AD48" i="13"/>
  <c r="AB50" i="13"/>
  <c r="Z52" i="13"/>
  <c r="AC53" i="13"/>
  <c r="AD56" i="13"/>
  <c r="AB58" i="13"/>
  <c r="Z60" i="13"/>
  <c r="AC61" i="13"/>
  <c r="AD64" i="13"/>
  <c r="AB66" i="13"/>
  <c r="Z68" i="13"/>
  <c r="AC69" i="13"/>
  <c r="AD72" i="13"/>
  <c r="AB74" i="13"/>
  <c r="Z76" i="13"/>
  <c r="AC77" i="13"/>
  <c r="AD80" i="13"/>
  <c r="AB82" i="13"/>
  <c r="Z84" i="13"/>
  <c r="AC85" i="13"/>
  <c r="AD88" i="13"/>
  <c r="AB90" i="13"/>
  <c r="Z92" i="13"/>
  <c r="AC93" i="13"/>
  <c r="AD96" i="13"/>
  <c r="AB98" i="13"/>
  <c r="Z100" i="13"/>
  <c r="AC101" i="13"/>
  <c r="AD104" i="13"/>
  <c r="AB106" i="13"/>
  <c r="Z108" i="13"/>
  <c r="AC109" i="13"/>
  <c r="AD112" i="13"/>
  <c r="AB114" i="13"/>
  <c r="Z116" i="13"/>
  <c r="AC117" i="13"/>
  <c r="AD120" i="13"/>
  <c r="AB122" i="13"/>
  <c r="Z124" i="13"/>
  <c r="AC125" i="13"/>
  <c r="AD13" i="13"/>
  <c r="AB15" i="13"/>
  <c r="AB12" i="13"/>
  <c r="Z14" i="13"/>
  <c r="AC15" i="13"/>
  <c r="Z11" i="13"/>
  <c r="AC12" i="13"/>
  <c r="AD15" i="13"/>
  <c r="AB11" i="13"/>
  <c r="Z13" i="13"/>
  <c r="AC14" i="13"/>
  <c r="AB16" i="13"/>
  <c r="Z22" i="13"/>
  <c r="AD23" i="13"/>
  <c r="AC25" i="13"/>
  <c r="AB27" i="13"/>
  <c r="Z31" i="13"/>
  <c r="Z33" i="13"/>
  <c r="AD34" i="13"/>
  <c r="AC36" i="13"/>
  <c r="AB38" i="13"/>
  <c r="Z42" i="13"/>
  <c r="AD43" i="13"/>
  <c r="AD45" i="13"/>
  <c r="AC47" i="13"/>
  <c r="AB49" i="13"/>
  <c r="Z53" i="13"/>
  <c r="AD54" i="13"/>
  <c r="AC56" i="13"/>
  <c r="AC58" i="13"/>
  <c r="AB60" i="13"/>
  <c r="Z64" i="13"/>
  <c r="AD65" i="13"/>
  <c r="AC67" i="13"/>
  <c r="AB69" i="13"/>
  <c r="AB71" i="13"/>
  <c r="Z75" i="13"/>
  <c r="AD76" i="13"/>
  <c r="AC78" i="13"/>
  <c r="AB80" i="13"/>
  <c r="Z86" i="13"/>
  <c r="AD87" i="13"/>
  <c r="AC89" i="13"/>
  <c r="AB91" i="13"/>
  <c r="Z95" i="13"/>
  <c r="Z97" i="13"/>
  <c r="AD98" i="13"/>
  <c r="AC100" i="13"/>
  <c r="AB102" i="13"/>
  <c r="Z106" i="13"/>
  <c r="AD107" i="13"/>
  <c r="AD109" i="13"/>
  <c r="AC111" i="13"/>
  <c r="AB113" i="13"/>
  <c r="Z117" i="13"/>
  <c r="AD118" i="13"/>
  <c r="AC120" i="13"/>
  <c r="AC122" i="13"/>
  <c r="AB124" i="13"/>
  <c r="AD127" i="13"/>
  <c r="AB129" i="13"/>
  <c r="Z131" i="13"/>
  <c r="AC132" i="13"/>
  <c r="AD135" i="13"/>
  <c r="AB137" i="13"/>
  <c r="AD10" i="13"/>
  <c r="AC16" i="13"/>
  <c r="AC18" i="13"/>
  <c r="AB20" i="13"/>
  <c r="Z24" i="13"/>
  <c r="AD25" i="13"/>
  <c r="AC27" i="13"/>
  <c r="AB29" i="13"/>
  <c r="AB31" i="13"/>
  <c r="Z35" i="13"/>
  <c r="AD36" i="13"/>
  <c r="AC38" i="13"/>
  <c r="AB40" i="13"/>
  <c r="Z46" i="13"/>
  <c r="AD47" i="13"/>
  <c r="AC49" i="13"/>
  <c r="AB51" i="13"/>
  <c r="Z55" i="13"/>
  <c r="Z57" i="13"/>
  <c r="AD58" i="13"/>
  <c r="AC60" i="13"/>
  <c r="AB62" i="13"/>
  <c r="Z66" i="13"/>
  <c r="AD67" i="13"/>
  <c r="AD69" i="13"/>
  <c r="AC71" i="13"/>
  <c r="AB73" i="13"/>
  <c r="Z77" i="13"/>
  <c r="AD78" i="13"/>
  <c r="AC80" i="13"/>
  <c r="AC82" i="13"/>
  <c r="AB84" i="13"/>
  <c r="Z88" i="13"/>
  <c r="AD89" i="13"/>
  <c r="AC91" i="13"/>
  <c r="AB93" i="13"/>
  <c r="AB95" i="13"/>
  <c r="Z99" i="13"/>
  <c r="AD100" i="13"/>
  <c r="AC102" i="13"/>
  <c r="AB104" i="13"/>
  <c r="Z110" i="13"/>
  <c r="AD111" i="13"/>
  <c r="AC113" i="13"/>
  <c r="AB115" i="13"/>
  <c r="Z119" i="13"/>
  <c r="Z121" i="13"/>
  <c r="AD122" i="13"/>
  <c r="AC124" i="13"/>
  <c r="AB126" i="13"/>
  <c r="Z128" i="13"/>
  <c r="AC129" i="13"/>
  <c r="AD132" i="13"/>
  <c r="AB134" i="13"/>
  <c r="Z136" i="13"/>
  <c r="AC137" i="13"/>
  <c r="AC10" i="13"/>
  <c r="Z17" i="13"/>
  <c r="AD18" i="13"/>
  <c r="AC20" i="13"/>
  <c r="AB22" i="13"/>
  <c r="Z26" i="13"/>
  <c r="AD27" i="13"/>
  <c r="AD29" i="13"/>
  <c r="AC31" i="13"/>
  <c r="AB33" i="13"/>
  <c r="Z37" i="13"/>
  <c r="AD38" i="13"/>
  <c r="AC40" i="13"/>
  <c r="AC42" i="13"/>
  <c r="AB44" i="13"/>
  <c r="Z48" i="13"/>
  <c r="AD49" i="13"/>
  <c r="AC51" i="13"/>
  <c r="AB53" i="13"/>
  <c r="AB55" i="13"/>
  <c r="Z59" i="13"/>
  <c r="AD60" i="13"/>
  <c r="AC62" i="13"/>
  <c r="AB64" i="13"/>
  <c r="Z70" i="13"/>
  <c r="AD71" i="13"/>
  <c r="AC73" i="13"/>
  <c r="AB75" i="13"/>
  <c r="Z79" i="13"/>
  <c r="Z81" i="13"/>
  <c r="AD82" i="13"/>
  <c r="AC84" i="13"/>
  <c r="AB86" i="13"/>
  <c r="Z90" i="13"/>
  <c r="AD91" i="13"/>
  <c r="AD93" i="13"/>
  <c r="AC95" i="13"/>
  <c r="AB97" i="13"/>
  <c r="Z101" i="13"/>
  <c r="AD102" i="13"/>
  <c r="AC104" i="13"/>
  <c r="AC106" i="13"/>
  <c r="AB108" i="13"/>
  <c r="Z112" i="13"/>
  <c r="AD113" i="13"/>
  <c r="AC115" i="13"/>
  <c r="AB117" i="13"/>
  <c r="AB119" i="13"/>
  <c r="Z123" i="13"/>
  <c r="AD124" i="13"/>
  <c r="AC126" i="13"/>
  <c r="AD129" i="13"/>
  <c r="AB131" i="13"/>
  <c r="Z133" i="13"/>
  <c r="AC134" i="13"/>
  <c r="AD137" i="13"/>
  <c r="AB10" i="13"/>
  <c r="Z19" i="13"/>
  <c r="AD20" i="13"/>
  <c r="AC22" i="13"/>
  <c r="AB24" i="13"/>
  <c r="Z30" i="13"/>
  <c r="AD31" i="13"/>
  <c r="AC33" i="13"/>
  <c r="AB35" i="13"/>
  <c r="Z39" i="13"/>
  <c r="Z41" i="13"/>
  <c r="AD42" i="13"/>
  <c r="AC44" i="13"/>
  <c r="AB46" i="13"/>
  <c r="Z50" i="13"/>
  <c r="AD51" i="13"/>
  <c r="AD53" i="13"/>
  <c r="AC55" i="13"/>
  <c r="AB57" i="13"/>
  <c r="Z61" i="13"/>
  <c r="AD62" i="13"/>
  <c r="AC64" i="13"/>
  <c r="AC66" i="13"/>
  <c r="AB68" i="13"/>
  <c r="Z72" i="13"/>
  <c r="AD73" i="13"/>
  <c r="AC75" i="13"/>
  <c r="AB77" i="13"/>
  <c r="AB79" i="13"/>
  <c r="Z83" i="13"/>
  <c r="AD84" i="13"/>
  <c r="AC86" i="13"/>
  <c r="AB88" i="13"/>
  <c r="Z94" i="13"/>
  <c r="AD95" i="13"/>
  <c r="AC97" i="13"/>
  <c r="AB99" i="13"/>
  <c r="Z103" i="13"/>
  <c r="Z105" i="13"/>
  <c r="AD106" i="13"/>
  <c r="AC108" i="13"/>
  <c r="AB110" i="13"/>
  <c r="Z114" i="13"/>
  <c r="AD115" i="13"/>
  <c r="AD117" i="13"/>
  <c r="AC119" i="13"/>
  <c r="AB121" i="13"/>
  <c r="Z125" i="13"/>
  <c r="AD126" i="13"/>
  <c r="AB128" i="13"/>
  <c r="Z130" i="13"/>
  <c r="AC131" i="13"/>
  <c r="AD134" i="13"/>
  <c r="AB136" i="13"/>
  <c r="Z138" i="13"/>
  <c r="Z10" i="13"/>
  <c r="AB17" i="13"/>
  <c r="Z21" i="13"/>
  <c r="AD22" i="13"/>
  <c r="AC24" i="13"/>
  <c r="AC26" i="13"/>
  <c r="AB28" i="13"/>
  <c r="Z32" i="13"/>
  <c r="AD33" i="13"/>
  <c r="AC35" i="13"/>
  <c r="AB37" i="13"/>
  <c r="AB39" i="13"/>
  <c r="Z43" i="13"/>
  <c r="AD44" i="13"/>
  <c r="AC46" i="13"/>
  <c r="AB48" i="13"/>
  <c r="Z54" i="13"/>
  <c r="AD55" i="13"/>
  <c r="AC57" i="13"/>
  <c r="AB59" i="13"/>
  <c r="Z63" i="13"/>
  <c r="Z65" i="13"/>
  <c r="AD66" i="13"/>
  <c r="AC68" i="13"/>
  <c r="AB70" i="13"/>
  <c r="Z74" i="13"/>
  <c r="AD75" i="13"/>
  <c r="AD77" i="13"/>
  <c r="AC79" i="13"/>
  <c r="AB81" i="13"/>
  <c r="Z85" i="13"/>
  <c r="AD86" i="13"/>
  <c r="AC88" i="13"/>
  <c r="AC90" i="13"/>
  <c r="AB92" i="13"/>
  <c r="Z96" i="13"/>
  <c r="AD97" i="13"/>
  <c r="AC99" i="13"/>
  <c r="AB101" i="13"/>
  <c r="AB103" i="13"/>
  <c r="Z107" i="13"/>
  <c r="AD108" i="13"/>
  <c r="AC110" i="13"/>
  <c r="AB112" i="13"/>
  <c r="Z118" i="13"/>
  <c r="AD119" i="13"/>
  <c r="AC121" i="13"/>
  <c r="AB123" i="13"/>
  <c r="Z127" i="13"/>
  <c r="AC128" i="13"/>
  <c r="AD131" i="13"/>
  <c r="AB133" i="13"/>
  <c r="Z135" i="13"/>
  <c r="AC136" i="13"/>
  <c r="AD12" i="13"/>
  <c r="AC17" i="13"/>
  <c r="AB19" i="13"/>
  <c r="Z23" i="13"/>
  <c r="Z25" i="13"/>
  <c r="AD26" i="13"/>
  <c r="AC28" i="13"/>
  <c r="AB30" i="13"/>
  <c r="Z34" i="13"/>
  <c r="AD35" i="13"/>
  <c r="AD37" i="13"/>
  <c r="AC39" i="13"/>
  <c r="AB41" i="13"/>
  <c r="Z45" i="13"/>
  <c r="AD46" i="13"/>
  <c r="AC48" i="13"/>
  <c r="AC50" i="13"/>
  <c r="AB52" i="13"/>
  <c r="Z56" i="13"/>
  <c r="AD57" i="13"/>
  <c r="AC59" i="13"/>
  <c r="AB61" i="13"/>
  <c r="AB63" i="13"/>
  <c r="Z67" i="13"/>
  <c r="AD68" i="13"/>
  <c r="AC70" i="13"/>
  <c r="AB72" i="13"/>
  <c r="Z78" i="13"/>
  <c r="AD79" i="13"/>
  <c r="AC81" i="13"/>
  <c r="AB83" i="13"/>
  <c r="Z87" i="13"/>
  <c r="Z89" i="13"/>
  <c r="AD90" i="13"/>
  <c r="AC92" i="13"/>
  <c r="AB94" i="13"/>
  <c r="Z98" i="13"/>
  <c r="AD99" i="13"/>
  <c r="AD101" i="13"/>
  <c r="AC103" i="13"/>
  <c r="AB105" i="13"/>
  <c r="Z109" i="13"/>
  <c r="AD110" i="13"/>
  <c r="AC112" i="13"/>
  <c r="AC114" i="13"/>
  <c r="AB116" i="13"/>
  <c r="Z120" i="13"/>
  <c r="AD121" i="13"/>
  <c r="AC123" i="13"/>
  <c r="AB125" i="13"/>
  <c r="AD128" i="13"/>
  <c r="AB130" i="13"/>
  <c r="Z132" i="13"/>
  <c r="AC133" i="13"/>
  <c r="AD136" i="13"/>
  <c r="AB138" i="13"/>
  <c r="AB14" i="13"/>
  <c r="AD17" i="13"/>
  <c r="AC19" i="13"/>
  <c r="AB21" i="13"/>
  <c r="AB23" i="13"/>
  <c r="AA25" i="13"/>
  <c r="Z27" i="13"/>
  <c r="AD28" i="13"/>
  <c r="AC30" i="13"/>
  <c r="AB32" i="13"/>
  <c r="AA34" i="13"/>
  <c r="AA36" i="13"/>
  <c r="Z38" i="13"/>
  <c r="AD39" i="13"/>
  <c r="AC41" i="13"/>
  <c r="AB43" i="13"/>
  <c r="AA45" i="13"/>
  <c r="Z47" i="13"/>
  <c r="Z49" i="13"/>
  <c r="AD50" i="13"/>
  <c r="AC52" i="13"/>
  <c r="AB54" i="13"/>
  <c r="AA56" i="13"/>
  <c r="Z58" i="13"/>
  <c r="AD59" i="13"/>
  <c r="AD61" i="13"/>
  <c r="AC63" i="13"/>
  <c r="AB65" i="13"/>
  <c r="AA67" i="13"/>
  <c r="Z69" i="13"/>
  <c r="AD70" i="13"/>
  <c r="AC72" i="13"/>
  <c r="AC74" i="13"/>
  <c r="AB76" i="13"/>
  <c r="AA78" i="13"/>
  <c r="Z80" i="13"/>
  <c r="AD81" i="13"/>
  <c r="AC83" i="13"/>
  <c r="AB85" i="13"/>
  <c r="AB87" i="13"/>
  <c r="AA89" i="13"/>
  <c r="Z91" i="13"/>
  <c r="AD92" i="13"/>
  <c r="AC94" i="13"/>
  <c r="AB96" i="13"/>
  <c r="AA98" i="13"/>
  <c r="AA100" i="13"/>
  <c r="Z102" i="13"/>
  <c r="AD103" i="13"/>
  <c r="AC105" i="13"/>
  <c r="AB107" i="13"/>
  <c r="AA109" i="13"/>
  <c r="Z111" i="13"/>
  <c r="Z113" i="13"/>
  <c r="AD114" i="13"/>
  <c r="AC116" i="13"/>
  <c r="AB118" i="13"/>
  <c r="AA120" i="13"/>
  <c r="Z122" i="13"/>
  <c r="AD123" i="13"/>
  <c r="AD125" i="13"/>
  <c r="AB127" i="13"/>
  <c r="Z129" i="13"/>
  <c r="AC130" i="13"/>
  <c r="AA132" i="13"/>
  <c r="AD133" i="13"/>
  <c r="AB135" i="13"/>
  <c r="Z137" i="13"/>
  <c r="AC138" i="13"/>
  <c r="Z16" i="13"/>
  <c r="Z18" i="13"/>
  <c r="AD19" i="13"/>
  <c r="AD21" i="13"/>
  <c r="AC23" i="13"/>
  <c r="AB25" i="13"/>
  <c r="Z29" i="13"/>
  <c r="AD30" i="13"/>
  <c r="AC32" i="13"/>
  <c r="AC34" i="13"/>
  <c r="AB36" i="13"/>
  <c r="Z40" i="13"/>
  <c r="AD41" i="13"/>
  <c r="AC43" i="13"/>
  <c r="AB45" i="13"/>
  <c r="AB47" i="13"/>
  <c r="Z51" i="13"/>
  <c r="AD52" i="13"/>
  <c r="AC54" i="13"/>
  <c r="AB56" i="13"/>
  <c r="Z62" i="13"/>
  <c r="AD63" i="13"/>
  <c r="AC65" i="13"/>
  <c r="AB67" i="13"/>
  <c r="Z71" i="13"/>
  <c r="Z73" i="13"/>
  <c r="AD74" i="13"/>
  <c r="AC76" i="13"/>
  <c r="AB78" i="13"/>
  <c r="AA80" i="13"/>
  <c r="Z82" i="13"/>
  <c r="AD83" i="13"/>
  <c r="AD85" i="13"/>
  <c r="AC87" i="13"/>
  <c r="AB89" i="13"/>
  <c r="AA91" i="13"/>
  <c r="Z93" i="13"/>
  <c r="AD94" i="13"/>
  <c r="AC96" i="13"/>
  <c r="AC98" i="13"/>
  <c r="AB100" i="13"/>
  <c r="AA102" i="13"/>
  <c r="Z104" i="13"/>
  <c r="AD105" i="13"/>
  <c r="AC107" i="13"/>
  <c r="AB109" i="13"/>
  <c r="AB111" i="13"/>
  <c r="AA113" i="13"/>
  <c r="Z115" i="13"/>
  <c r="AD116" i="13"/>
  <c r="AC118" i="13"/>
  <c r="AB120" i="13"/>
  <c r="AA122" i="13"/>
  <c r="AA124" i="13"/>
  <c r="Z126" i="13"/>
  <c r="AC127" i="13"/>
  <c r="AA129" i="13"/>
  <c r="AD130" i="13"/>
  <c r="AB132" i="13"/>
  <c r="Z134" i="13"/>
  <c r="AC135" i="13"/>
  <c r="AA137" i="13"/>
  <c r="AD138" i="13"/>
  <c r="AB10" i="7"/>
  <c r="AA69" i="13"/>
  <c r="AA60" i="13"/>
  <c r="AA58" i="13"/>
  <c r="AA49" i="13"/>
  <c r="AA38" i="13"/>
  <c r="AA27" i="13"/>
  <c r="AA13" i="13"/>
  <c r="AA15" i="13"/>
  <c r="AA31" i="13"/>
  <c r="AA39" i="13"/>
  <c r="AA47" i="13"/>
  <c r="AA55" i="13"/>
  <c r="AA63" i="13"/>
  <c r="AA71" i="13"/>
  <c r="AA79" i="13"/>
  <c r="AA87" i="13"/>
  <c r="AA95" i="13"/>
  <c r="AA103" i="13"/>
  <c r="AA111" i="13"/>
  <c r="AA119" i="13"/>
  <c r="AA12" i="13"/>
  <c r="AA10" i="14"/>
  <c r="AA14" i="13"/>
  <c r="AA16" i="13"/>
  <c r="AA135" i="13"/>
  <c r="AA127" i="13"/>
  <c r="AA118" i="13"/>
  <c r="AA107" i="13"/>
  <c r="AA96" i="13"/>
  <c r="AA85" i="13"/>
  <c r="AA76" i="13"/>
  <c r="AA74" i="13"/>
  <c r="AA65" i="13"/>
  <c r="AA54" i="13"/>
  <c r="AA43" i="13"/>
  <c r="AA32" i="13"/>
  <c r="AA21" i="13"/>
  <c r="AA10" i="13"/>
  <c r="AA138" i="13"/>
  <c r="AA130" i="13"/>
  <c r="AA125" i="13"/>
  <c r="AA116" i="13"/>
  <c r="AA114" i="13"/>
  <c r="AA105" i="13"/>
  <c r="AA94" i="13"/>
  <c r="AA83" i="13"/>
  <c r="AA72" i="13"/>
  <c r="AA61" i="13"/>
  <c r="AA52" i="13"/>
  <c r="AA50" i="13"/>
  <c r="AA41" i="13"/>
  <c r="AA30" i="13"/>
  <c r="AA19" i="13"/>
  <c r="AA11" i="13"/>
  <c r="AA133" i="13"/>
  <c r="AA123" i="13"/>
  <c r="AA112" i="13"/>
  <c r="AA101" i="13"/>
  <c r="AA92" i="13"/>
  <c r="AA90" i="13"/>
  <c r="AA81" i="13"/>
  <c r="AA70" i="13"/>
  <c r="AA59" i="13"/>
  <c r="AA48" i="13"/>
  <c r="AA37" i="13"/>
  <c r="AA28" i="13"/>
  <c r="AA26" i="13"/>
  <c r="AA17" i="13"/>
  <c r="AA136" i="13"/>
  <c r="AA128" i="13"/>
  <c r="AA121" i="13"/>
  <c r="AA110" i="13"/>
  <c r="AA99" i="13"/>
  <c r="AA88" i="13"/>
  <c r="AA77" i="13"/>
  <c r="AA68" i="13"/>
  <c r="AA66" i="13"/>
  <c r="AA57" i="13"/>
  <c r="AA46" i="13"/>
  <c r="AA35" i="13"/>
  <c r="AA24" i="13"/>
  <c r="AA131" i="13"/>
  <c r="AA117" i="13"/>
  <c r="AA108" i="13"/>
  <c r="AA106" i="13"/>
  <c r="AA97" i="13"/>
  <c r="AA86" i="13"/>
  <c r="AA75" i="13"/>
  <c r="AA64" i="13"/>
  <c r="AA53" i="13"/>
  <c r="AA44" i="13"/>
  <c r="AA42" i="13"/>
  <c r="AA33" i="13"/>
  <c r="AA22" i="13"/>
  <c r="AA134" i="13"/>
  <c r="AA126" i="13"/>
  <c r="AA115" i="13"/>
  <c r="AA104" i="13"/>
  <c r="AA93" i="13"/>
  <c r="AA84" i="13"/>
  <c r="AA82" i="13"/>
  <c r="AA73" i="13"/>
  <c r="AA62" i="13"/>
  <c r="AA51" i="13"/>
  <c r="AA40" i="13"/>
  <c r="AA29" i="13"/>
  <c r="AA20" i="13"/>
  <c r="AA18" i="13"/>
  <c r="M94" i="8"/>
  <c r="N94" i="8" s="1"/>
  <c r="M11" i="8"/>
  <c r="N11" i="8" s="1"/>
  <c r="M73" i="8"/>
  <c r="N73" i="8" s="1"/>
  <c r="M89" i="8"/>
  <c r="N89" i="8" s="1"/>
  <c r="M105" i="8"/>
  <c r="N105" i="8" s="1"/>
  <c r="M162" i="8"/>
  <c r="M5" i="8"/>
  <c r="N5" i="8" s="1"/>
  <c r="M38" i="8"/>
  <c r="N38" i="8" s="1"/>
  <c r="M54" i="8"/>
  <c r="N54" i="8" s="1"/>
  <c r="M76" i="8"/>
  <c r="N76" i="8" s="1"/>
  <c r="M92" i="8"/>
  <c r="N92" i="8" s="1"/>
  <c r="M78" i="8"/>
  <c r="N78" i="8" s="1"/>
  <c r="M3" i="8"/>
  <c r="N3" i="8" s="1"/>
  <c r="M33" i="8"/>
  <c r="N33" i="8" s="1"/>
  <c r="M49" i="8"/>
  <c r="N49" i="8" s="1"/>
  <c r="M65" i="8"/>
  <c r="N65" i="8" s="1"/>
  <c r="M48" i="8"/>
  <c r="N48" i="8" s="1"/>
  <c r="M70" i="8"/>
  <c r="N70" i="8" s="1"/>
  <c r="M28" i="8"/>
  <c r="N28" i="8" s="1"/>
  <c r="M44" i="8"/>
  <c r="N44" i="8" s="1"/>
  <c r="M60" i="8"/>
  <c r="N60" i="8" s="1"/>
  <c r="M82" i="8"/>
  <c r="N82" i="8" s="1"/>
  <c r="M98" i="8"/>
  <c r="N98" i="8" s="1"/>
  <c r="M125" i="8"/>
  <c r="N125" i="8" s="1"/>
  <c r="M39" i="8"/>
  <c r="N39" i="8" s="1"/>
  <c r="M55" i="8"/>
  <c r="N55" i="8" s="1"/>
  <c r="M128" i="8"/>
  <c r="N128" i="8" s="1"/>
  <c r="M144" i="8"/>
  <c r="N144" i="8" s="1"/>
  <c r="M152" i="8"/>
  <c r="N152" i="8" s="1"/>
  <c r="M398" i="8"/>
  <c r="M58" i="8"/>
  <c r="N58" i="8" s="1"/>
  <c r="M72" i="8"/>
  <c r="M88" i="8"/>
  <c r="N88" i="8" s="1"/>
  <c r="M104" i="8"/>
  <c r="M123" i="8"/>
  <c r="N123" i="8" s="1"/>
  <c r="M147" i="8"/>
  <c r="N147" i="8" s="1"/>
  <c r="M83" i="8"/>
  <c r="N83" i="8" s="1"/>
  <c r="M99" i="8"/>
  <c r="N99" i="8" s="1"/>
  <c r="M2" i="8"/>
  <c r="N2" i="8" s="1"/>
  <c r="M29" i="8"/>
  <c r="N29" i="8" s="1"/>
  <c r="M34" i="8"/>
  <c r="N34" i="8" s="1"/>
  <c r="M56" i="8"/>
  <c r="N56" i="8" s="1"/>
  <c r="M61" i="8"/>
  <c r="N61" i="8" s="1"/>
  <c r="M66" i="8"/>
  <c r="N66" i="8" s="1"/>
  <c r="M90" i="8"/>
  <c r="N90" i="8" s="1"/>
  <c r="M95" i="8"/>
  <c r="N95" i="8" s="1"/>
  <c r="M100" i="8"/>
  <c r="N100" i="8" s="1"/>
  <c r="M107" i="8"/>
  <c r="N107" i="8" s="1"/>
  <c r="M109" i="8"/>
  <c r="N109" i="8" s="1"/>
  <c r="M115" i="8"/>
  <c r="N115" i="8" s="1"/>
  <c r="M119" i="8"/>
  <c r="N119" i="8" s="1"/>
  <c r="M167" i="8"/>
  <c r="N167" i="8" s="1"/>
  <c r="M172" i="8"/>
  <c r="N172" i="8" s="1"/>
  <c r="M209" i="8"/>
  <c r="N209" i="8" s="1"/>
  <c r="M214" i="8"/>
  <c r="N214" i="8" s="1"/>
  <c r="M241" i="8"/>
  <c r="N241" i="8" s="1"/>
  <c r="M246" i="8"/>
  <c r="N246" i="8" s="1"/>
  <c r="M273" i="8"/>
  <c r="N273" i="8" s="1"/>
  <c r="M278" i="8"/>
  <c r="N278" i="8" s="1"/>
  <c r="M291" i="8"/>
  <c r="N291" i="8" s="1"/>
  <c r="M296" i="8"/>
  <c r="N296" i="8" s="1"/>
  <c r="M323" i="8"/>
  <c r="N323" i="8" s="1"/>
  <c r="M330" i="8"/>
  <c r="M333" i="8"/>
  <c r="N333" i="8" s="1"/>
  <c r="M338" i="8"/>
  <c r="M389" i="8"/>
  <c r="M404" i="8"/>
  <c r="N404" i="8" s="1"/>
  <c r="M482" i="8"/>
  <c r="N482" i="8" s="1"/>
  <c r="M7" i="8"/>
  <c r="N7" i="8" s="1"/>
  <c r="M12" i="8"/>
  <c r="N12" i="8" s="1"/>
  <c r="M15" i="8"/>
  <c r="N15" i="8" s="1"/>
  <c r="M25" i="8"/>
  <c r="N25" i="8" s="1"/>
  <c r="M31" i="8"/>
  <c r="N31" i="8" s="1"/>
  <c r="M36" i="8"/>
  <c r="N36" i="8" s="1"/>
  <c r="M41" i="8"/>
  <c r="N41" i="8" s="1"/>
  <c r="M43" i="8"/>
  <c r="N43" i="8" s="1"/>
  <c r="M46" i="8"/>
  <c r="N46" i="8" s="1"/>
  <c r="M63" i="8"/>
  <c r="N63" i="8" s="1"/>
  <c r="M68" i="8"/>
  <c r="N68" i="8" s="1"/>
  <c r="M75" i="8"/>
  <c r="N75" i="8" s="1"/>
  <c r="M77" i="8"/>
  <c r="N77" i="8" s="1"/>
  <c r="M80" i="8"/>
  <c r="N80" i="8" s="1"/>
  <c r="M97" i="8"/>
  <c r="N97" i="8" s="1"/>
  <c r="M102" i="8"/>
  <c r="N102" i="8" s="1"/>
  <c r="M117" i="8"/>
  <c r="N117" i="8" s="1"/>
  <c r="M134" i="8"/>
  <c r="N134" i="8" s="1"/>
  <c r="M136" i="8"/>
  <c r="N136" i="8" s="1"/>
  <c r="M138" i="8"/>
  <c r="N138" i="8" s="1"/>
  <c r="M140" i="8"/>
  <c r="N140" i="8" s="1"/>
  <c r="M146" i="8"/>
  <c r="M148" i="8"/>
  <c r="N148" i="8" s="1"/>
  <c r="M177" i="8"/>
  <c r="N177" i="8" s="1"/>
  <c r="M182" i="8"/>
  <c r="N182" i="8" s="1"/>
  <c r="M189" i="8"/>
  <c r="N189" i="8" s="1"/>
  <c r="M199" i="8"/>
  <c r="N199" i="8" s="1"/>
  <c r="M219" i="8"/>
  <c r="N219" i="8" s="1"/>
  <c r="M224" i="8"/>
  <c r="N224" i="8" s="1"/>
  <c r="M231" i="8"/>
  <c r="N231" i="8" s="1"/>
  <c r="M251" i="8"/>
  <c r="N251" i="8" s="1"/>
  <c r="M256" i="8"/>
  <c r="N256" i="8" s="1"/>
  <c r="M263" i="8"/>
  <c r="N263" i="8" s="1"/>
  <c r="M301" i="8"/>
  <c r="N301" i="8" s="1"/>
  <c r="M306" i="8"/>
  <c r="N306" i="8" s="1"/>
  <c r="M313" i="8"/>
  <c r="N313" i="8" s="1"/>
  <c r="M336" i="8"/>
  <c r="N336" i="8" s="1"/>
  <c r="M365" i="8"/>
  <c r="N365" i="8" s="1"/>
  <c r="M375" i="8"/>
  <c r="N375" i="8" s="1"/>
  <c r="M445" i="8"/>
  <c r="N445" i="8" s="1"/>
  <c r="M450" i="8"/>
  <c r="M458" i="8"/>
  <c r="M602" i="8"/>
  <c r="N602" i="8" s="1"/>
  <c r="M769" i="8"/>
  <c r="M6" i="8"/>
  <c r="N6" i="8" s="1"/>
  <c r="M21" i="8"/>
  <c r="N21" i="8" s="1"/>
  <c r="M53" i="8"/>
  <c r="N53" i="8" s="1"/>
  <c r="N72" i="8"/>
  <c r="M87" i="8"/>
  <c r="N87" i="8" s="1"/>
  <c r="N104" i="8"/>
  <c r="M106" i="8"/>
  <c r="N106" i="8" s="1"/>
  <c r="M111" i="8"/>
  <c r="N111" i="8" s="1"/>
  <c r="M121" i="8"/>
  <c r="N121" i="8" s="1"/>
  <c r="M127" i="8"/>
  <c r="N127" i="8" s="1"/>
  <c r="M142" i="8"/>
  <c r="N142" i="8" s="1"/>
  <c r="N146" i="8"/>
  <c r="M150" i="8"/>
  <c r="N150" i="8" s="1"/>
  <c r="M159" i="8"/>
  <c r="N159" i="8" s="1"/>
  <c r="M161" i="8"/>
  <c r="N161" i="8" s="1"/>
  <c r="M165" i="8"/>
  <c r="N165" i="8" s="1"/>
  <c r="M170" i="8"/>
  <c r="N170" i="8" s="1"/>
  <c r="M175" i="8"/>
  <c r="N175" i="8" s="1"/>
  <c r="M180" i="8"/>
  <c r="N180" i="8" s="1"/>
  <c r="M217" i="8"/>
  <c r="N217" i="8" s="1"/>
  <c r="M222" i="8"/>
  <c r="N222" i="8" s="1"/>
  <c r="M249" i="8"/>
  <c r="N249" i="8" s="1"/>
  <c r="M254" i="8"/>
  <c r="N254" i="8" s="1"/>
  <c r="M299" i="8"/>
  <c r="N299" i="8" s="1"/>
  <c r="M304" i="8"/>
  <c r="N304" i="8" s="1"/>
  <c r="M331" i="8"/>
  <c r="N331" i="8" s="1"/>
  <c r="M356" i="8"/>
  <c r="N356" i="8" s="1"/>
  <c r="M431" i="8"/>
  <c r="N431" i="8" s="1"/>
  <c r="M597" i="8"/>
  <c r="M24" i="8"/>
  <c r="N24" i="8" s="1"/>
  <c r="M35" i="8"/>
  <c r="N35" i="8" s="1"/>
  <c r="M67" i="8"/>
  <c r="N67" i="8" s="1"/>
  <c r="M101" i="8"/>
  <c r="N101" i="8" s="1"/>
  <c r="M114" i="8"/>
  <c r="M116" i="8"/>
  <c r="N116" i="8" s="1"/>
  <c r="M185" i="8"/>
  <c r="N185" i="8" s="1"/>
  <c r="M190" i="8"/>
  <c r="N190" i="8" s="1"/>
  <c r="M200" i="8"/>
  <c r="N200" i="8" s="1"/>
  <c r="M207" i="8"/>
  <c r="N207" i="8" s="1"/>
  <c r="M227" i="8"/>
  <c r="N227" i="8" s="1"/>
  <c r="M232" i="8"/>
  <c r="N232" i="8" s="1"/>
  <c r="M239" i="8"/>
  <c r="N239" i="8" s="1"/>
  <c r="M259" i="8"/>
  <c r="N259" i="8" s="1"/>
  <c r="M264" i="8"/>
  <c r="N264" i="8" s="1"/>
  <c r="M271" i="8"/>
  <c r="N271" i="8" s="1"/>
  <c r="M282" i="8"/>
  <c r="N282" i="8" s="1"/>
  <c r="M289" i="8"/>
  <c r="N289" i="8" s="1"/>
  <c r="M309" i="8"/>
  <c r="N309" i="8" s="1"/>
  <c r="M314" i="8"/>
  <c r="N314" i="8" s="1"/>
  <c r="M321" i="8"/>
  <c r="N321" i="8" s="1"/>
  <c r="M324" i="8"/>
  <c r="N324" i="8" s="1"/>
  <c r="M346" i="8"/>
  <c r="M390" i="8"/>
  <c r="M402" i="8"/>
  <c r="N402" i="8" s="1"/>
  <c r="M448" i="8"/>
  <c r="N448" i="8" s="1"/>
  <c r="M456" i="8"/>
  <c r="N456" i="8" s="1"/>
  <c r="M10" i="8"/>
  <c r="N10" i="8" s="1"/>
  <c r="M17" i="8"/>
  <c r="N17" i="8" s="1"/>
  <c r="M27" i="8"/>
  <c r="N27" i="8" s="1"/>
  <c r="M40" i="8"/>
  <c r="N40" i="8" s="1"/>
  <c r="M45" i="8"/>
  <c r="N45" i="8" s="1"/>
  <c r="M50" i="8"/>
  <c r="N50" i="8" s="1"/>
  <c r="M74" i="8"/>
  <c r="N74" i="8" s="1"/>
  <c r="M79" i="8"/>
  <c r="N79" i="8" s="1"/>
  <c r="M84" i="8"/>
  <c r="N84" i="8" s="1"/>
  <c r="N114" i="8"/>
  <c r="M129" i="8"/>
  <c r="N129" i="8" s="1"/>
  <c r="M131" i="8"/>
  <c r="N131" i="8" s="1"/>
  <c r="M135" i="8"/>
  <c r="N135" i="8" s="1"/>
  <c r="M155" i="8"/>
  <c r="N155" i="8" s="1"/>
  <c r="M157" i="8"/>
  <c r="N157" i="8" s="1"/>
  <c r="M183" i="8"/>
  <c r="N183" i="8" s="1"/>
  <c r="M188" i="8"/>
  <c r="N188" i="8" s="1"/>
  <c r="M198" i="8"/>
  <c r="N198" i="8" s="1"/>
  <c r="M225" i="8"/>
  <c r="N225" i="8" s="1"/>
  <c r="M230" i="8"/>
  <c r="N230" i="8" s="1"/>
  <c r="M257" i="8"/>
  <c r="N257" i="8" s="1"/>
  <c r="M262" i="8"/>
  <c r="N262" i="8" s="1"/>
  <c r="M307" i="8"/>
  <c r="M312" i="8"/>
  <c r="N312" i="8" s="1"/>
  <c r="M354" i="8"/>
  <c r="N354" i="8" s="1"/>
  <c r="M459" i="8"/>
  <c r="N459" i="8" s="1"/>
  <c r="M559" i="8"/>
  <c r="M653" i="8"/>
  <c r="N653" i="8" s="1"/>
  <c r="M4" i="8"/>
  <c r="N4" i="8" s="1"/>
  <c r="M20" i="8"/>
  <c r="N20" i="8" s="1"/>
  <c r="M23" i="8"/>
  <c r="N23" i="8" s="1"/>
  <c r="M30" i="8"/>
  <c r="N30" i="8" s="1"/>
  <c r="M47" i="8"/>
  <c r="N47" i="8" s="1"/>
  <c r="M52" i="8"/>
  <c r="N52" i="8" s="1"/>
  <c r="M57" i="8"/>
  <c r="N57" i="8" s="1"/>
  <c r="M59" i="8"/>
  <c r="N59" i="8" s="1"/>
  <c r="M62" i="8"/>
  <c r="N62" i="8" s="1"/>
  <c r="M81" i="8"/>
  <c r="N81" i="8" s="1"/>
  <c r="M86" i="8"/>
  <c r="N86" i="8" s="1"/>
  <c r="M91" i="8"/>
  <c r="N91" i="8" s="1"/>
  <c r="M93" i="8"/>
  <c r="N93" i="8" s="1"/>
  <c r="M96" i="8"/>
  <c r="N96" i="8" s="1"/>
  <c r="M108" i="8"/>
  <c r="N108" i="8" s="1"/>
  <c r="M110" i="8"/>
  <c r="N110" i="8" s="1"/>
  <c r="M118" i="8"/>
  <c r="N118" i="8" s="1"/>
  <c r="M120" i="8"/>
  <c r="N120" i="8" s="1"/>
  <c r="M122" i="8"/>
  <c r="N122" i="8" s="1"/>
  <c r="M124" i="8"/>
  <c r="N124" i="8" s="1"/>
  <c r="M133" i="8"/>
  <c r="N133" i="8" s="1"/>
  <c r="M141" i="8"/>
  <c r="M143" i="8"/>
  <c r="M149" i="8"/>
  <c r="M151" i="8"/>
  <c r="N151" i="8" s="1"/>
  <c r="M164" i="8"/>
  <c r="N164" i="8" s="1"/>
  <c r="M166" i="8"/>
  <c r="N166" i="8" s="1"/>
  <c r="M173" i="8"/>
  <c r="N173" i="8" s="1"/>
  <c r="M193" i="8"/>
  <c r="N193" i="8" s="1"/>
  <c r="M203" i="8"/>
  <c r="M208" i="8"/>
  <c r="N208" i="8" s="1"/>
  <c r="M215" i="8"/>
  <c r="N215" i="8" s="1"/>
  <c r="M235" i="8"/>
  <c r="N235" i="8" s="1"/>
  <c r="M240" i="8"/>
  <c r="N240" i="8" s="1"/>
  <c r="M247" i="8"/>
  <c r="N247" i="8" s="1"/>
  <c r="M267" i="8"/>
  <c r="M272" i="8"/>
  <c r="N272" i="8" s="1"/>
  <c r="M279" i="8"/>
  <c r="N279" i="8" s="1"/>
  <c r="M285" i="8"/>
  <c r="M290" i="8"/>
  <c r="N290" i="8" s="1"/>
  <c r="M297" i="8"/>
  <c r="N297" i="8" s="1"/>
  <c r="N307" i="8"/>
  <c r="M317" i="8"/>
  <c r="M322" i="8"/>
  <c r="N322" i="8" s="1"/>
  <c r="M339" i="8"/>
  <c r="N339" i="8" s="1"/>
  <c r="M362" i="8"/>
  <c r="N362" i="8" s="1"/>
  <c r="M372" i="8"/>
  <c r="M396" i="8"/>
  <c r="N396" i="8" s="1"/>
  <c r="M430" i="8"/>
  <c r="N430" i="8" s="1"/>
  <c r="M557" i="8"/>
  <c r="N557" i="8" s="1"/>
  <c r="M2022" i="8"/>
  <c r="M1988" i="8"/>
  <c r="N1988" i="8" s="1"/>
  <c r="M1980" i="8"/>
  <c r="N1980" i="8" s="1"/>
  <c r="M1970" i="8"/>
  <c r="N1970" i="8" s="1"/>
  <c r="M1962" i="8"/>
  <c r="N1962" i="8" s="1"/>
  <c r="M1954" i="8"/>
  <c r="N1954" i="8" s="1"/>
  <c r="M1946" i="8"/>
  <c r="N1946" i="8" s="1"/>
  <c r="M1938" i="8"/>
  <c r="M1929" i="8"/>
  <c r="N1929" i="8" s="1"/>
  <c r="M1902" i="8"/>
  <c r="M1894" i="8"/>
  <c r="N1894" i="8" s="1"/>
  <c r="M1886" i="8"/>
  <c r="M1878" i="8"/>
  <c r="M1870" i="8"/>
  <c r="N1870" i="8" s="1"/>
  <c r="M1840" i="8"/>
  <c r="M1832" i="8"/>
  <c r="M1824" i="8"/>
  <c r="N1824" i="8" s="1"/>
  <c r="M1816" i="8"/>
  <c r="M1808" i="8"/>
  <c r="N1808" i="8" s="1"/>
  <c r="M1778" i="8"/>
  <c r="M1770" i="8"/>
  <c r="M1762" i="8"/>
  <c r="N1762" i="8" s="1"/>
  <c r="M2043" i="8"/>
  <c r="N2043" i="8" s="1"/>
  <c r="M2025" i="8"/>
  <c r="N2025" i="8" s="1"/>
  <c r="M2019" i="8"/>
  <c r="M2015" i="8"/>
  <c r="M2007" i="8"/>
  <c r="N2007" i="8" s="1"/>
  <c r="M1999" i="8"/>
  <c r="M1991" i="8"/>
  <c r="N1991" i="8" s="1"/>
  <c r="M1983" i="8"/>
  <c r="N1983" i="8" s="1"/>
  <c r="M1973" i="8"/>
  <c r="N1973" i="8" s="1"/>
  <c r="M1965" i="8"/>
  <c r="N1965" i="8" s="1"/>
  <c r="M1957" i="8"/>
  <c r="N1957" i="8" s="1"/>
  <c r="M1949" i="8"/>
  <c r="N1949" i="8" s="1"/>
  <c r="M1941" i="8"/>
  <c r="N1941" i="8" s="1"/>
  <c r="M1897" i="8"/>
  <c r="N1897" i="8" s="1"/>
  <c r="M1889" i="8"/>
  <c r="N1889" i="8" s="1"/>
  <c r="M1881" i="8"/>
  <c r="N1881" i="8" s="1"/>
  <c r="M1873" i="8"/>
  <c r="N1873" i="8" s="1"/>
  <c r="M1867" i="8"/>
  <c r="N1867" i="8" s="1"/>
  <c r="M1835" i="8"/>
  <c r="N1835" i="8" s="1"/>
  <c r="M1827" i="8"/>
  <c r="N1827" i="8" s="1"/>
  <c r="M1819" i="8"/>
  <c r="N1819" i="8" s="1"/>
  <c r="M1811" i="8"/>
  <c r="N1811" i="8" s="1"/>
  <c r="M1773" i="8"/>
  <c r="N1773" i="8" s="1"/>
  <c r="M1765" i="8"/>
  <c r="N1765" i="8" s="1"/>
  <c r="M1757" i="8"/>
  <c r="N1757" i="8" s="1"/>
  <c r="M1749" i="8"/>
  <c r="N1749" i="8" s="1"/>
  <c r="M1741" i="8"/>
  <c r="N1741" i="8" s="1"/>
  <c r="M2020" i="8"/>
  <c r="N2020" i="8" s="1"/>
  <c r="M1930" i="8"/>
  <c r="N1930" i="8" s="1"/>
  <c r="M2008" i="8"/>
  <c r="M2000" i="8"/>
  <c r="M1992" i="8"/>
  <c r="M1984" i="8"/>
  <c r="M1974" i="8"/>
  <c r="M1966" i="8"/>
  <c r="M1958" i="8"/>
  <c r="M1898" i="8"/>
  <c r="N1898" i="8" s="1"/>
  <c r="M1890" i="8"/>
  <c r="M1882" i="8"/>
  <c r="M1874" i="8"/>
  <c r="M1836" i="8"/>
  <c r="M1828" i="8"/>
  <c r="M1820" i="8"/>
  <c r="M1812" i="8"/>
  <c r="M1806" i="8"/>
  <c r="N1806" i="8" s="1"/>
  <c r="M1774" i="8"/>
  <c r="N1774" i="8" s="1"/>
  <c r="M1766" i="8"/>
  <c r="N1766" i="8" s="1"/>
  <c r="M1758" i="8"/>
  <c r="N1758" i="8" s="1"/>
  <c r="M1750" i="8"/>
  <c r="M1742" i="8"/>
  <c r="M1734" i="8"/>
  <c r="M1726" i="8"/>
  <c r="M1718" i="8"/>
  <c r="N1718" i="8" s="1"/>
  <c r="M2047" i="8"/>
  <c r="M2024" i="8"/>
  <c r="N2024" i="8" s="1"/>
  <c r="M2014" i="8"/>
  <c r="N2014" i="8" s="1"/>
  <c r="M2006" i="8"/>
  <c r="N2006" i="8" s="1"/>
  <c r="M1998" i="8"/>
  <c r="N1998" i="8" s="1"/>
  <c r="M1967" i="8"/>
  <c r="N1967" i="8" s="1"/>
  <c r="M1959" i="8"/>
  <c r="N1959" i="8" s="1"/>
  <c r="M1961" i="8"/>
  <c r="N1961" i="8" s="1"/>
  <c r="M1729" i="8"/>
  <c r="N1729" i="8" s="1"/>
  <c r="M1714" i="8"/>
  <c r="M1710" i="8"/>
  <c r="N1710" i="8" s="1"/>
  <c r="M1706" i="8"/>
  <c r="M1702" i="8"/>
  <c r="M1698" i="8"/>
  <c r="N1698" i="8" s="1"/>
  <c r="M1688" i="8"/>
  <c r="M1684" i="8"/>
  <c r="N1684" i="8" s="1"/>
  <c r="M1671" i="8"/>
  <c r="N1671" i="8" s="1"/>
  <c r="M1659" i="8"/>
  <c r="M1621" i="8"/>
  <c r="N1621" i="8" s="1"/>
  <c r="M2003" i="8"/>
  <c r="N2003" i="8" s="1"/>
  <c r="M1877" i="8"/>
  <c r="N1877" i="8" s="1"/>
  <c r="M1839" i="8"/>
  <c r="N1839" i="8" s="1"/>
  <c r="M1807" i="8"/>
  <c r="N1807" i="8" s="1"/>
  <c r="M1733" i="8"/>
  <c r="N1733" i="8" s="1"/>
  <c r="M1680" i="8"/>
  <c r="M1652" i="8"/>
  <c r="M1641" i="8"/>
  <c r="N1641" i="8" s="1"/>
  <c r="M1953" i="8"/>
  <c r="M1777" i="8"/>
  <c r="N1777" i="8" s="1"/>
  <c r="M1753" i="8"/>
  <c r="N1753" i="8" s="1"/>
  <c r="M1746" i="8"/>
  <c r="M1737" i="8"/>
  <c r="N1737" i="8" s="1"/>
  <c r="M1722" i="8"/>
  <c r="M1676" i="8"/>
  <c r="M1667" i="8"/>
  <c r="N1667" i="8" s="1"/>
  <c r="M1662" i="8"/>
  <c r="N1662" i="8" s="1"/>
  <c r="M2041" i="8"/>
  <c r="N2041" i="8" s="1"/>
  <c r="Y20" i="7" s="1"/>
  <c r="M1995" i="8"/>
  <c r="N1995" i="8" s="1"/>
  <c r="M1901" i="8"/>
  <c r="N1901" i="8" s="1"/>
  <c r="M1869" i="8"/>
  <c r="N1869" i="8" s="1"/>
  <c r="M1831" i="8"/>
  <c r="N1831" i="8" s="1"/>
  <c r="M1945" i="8"/>
  <c r="M1769" i="8"/>
  <c r="N1769" i="8" s="1"/>
  <c r="M1730" i="8"/>
  <c r="M1637" i="8"/>
  <c r="M2021" i="8"/>
  <c r="N2021" i="8" s="1"/>
  <c r="M2011" i="8"/>
  <c r="N2011" i="8" s="1"/>
  <c r="M1979" i="8"/>
  <c r="N1979" i="8" s="1"/>
  <c r="M1885" i="8"/>
  <c r="N1885" i="8" s="1"/>
  <c r="M1815" i="8"/>
  <c r="N1815" i="8" s="1"/>
  <c r="M1725" i="8"/>
  <c r="N1725" i="8" s="1"/>
  <c r="M1675" i="8"/>
  <c r="N1675" i="8" s="1"/>
  <c r="M1893" i="8"/>
  <c r="N1893" i="8" s="1"/>
  <c r="M1761" i="8"/>
  <c r="N1761" i="8" s="1"/>
  <c r="M1738" i="8"/>
  <c r="M1701" i="8"/>
  <c r="N1701" i="8" s="1"/>
  <c r="M1679" i="8"/>
  <c r="N1679" i="8" s="1"/>
  <c r="M1618" i="8"/>
  <c r="N1618" i="8" s="1"/>
  <c r="M1614" i="8"/>
  <c r="N1614" i="8" s="1"/>
  <c r="M1610" i="8"/>
  <c r="N1610" i="8" s="1"/>
  <c r="M1606" i="8"/>
  <c r="N1606" i="8" s="1"/>
  <c r="M1539" i="8"/>
  <c r="M1713" i="8"/>
  <c r="N1713" i="8" s="1"/>
  <c r="M1683" i="8"/>
  <c r="N1683" i="8" s="1"/>
  <c r="M1653" i="8"/>
  <c r="N1653" i="8" s="1"/>
  <c r="M1636" i="8"/>
  <c r="N1636" i="8" s="1"/>
  <c r="M1630" i="8"/>
  <c r="M1624" i="8"/>
  <c r="N1624" i="8" s="1"/>
  <c r="M1591" i="8"/>
  <c r="M1587" i="8"/>
  <c r="N1587" i="8" s="1"/>
  <c r="M1583" i="8"/>
  <c r="M1579" i="8"/>
  <c r="N1579" i="8" s="1"/>
  <c r="M1575" i="8"/>
  <c r="M1564" i="8"/>
  <c r="N1564" i="8" s="1"/>
  <c r="M1560" i="8"/>
  <c r="N1560" i="8" s="1"/>
  <c r="M1556" i="8"/>
  <c r="N1556" i="8" s="1"/>
  <c r="M1552" i="8"/>
  <c r="N1552" i="8" s="1"/>
  <c r="M1541" i="8"/>
  <c r="N1541" i="8" s="1"/>
  <c r="M1535" i="8"/>
  <c r="M1528" i="8"/>
  <c r="N1528" i="8" s="1"/>
  <c r="M1514" i="8"/>
  <c r="M1506" i="8"/>
  <c r="M1492" i="8"/>
  <c r="M1478" i="8"/>
  <c r="M1456" i="8"/>
  <c r="M1969" i="8"/>
  <c r="N1969" i="8" s="1"/>
  <c r="M1745" i="8"/>
  <c r="N1745" i="8" s="1"/>
  <c r="M1634" i="8"/>
  <c r="N1634" i="8" s="1"/>
  <c r="M1517" i="8"/>
  <c r="N1517" i="8" s="1"/>
  <c r="M1509" i="8"/>
  <c r="N1509" i="8" s="1"/>
  <c r="M1495" i="8"/>
  <c r="N1495" i="8" s="1"/>
  <c r="M1473" i="8"/>
  <c r="N1473" i="8" s="1"/>
  <c r="M1459" i="8"/>
  <c r="N1459" i="8" s="1"/>
  <c r="M1449" i="8"/>
  <c r="N1449" i="8" s="1"/>
  <c r="M1441" i="8"/>
  <c r="N1441" i="8" s="1"/>
  <c r="M1705" i="8"/>
  <c r="N1705" i="8" s="1"/>
  <c r="M1640" i="8"/>
  <c r="N1640" i="8" s="1"/>
  <c r="M1615" i="8"/>
  <c r="N1615" i="8" s="1"/>
  <c r="M1611" i="8"/>
  <c r="N1611" i="8" s="1"/>
  <c r="M1607" i="8"/>
  <c r="M1604" i="8"/>
  <c r="N1604" i="8" s="1"/>
  <c r="M1600" i="8"/>
  <c r="N1600" i="8" s="1"/>
  <c r="M1596" i="8"/>
  <c r="N1596" i="8" s="1"/>
  <c r="M1592" i="8"/>
  <c r="N1592" i="8" s="1"/>
  <c r="M1531" i="8"/>
  <c r="N1531" i="8" s="1"/>
  <c r="M1370" i="8"/>
  <c r="N1370" i="8" s="1"/>
  <c r="M1366" i="8"/>
  <c r="N1366" i="8" s="1"/>
  <c r="M1987" i="8"/>
  <c r="N1987" i="8" s="1"/>
  <c r="M1937" i="8"/>
  <c r="M1717" i="8"/>
  <c r="N1717" i="8" s="1"/>
  <c r="M1687" i="8"/>
  <c r="N1687" i="8" s="1"/>
  <c r="M1668" i="8"/>
  <c r="N1668" i="8" s="1"/>
  <c r="M1625" i="8"/>
  <c r="N1625" i="8" s="1"/>
  <c r="M1565" i="8"/>
  <c r="N1565" i="8" s="1"/>
  <c r="M1561" i="8"/>
  <c r="N1561" i="8" s="1"/>
  <c r="M1557" i="8"/>
  <c r="M1553" i="8"/>
  <c r="M1542" i="8"/>
  <c r="N1542" i="8" s="1"/>
  <c r="M1582" i="8"/>
  <c r="N1582" i="8" s="1"/>
  <c r="M1494" i="8"/>
  <c r="N1494" i="8" s="1"/>
  <c r="M1455" i="8"/>
  <c r="N1455" i="8" s="1"/>
  <c r="M1433" i="8"/>
  <c r="N1433" i="8" s="1"/>
  <c r="M1414" i="8"/>
  <c r="N1414" i="8" s="1"/>
  <c r="M1408" i="8"/>
  <c r="M1395" i="8"/>
  <c r="N1395" i="8" s="1"/>
  <c r="M1385" i="8"/>
  <c r="N1385" i="8" s="1"/>
  <c r="M1369" i="8"/>
  <c r="N1369" i="8" s="1"/>
  <c r="M1360" i="8"/>
  <c r="N1360" i="8" s="1"/>
  <c r="M1325" i="8"/>
  <c r="N1325" i="8" s="1"/>
  <c r="M1320" i="8"/>
  <c r="N1320" i="8" s="1"/>
  <c r="M1315" i="8"/>
  <c r="N1315" i="8" s="1"/>
  <c r="M1305" i="8"/>
  <c r="N1305" i="8" s="1"/>
  <c r="M1297" i="8"/>
  <c r="N1297" i="8" s="1"/>
  <c r="M1289" i="8"/>
  <c r="N1289" i="8" s="1"/>
  <c r="M1281" i="8"/>
  <c r="N1281" i="8" s="1"/>
  <c r="M1273" i="8"/>
  <c r="N1273" i="8" s="1"/>
  <c r="M1243" i="8"/>
  <c r="N1243" i="8" s="1"/>
  <c r="M1235" i="8"/>
  <c r="N1235" i="8" s="1"/>
  <c r="M1721" i="8"/>
  <c r="N1721" i="8" s="1"/>
  <c r="M1597" i="8"/>
  <c r="M1510" i="8"/>
  <c r="N1510" i="8" s="1"/>
  <c r="M1508" i="8"/>
  <c r="N1508" i="8" s="1"/>
  <c r="M1429" i="8"/>
  <c r="N1429" i="8" s="1"/>
  <c r="M1404" i="8"/>
  <c r="N1404" i="8" s="1"/>
  <c r="M1391" i="8"/>
  <c r="N1391" i="8" s="1"/>
  <c r="M1372" i="8"/>
  <c r="N1372" i="8" s="1"/>
  <c r="M1364" i="8"/>
  <c r="N1364" i="8" s="1"/>
  <c r="M1330" i="8"/>
  <c r="N1330" i="8" s="1"/>
  <c r="M1313" i="8"/>
  <c r="M1308" i="8"/>
  <c r="N1308" i="8" s="1"/>
  <c r="M1300" i="8"/>
  <c r="N1300" i="8" s="1"/>
  <c r="M1292" i="8"/>
  <c r="N1292" i="8" s="1"/>
  <c r="M1284" i="8"/>
  <c r="N1284" i="8" s="1"/>
  <c r="M1276" i="8"/>
  <c r="N1276" i="8" s="1"/>
  <c r="M1238" i="8"/>
  <c r="N1238" i="8" s="1"/>
  <c r="M1230" i="8"/>
  <c r="N1230" i="8" s="1"/>
  <c r="M1222" i="8"/>
  <c r="N1222" i="8" s="1"/>
  <c r="M1214" i="8"/>
  <c r="N1214" i="8" s="1"/>
  <c r="M1206" i="8"/>
  <c r="N1206" i="8" s="1"/>
  <c r="M1198" i="8"/>
  <c r="N1198" i="8" s="1"/>
  <c r="M1190" i="8"/>
  <c r="N1190" i="8" s="1"/>
  <c r="M1168" i="8"/>
  <c r="N1168" i="8" s="1"/>
  <c r="M1620" i="8"/>
  <c r="N1620" i="8" s="1"/>
  <c r="M1586" i="8"/>
  <c r="N1586" i="8" s="1"/>
  <c r="M1477" i="8"/>
  <c r="N1477" i="8" s="1"/>
  <c r="M1471" i="8"/>
  <c r="M1446" i="8"/>
  <c r="N1446" i="8" s="1"/>
  <c r="M1438" i="8"/>
  <c r="N1438" i="8" s="1"/>
  <c r="M1425" i="8"/>
  <c r="N1425" i="8" s="1"/>
  <c r="M1419" i="8"/>
  <c r="N1419" i="8" s="1"/>
  <c r="M1400" i="8"/>
  <c r="N1400" i="8" s="1"/>
  <c r="M1381" i="8"/>
  <c r="N1381" i="8" s="1"/>
  <c r="M1328" i="8"/>
  <c r="N1328" i="8" s="1"/>
  <c r="M1601" i="8"/>
  <c r="N1601" i="8" s="1"/>
  <c r="M1516" i="8"/>
  <c r="N1516" i="8" s="1"/>
  <c r="M1491" i="8"/>
  <c r="N1491" i="8" s="1"/>
  <c r="M1415" i="8"/>
  <c r="N1415" i="8" s="1"/>
  <c r="M1396" i="8"/>
  <c r="N1396" i="8" s="1"/>
  <c r="M1386" i="8"/>
  <c r="N1386" i="8" s="1"/>
  <c r="M1367" i="8"/>
  <c r="N1367" i="8" s="1"/>
  <c r="M1754" i="8"/>
  <c r="M1590" i="8"/>
  <c r="N1590" i="8" s="1"/>
  <c r="M1574" i="8"/>
  <c r="N1574" i="8" s="1"/>
  <c r="M1430" i="8"/>
  <c r="N1430" i="8" s="1"/>
  <c r="M1411" i="8"/>
  <c r="M1365" i="8"/>
  <c r="N1365" i="8" s="1"/>
  <c r="M1823" i="8"/>
  <c r="N1823" i="8" s="1"/>
  <c r="M1663" i="8"/>
  <c r="N1663" i="8" s="1"/>
  <c r="M1658" i="8"/>
  <c r="M1656" i="8"/>
  <c r="N1656" i="8" s="1"/>
  <c r="M1631" i="8"/>
  <c r="N1631" i="8" s="1"/>
  <c r="M1629" i="8"/>
  <c r="N1629" i="8" s="1"/>
  <c r="M1605" i="8"/>
  <c r="M1534" i="8"/>
  <c r="N1534" i="8" s="1"/>
  <c r="M1527" i="8"/>
  <c r="N1527" i="8" s="1"/>
  <c r="M1472" i="8"/>
  <c r="N1472" i="8" s="1"/>
  <c r="M1458" i="8"/>
  <c r="N1458" i="8" s="1"/>
  <c r="M1423" i="8"/>
  <c r="N1423" i="8" s="1"/>
  <c r="M1420" i="8"/>
  <c r="M1407" i="8"/>
  <c r="N1407" i="8" s="1"/>
  <c r="M1368" i="8"/>
  <c r="N1368" i="8" s="1"/>
  <c r="M1709" i="8"/>
  <c r="N1709" i="8" s="1"/>
  <c r="M1578" i="8"/>
  <c r="N1578" i="8" s="1"/>
  <c r="M1551" i="8"/>
  <c r="N1551" i="8" s="1"/>
  <c r="M1538" i="8"/>
  <c r="M1513" i="8"/>
  <c r="N1513" i="8" s="1"/>
  <c r="M1454" i="8"/>
  <c r="N1454" i="8" s="1"/>
  <c r="M1416" i="8"/>
  <c r="N1416" i="8" s="1"/>
  <c r="M1403" i="8"/>
  <c r="N1403" i="8" s="1"/>
  <c r="M1390" i="8"/>
  <c r="N1390" i="8" s="1"/>
  <c r="M1359" i="8"/>
  <c r="N1359" i="8" s="1"/>
  <c r="M1317" i="8"/>
  <c r="N1317" i="8" s="1"/>
  <c r="M1312" i="8"/>
  <c r="N1312" i="8" s="1"/>
  <c r="M1307" i="8"/>
  <c r="N1307" i="8" s="1"/>
  <c r="M1299" i="8"/>
  <c r="N1299" i="8" s="1"/>
  <c r="M1291" i="8"/>
  <c r="N1291" i="8" s="1"/>
  <c r="M1283" i="8"/>
  <c r="N1283" i="8" s="1"/>
  <c r="M1670" i="8"/>
  <c r="N1670" i="8" s="1"/>
  <c r="M1245" i="8"/>
  <c r="N1245" i="8" s="1"/>
  <c r="M1208" i="8"/>
  <c r="N1208" i="8" s="1"/>
  <c r="M1202" i="8"/>
  <c r="N1202" i="8" s="1"/>
  <c r="M1200" i="8"/>
  <c r="N1200" i="8" s="1"/>
  <c r="M1194" i="8"/>
  <c r="N1194" i="8" s="1"/>
  <c r="M1192" i="8"/>
  <c r="N1192" i="8" s="1"/>
  <c r="M1186" i="8"/>
  <c r="N1186" i="8" s="1"/>
  <c r="M1152" i="8"/>
  <c r="N1152" i="8" s="1"/>
  <c r="M1136" i="8"/>
  <c r="N1136" i="8" s="1"/>
  <c r="M1131" i="8"/>
  <c r="N1131" i="8" s="1"/>
  <c r="M1109" i="8"/>
  <c r="N1109" i="8" s="1"/>
  <c r="M1104" i="8"/>
  <c r="N1104" i="8" s="1"/>
  <c r="M1099" i="8"/>
  <c r="N1099" i="8" s="1"/>
  <c r="M1077" i="8"/>
  <c r="N1077" i="8" s="1"/>
  <c r="M1072" i="8"/>
  <c r="N1072" i="8" s="1"/>
  <c r="M1053" i="8"/>
  <c r="N1053" i="8" s="1"/>
  <c r="M1031" i="8"/>
  <c r="N1031" i="8" s="1"/>
  <c r="M1026" i="8"/>
  <c r="N1026" i="8" s="1"/>
  <c r="M1021" i="8"/>
  <c r="N1021" i="8" s="1"/>
  <c r="M999" i="8"/>
  <c r="N999" i="8" s="1"/>
  <c r="M994" i="8"/>
  <c r="N994" i="8" s="1"/>
  <c r="M981" i="8"/>
  <c r="N981" i="8" s="1"/>
  <c r="M976" i="8"/>
  <c r="N976" i="8" s="1"/>
  <c r="M1445" i="8"/>
  <c r="N1445" i="8" s="1"/>
  <c r="M1412" i="8"/>
  <c r="N1412" i="8" s="1"/>
  <c r="M1399" i="8"/>
  <c r="N1399" i="8" s="1"/>
  <c r="M1286" i="8"/>
  <c r="N1286" i="8" s="1"/>
  <c r="M1227" i="8"/>
  <c r="N1227" i="8" s="1"/>
  <c r="M1159" i="8"/>
  <c r="N1159" i="8" s="1"/>
  <c r="M1157" i="8"/>
  <c r="N1157" i="8" s="1"/>
  <c r="M1143" i="8"/>
  <c r="N1143" i="8" s="1"/>
  <c r="M1141" i="8"/>
  <c r="N1141" i="8" s="1"/>
  <c r="M1129" i="8"/>
  <c r="N1129" i="8" s="1"/>
  <c r="M1124" i="8"/>
  <c r="N1124" i="8" s="1"/>
  <c r="M1119" i="8"/>
  <c r="N1119" i="8" s="1"/>
  <c r="M1114" i="8"/>
  <c r="N1114" i="8" s="1"/>
  <c r="M1097" i="8"/>
  <c r="N1097" i="8" s="1"/>
  <c r="M1092" i="8"/>
  <c r="N1092" i="8" s="1"/>
  <c r="M1087" i="8"/>
  <c r="N1087" i="8" s="1"/>
  <c r="M1082" i="8"/>
  <c r="N1082" i="8" s="1"/>
  <c r="M1051" i="8"/>
  <c r="N1051" i="8" s="1"/>
  <c r="M1046" i="8"/>
  <c r="N1046" i="8" s="1"/>
  <c r="M1041" i="8"/>
  <c r="N1041" i="8" s="1"/>
  <c r="M1036" i="8"/>
  <c r="N1036" i="8" s="1"/>
  <c r="M1019" i="8"/>
  <c r="N1019" i="8" s="1"/>
  <c r="M1014" i="8"/>
  <c r="N1014" i="8" s="1"/>
  <c r="M1009" i="8"/>
  <c r="N1009" i="8" s="1"/>
  <c r="M1004" i="8"/>
  <c r="N1004" i="8" s="1"/>
  <c r="M1437" i="8"/>
  <c r="N1437" i="8" s="1"/>
  <c r="M1378" i="8"/>
  <c r="M1272" i="8"/>
  <c r="N1272" i="8" s="1"/>
  <c r="M1240" i="8"/>
  <c r="N1240" i="8" s="1"/>
  <c r="M1216" i="8"/>
  <c r="N1216" i="8" s="1"/>
  <c r="M1112" i="8"/>
  <c r="N1112" i="8" s="1"/>
  <c r="M1080" i="8"/>
  <c r="N1080" i="8" s="1"/>
  <c r="M1034" i="8"/>
  <c r="N1034" i="8" s="1"/>
  <c r="M1002" i="8"/>
  <c r="N1002" i="8" s="1"/>
  <c r="M1593" i="8"/>
  <c r="N1593" i="8" s="1"/>
  <c r="M1380" i="8"/>
  <c r="N1380" i="8" s="1"/>
  <c r="M1332" i="8"/>
  <c r="N1332" i="8" s="1"/>
  <c r="M1327" i="8"/>
  <c r="N1327" i="8" s="1"/>
  <c r="M1424" i="8"/>
  <c r="N1424" i="8" s="1"/>
  <c r="M1363" i="8"/>
  <c r="N1363" i="8" s="1"/>
  <c r="M1322" i="8"/>
  <c r="N1322" i="8" s="1"/>
  <c r="M1278" i="8"/>
  <c r="N1278" i="8" s="1"/>
  <c r="M1237" i="8"/>
  <c r="N1237" i="8" s="1"/>
  <c r="M1224" i="8"/>
  <c r="M1203" i="8"/>
  <c r="N1203" i="8" s="1"/>
  <c r="M1197" i="8"/>
  <c r="N1197" i="8" s="1"/>
  <c r="M1195" i="8"/>
  <c r="N1195" i="8" s="1"/>
  <c r="M1189" i="8"/>
  <c r="N1189" i="8" s="1"/>
  <c r="M1187" i="8"/>
  <c r="N1187" i="8" s="1"/>
  <c r="M1160" i="8"/>
  <c r="N1160" i="8" s="1"/>
  <c r="M1144" i="8"/>
  <c r="N1144" i="8" s="1"/>
  <c r="M1125" i="8"/>
  <c r="M1120" i="8"/>
  <c r="N1120" i="8" s="1"/>
  <c r="M1115" i="8"/>
  <c r="N1115" i="8" s="1"/>
  <c r="M1093" i="8"/>
  <c r="N1093" i="8" s="1"/>
  <c r="M1088" i="8"/>
  <c r="N1088" i="8" s="1"/>
  <c r="M1083" i="8"/>
  <c r="N1083" i="8" s="1"/>
  <c r="M1070" i="8"/>
  <c r="N1070" i="8" s="1"/>
  <c r="M1047" i="8"/>
  <c r="N1047" i="8" s="1"/>
  <c r="M1042" i="8"/>
  <c r="N1042" i="8" s="1"/>
  <c r="M1037" i="8"/>
  <c r="N1037" i="8" s="1"/>
  <c r="M1371" i="8"/>
  <c r="N1371" i="8" s="1"/>
  <c r="M1302" i="8"/>
  <c r="N1302" i="8" s="1"/>
  <c r="M1211" i="8"/>
  <c r="N1211" i="8" s="1"/>
  <c r="M1149" i="8"/>
  <c r="N1149" i="8" s="1"/>
  <c r="M980" i="8"/>
  <c r="N980" i="8" s="1"/>
  <c r="M1488" i="8"/>
  <c r="N1488" i="8" s="1"/>
  <c r="M1275" i="8"/>
  <c r="N1275" i="8" s="1"/>
  <c r="M1232" i="8"/>
  <c r="N1232" i="8" s="1"/>
  <c r="M1167" i="8"/>
  <c r="N1167" i="8" s="1"/>
  <c r="M1165" i="8"/>
  <c r="N1165" i="8" s="1"/>
  <c r="M1128" i="8"/>
  <c r="N1128" i="8" s="1"/>
  <c r="M1096" i="8"/>
  <c r="N1096" i="8" s="1"/>
  <c r="M1055" i="8"/>
  <c r="N1055" i="8" s="1"/>
  <c r="M1050" i="8"/>
  <c r="N1050" i="8" s="1"/>
  <c r="M1045" i="8"/>
  <c r="N1045" i="8" s="1"/>
  <c r="M1023" i="8"/>
  <c r="N1023" i="8" s="1"/>
  <c r="M1018" i="8"/>
  <c r="N1018" i="8" s="1"/>
  <c r="M1013" i="8"/>
  <c r="N1013" i="8" s="1"/>
  <c r="M1145" i="8"/>
  <c r="N1145" i="8" s="1"/>
  <c r="M1043" i="8"/>
  <c r="N1043" i="8" s="1"/>
  <c r="M1038" i="8"/>
  <c r="N1038" i="8" s="1"/>
  <c r="M1033" i="8"/>
  <c r="N1033" i="8" s="1"/>
  <c r="M1010" i="8"/>
  <c r="N1010" i="8" s="1"/>
  <c r="M990" i="8"/>
  <c r="N990" i="8" s="1"/>
  <c r="M970" i="8"/>
  <c r="N970" i="8" s="1"/>
  <c r="M968" i="8"/>
  <c r="N968" i="8" s="1"/>
  <c r="M954" i="8"/>
  <c r="N954" i="8" s="1"/>
  <c r="M949" i="8"/>
  <c r="N949" i="8" s="1"/>
  <c r="M932" i="8"/>
  <c r="N932" i="8" s="1"/>
  <c r="M927" i="8"/>
  <c r="N927" i="8" s="1"/>
  <c r="M922" i="8"/>
  <c r="N922" i="8" s="1"/>
  <c r="M917" i="8"/>
  <c r="N917" i="8" s="1"/>
  <c r="M914" i="8"/>
  <c r="N914" i="8" s="1"/>
  <c r="M901" i="8"/>
  <c r="N901" i="8" s="1"/>
  <c r="M896" i="8"/>
  <c r="N896" i="8" s="1"/>
  <c r="M888" i="8"/>
  <c r="N888" i="8" s="1"/>
  <c r="M880" i="8"/>
  <c r="N880" i="8" s="1"/>
  <c r="M872" i="8"/>
  <c r="N872" i="8" s="1"/>
  <c r="M864" i="8"/>
  <c r="N864" i="8" s="1"/>
  <c r="M856" i="8"/>
  <c r="N856" i="8" s="1"/>
  <c r="M848" i="8"/>
  <c r="N848" i="8" s="1"/>
  <c r="M840" i="8"/>
  <c r="N840" i="8" s="1"/>
  <c r="M770" i="8"/>
  <c r="N770" i="8" s="1"/>
  <c r="M762" i="8"/>
  <c r="N762" i="8" s="1"/>
  <c r="M754" i="8"/>
  <c r="N754" i="8" s="1"/>
  <c r="M1005" i="8"/>
  <c r="N1005" i="8" s="1"/>
  <c r="M996" i="8"/>
  <c r="N996" i="8" s="1"/>
  <c r="M947" i="8"/>
  <c r="N947" i="8" s="1"/>
  <c r="M915" i="8"/>
  <c r="N915" i="8" s="1"/>
  <c r="M1028" i="8"/>
  <c r="N1028" i="8" s="1"/>
  <c r="M940" i="8"/>
  <c r="N940" i="8" s="1"/>
  <c r="M935" i="8"/>
  <c r="N935" i="8" s="1"/>
  <c r="M930" i="8"/>
  <c r="N930" i="8" s="1"/>
  <c r="M925" i="8"/>
  <c r="N925" i="8" s="1"/>
  <c r="M904" i="8"/>
  <c r="N904" i="8" s="1"/>
  <c r="M894" i="8"/>
  <c r="N894" i="8" s="1"/>
  <c r="M886" i="8"/>
  <c r="N886" i="8" s="1"/>
  <c r="M878" i="8"/>
  <c r="N878" i="8" s="1"/>
  <c r="M870" i="8"/>
  <c r="N870" i="8" s="1"/>
  <c r="M862" i="8"/>
  <c r="N862" i="8" s="1"/>
  <c r="M854" i="8"/>
  <c r="N854" i="8" s="1"/>
  <c r="M846" i="8"/>
  <c r="N846" i="8" s="1"/>
  <c r="M768" i="8"/>
  <c r="M760" i="8"/>
  <c r="N760" i="8" s="1"/>
  <c r="M752" i="8"/>
  <c r="N752" i="8" s="1"/>
  <c r="M744" i="8"/>
  <c r="N744" i="8" s="1"/>
  <c r="M736" i="8"/>
  <c r="N736" i="8" s="1"/>
  <c r="M728" i="8"/>
  <c r="N728" i="8" s="1"/>
  <c r="M720" i="8"/>
  <c r="N720" i="8" s="1"/>
  <c r="M712" i="8"/>
  <c r="N712" i="8" s="1"/>
  <c r="M682" i="8"/>
  <c r="N682" i="8" s="1"/>
  <c r="M1154" i="8"/>
  <c r="N1154" i="8" s="1"/>
  <c r="M991" i="8"/>
  <c r="N991" i="8" s="1"/>
  <c r="M973" i="8"/>
  <c r="N973" i="8" s="1"/>
  <c r="M955" i="8"/>
  <c r="N955" i="8" s="1"/>
  <c r="M923" i="8"/>
  <c r="N923" i="8" s="1"/>
  <c r="M1011" i="8"/>
  <c r="N1011" i="8" s="1"/>
  <c r="M971" i="8"/>
  <c r="N971" i="8" s="1"/>
  <c r="M962" i="8"/>
  <c r="M960" i="8"/>
  <c r="N960" i="8" s="1"/>
  <c r="M948" i="8"/>
  <c r="N948" i="8" s="1"/>
  <c r="M943" i="8"/>
  <c r="N943" i="8" s="1"/>
  <c r="M938" i="8"/>
  <c r="N938" i="8" s="1"/>
  <c r="M916" i="8"/>
  <c r="N916" i="8" s="1"/>
  <c r="M1294" i="8"/>
  <c r="N1294" i="8" s="1"/>
  <c r="M1161" i="8"/>
  <c r="M1121" i="8"/>
  <c r="N1121" i="8" s="1"/>
  <c r="M1116" i="8"/>
  <c r="N1116" i="8" s="1"/>
  <c r="M1111" i="8"/>
  <c r="N1111" i="8" s="1"/>
  <c r="M1089" i="8"/>
  <c r="N1089" i="8" s="1"/>
  <c r="M1084" i="8"/>
  <c r="N1084" i="8" s="1"/>
  <c r="M1079" i="8"/>
  <c r="N1079" i="8" s="1"/>
  <c r="M1006" i="8"/>
  <c r="N1006" i="8" s="1"/>
  <c r="M931" i="8"/>
  <c r="N931" i="8" s="1"/>
  <c r="M1219" i="8"/>
  <c r="N1219" i="8" s="1"/>
  <c r="M1138" i="8"/>
  <c r="N1138" i="8" s="1"/>
  <c r="M1106" i="8"/>
  <c r="N1106" i="8" s="1"/>
  <c r="M1074" i="8"/>
  <c r="N1074" i="8" s="1"/>
  <c r="M1001" i="8"/>
  <c r="N1001" i="8" s="1"/>
  <c r="M1221" i="8"/>
  <c r="N1221" i="8" s="1"/>
  <c r="M1015" i="8"/>
  <c r="N1015" i="8" s="1"/>
  <c r="M972" i="8"/>
  <c r="N972" i="8" s="1"/>
  <c r="M963" i="8"/>
  <c r="N963" i="8" s="1"/>
  <c r="M944" i="8"/>
  <c r="N944" i="8" s="1"/>
  <c r="M939" i="8"/>
  <c r="N939" i="8" s="1"/>
  <c r="M934" i="8"/>
  <c r="N934" i="8" s="1"/>
  <c r="M903" i="8"/>
  <c r="N903" i="8" s="1"/>
  <c r="M893" i="8"/>
  <c r="N893" i="8" s="1"/>
  <c r="M885" i="8"/>
  <c r="N885" i="8" s="1"/>
  <c r="M877" i="8"/>
  <c r="N877" i="8" s="1"/>
  <c r="M869" i="8"/>
  <c r="M708" i="8"/>
  <c r="N708" i="8" s="1"/>
  <c r="M673" i="8"/>
  <c r="N673" i="8" s="1"/>
  <c r="M667" i="8"/>
  <c r="N667" i="8" s="1"/>
  <c r="M665" i="8"/>
  <c r="N665" i="8" s="1"/>
  <c r="M659" i="8"/>
  <c r="N659" i="8" s="1"/>
  <c r="M657" i="8"/>
  <c r="N657" i="8" s="1"/>
  <c r="M617" i="8"/>
  <c r="N617" i="8" s="1"/>
  <c r="M603" i="8"/>
  <c r="M598" i="8"/>
  <c r="N598" i="8" s="1"/>
  <c r="M588" i="8"/>
  <c r="N588" i="8" s="1"/>
  <c r="M574" i="8"/>
  <c r="N574" i="8" s="1"/>
  <c r="M566" i="8"/>
  <c r="N566" i="8" s="1"/>
  <c r="M558" i="8"/>
  <c r="N558" i="8" s="1"/>
  <c r="M540" i="8"/>
  <c r="N540" i="8" s="1"/>
  <c r="M532" i="8"/>
  <c r="N532" i="8" s="1"/>
  <c r="M524" i="8"/>
  <c r="M506" i="8"/>
  <c r="N506" i="8" s="1"/>
  <c r="M746" i="8"/>
  <c r="N746" i="8" s="1"/>
  <c r="M730" i="8"/>
  <c r="N730" i="8" s="1"/>
  <c r="M714" i="8"/>
  <c r="N714" i="8" s="1"/>
  <c r="M601" i="8"/>
  <c r="N601" i="8" s="1"/>
  <c r="M596" i="8"/>
  <c r="N596" i="8" s="1"/>
  <c r="M591" i="8"/>
  <c r="N591" i="8" s="1"/>
  <c r="M577" i="8"/>
  <c r="N577" i="8" s="1"/>
  <c r="M569" i="8"/>
  <c r="N569" i="8" s="1"/>
  <c r="M561" i="8"/>
  <c r="N561" i="8" s="1"/>
  <c r="M543" i="8"/>
  <c r="N543" i="8" s="1"/>
  <c r="M535" i="8"/>
  <c r="N535" i="8" s="1"/>
  <c r="M527" i="8"/>
  <c r="N527" i="8" s="1"/>
  <c r="M509" i="8"/>
  <c r="N509" i="8" s="1"/>
  <c r="M483" i="8"/>
  <c r="N483" i="8" s="1"/>
  <c r="M457" i="8"/>
  <c r="N457" i="8" s="1"/>
  <c r="M861" i="8"/>
  <c r="N861" i="8" s="1"/>
  <c r="M681" i="8"/>
  <c r="N681" i="8" s="1"/>
  <c r="M767" i="8"/>
  <c r="N767" i="8" s="1"/>
  <c r="M743" i="8"/>
  <c r="N743" i="8" s="1"/>
  <c r="M727" i="8"/>
  <c r="N727" i="8" s="1"/>
  <c r="M711" i="8"/>
  <c r="N711" i="8" s="1"/>
  <c r="M620" i="8"/>
  <c r="N620" i="8" s="1"/>
  <c r="M604" i="8"/>
  <c r="N604" i="8" s="1"/>
  <c r="M853" i="8"/>
  <c r="N853" i="8" s="1"/>
  <c r="M674" i="8"/>
  <c r="N674" i="8" s="1"/>
  <c r="M666" i="8"/>
  <c r="N666" i="8" s="1"/>
  <c r="M658" i="8"/>
  <c r="N658" i="8" s="1"/>
  <c r="M759" i="8"/>
  <c r="N759" i="8" s="1"/>
  <c r="M738" i="8"/>
  <c r="N738" i="8" s="1"/>
  <c r="M722" i="8"/>
  <c r="N722" i="8" s="1"/>
  <c r="M676" i="8"/>
  <c r="N676" i="8" s="1"/>
  <c r="M607" i="8"/>
  <c r="N607" i="8" s="1"/>
  <c r="M587" i="8"/>
  <c r="N587" i="8" s="1"/>
  <c r="M573" i="8"/>
  <c r="N573" i="8" s="1"/>
  <c r="M565" i="8"/>
  <c r="N565" i="8" s="1"/>
  <c r="M539" i="8"/>
  <c r="N539" i="8" s="1"/>
  <c r="M531" i="8"/>
  <c r="N531" i="8" s="1"/>
  <c r="M505" i="8"/>
  <c r="N505" i="8" s="1"/>
  <c r="M487" i="8"/>
  <c r="M461" i="8"/>
  <c r="N461" i="8" s="1"/>
  <c r="M453" i="8"/>
  <c r="N453" i="8" s="1"/>
  <c r="M427" i="8"/>
  <c r="N427" i="8" s="1"/>
  <c r="M401" i="8"/>
  <c r="M845" i="8"/>
  <c r="N845" i="8" s="1"/>
  <c r="M751" i="8"/>
  <c r="N751" i="8" s="1"/>
  <c r="M735" i="8"/>
  <c r="N735" i="8" s="1"/>
  <c r="M719" i="8"/>
  <c r="M650" i="8"/>
  <c r="N650" i="8" s="1"/>
  <c r="M612" i="8"/>
  <c r="N612" i="8" s="1"/>
  <c r="M568" i="8"/>
  <c r="N568" i="8" s="1"/>
  <c r="M454" i="8"/>
  <c r="N454" i="8" s="1"/>
  <c r="M446" i="8"/>
  <c r="N446" i="8" s="1"/>
  <c r="M394" i="8"/>
  <c r="N394" i="8" s="1"/>
  <c r="M371" i="8"/>
  <c r="N371" i="8" s="1"/>
  <c r="M361" i="8"/>
  <c r="N361" i="8" s="1"/>
  <c r="M337" i="8"/>
  <c r="N337" i="8" s="1"/>
  <c r="M316" i="8"/>
  <c r="N316" i="8" s="1"/>
  <c r="M308" i="8"/>
  <c r="N308" i="8" s="1"/>
  <c r="M300" i="8"/>
  <c r="N300" i="8" s="1"/>
  <c r="M292" i="8"/>
  <c r="N292" i="8" s="1"/>
  <c r="M284" i="8"/>
  <c r="N284" i="8" s="1"/>
  <c r="M274" i="8"/>
  <c r="N274" i="8" s="1"/>
  <c r="M266" i="8"/>
  <c r="N266" i="8" s="1"/>
  <c r="M258" i="8"/>
  <c r="N258" i="8" s="1"/>
  <c r="M250" i="8"/>
  <c r="N250" i="8" s="1"/>
  <c r="M242" i="8"/>
  <c r="N242" i="8" s="1"/>
  <c r="M234" i="8"/>
  <c r="N234" i="8" s="1"/>
  <c r="M226" i="8"/>
  <c r="N226" i="8" s="1"/>
  <c r="M218" i="8"/>
  <c r="N218" i="8" s="1"/>
  <c r="M210" i="8"/>
  <c r="N210" i="8" s="1"/>
  <c r="M202" i="8"/>
  <c r="N202" i="8" s="1"/>
  <c r="M192" i="8"/>
  <c r="N192" i="8" s="1"/>
  <c r="M184" i="8"/>
  <c r="N184" i="8" s="1"/>
  <c r="M176" i="8"/>
  <c r="N176" i="8" s="1"/>
  <c r="M168" i="8"/>
  <c r="N168" i="8" s="1"/>
  <c r="M652" i="8"/>
  <c r="N652" i="8" s="1"/>
  <c r="M621" i="8"/>
  <c r="N621" i="8" s="1"/>
  <c r="M584" i="8"/>
  <c r="N584" i="8" s="1"/>
  <c r="M542" i="8"/>
  <c r="N542" i="8" s="1"/>
  <c r="M357" i="8"/>
  <c r="N357" i="8" s="1"/>
  <c r="M344" i="8"/>
  <c r="N344" i="8" s="1"/>
  <c r="M342" i="8"/>
  <c r="N342" i="8" s="1"/>
  <c r="M328" i="8"/>
  <c r="N328" i="8" s="1"/>
  <c r="M319" i="8"/>
  <c r="N319" i="8" s="1"/>
  <c r="M311" i="8"/>
  <c r="N311" i="8" s="1"/>
  <c r="M303" i="8"/>
  <c r="N303" i="8" s="1"/>
  <c r="M295" i="8"/>
  <c r="N295" i="8" s="1"/>
  <c r="M287" i="8"/>
  <c r="N287" i="8" s="1"/>
  <c r="M281" i="8"/>
  <c r="N281" i="8" s="1"/>
  <c r="M277" i="8"/>
  <c r="N277" i="8" s="1"/>
  <c r="M269" i="8"/>
  <c r="N269" i="8" s="1"/>
  <c r="M261" i="8"/>
  <c r="N261" i="8" s="1"/>
  <c r="M253" i="8"/>
  <c r="N253" i="8" s="1"/>
  <c r="M245" i="8"/>
  <c r="N245" i="8" s="1"/>
  <c r="M237" i="8"/>
  <c r="N237" i="8" s="1"/>
  <c r="M229" i="8"/>
  <c r="N229" i="8" s="1"/>
  <c r="M221" i="8"/>
  <c r="N221" i="8" s="1"/>
  <c r="M213" i="8"/>
  <c r="N213" i="8" s="1"/>
  <c r="M205" i="8"/>
  <c r="N205" i="8" s="1"/>
  <c r="M195" i="8"/>
  <c r="N195" i="8" s="1"/>
  <c r="M187" i="8"/>
  <c r="N187" i="8" s="1"/>
  <c r="M179" i="8"/>
  <c r="N179" i="8" s="1"/>
  <c r="M171" i="8"/>
  <c r="N171" i="8" s="1"/>
  <c r="M163" i="8"/>
  <c r="N163" i="8" s="1"/>
  <c r="M560" i="8"/>
  <c r="N560" i="8" s="1"/>
  <c r="M428" i="8"/>
  <c r="N428" i="8" s="1"/>
  <c r="M424" i="8"/>
  <c r="N424" i="8" s="1"/>
  <c r="M353" i="8"/>
  <c r="N353" i="8" s="1"/>
  <c r="M534" i="8"/>
  <c r="N534" i="8" s="1"/>
  <c r="M349" i="8"/>
  <c r="N349" i="8" s="1"/>
  <c r="M22" i="8"/>
  <c r="N22" i="8" s="1"/>
  <c r="M18" i="8"/>
  <c r="N18" i="8" s="1"/>
  <c r="M14" i="8"/>
  <c r="N14" i="8" s="1"/>
  <c r="M605" i="8"/>
  <c r="N605" i="8" s="1"/>
  <c r="M600" i="8"/>
  <c r="N600" i="8" s="1"/>
  <c r="M595" i="8"/>
  <c r="N595" i="8" s="1"/>
  <c r="M508" i="8"/>
  <c r="N508" i="8" s="1"/>
  <c r="M480" i="8"/>
  <c r="N480" i="8" s="1"/>
  <c r="M405" i="8"/>
  <c r="N405" i="8" s="1"/>
  <c r="M397" i="8"/>
  <c r="N397" i="8" s="1"/>
  <c r="M368" i="8"/>
  <c r="N368" i="8" s="1"/>
  <c r="M358" i="8"/>
  <c r="N358" i="8" s="1"/>
  <c r="M345" i="8"/>
  <c r="N345" i="8" s="1"/>
  <c r="M329" i="8"/>
  <c r="N329" i="8" s="1"/>
  <c r="M590" i="8"/>
  <c r="N590" i="8" s="1"/>
  <c r="M526" i="8"/>
  <c r="N526" i="8" s="1"/>
  <c r="M449" i="8"/>
  <c r="N449" i="8" s="1"/>
  <c r="M393" i="8"/>
  <c r="N393" i="8" s="1"/>
  <c r="M334" i="8"/>
  <c r="N334" i="8" s="1"/>
  <c r="M576" i="8"/>
  <c r="N576" i="8" s="1"/>
  <c r="M350" i="8"/>
  <c r="N350" i="8" s="1"/>
  <c r="M341" i="8"/>
  <c r="N341" i="8" s="1"/>
  <c r="M318" i="8"/>
  <c r="N318" i="8" s="1"/>
  <c r="M310" i="8"/>
  <c r="N310" i="8" s="1"/>
  <c r="M302" i="8"/>
  <c r="N302" i="8" s="1"/>
  <c r="M294" i="8"/>
  <c r="N294" i="8" s="1"/>
  <c r="M286" i="8"/>
  <c r="N286" i="8" s="1"/>
  <c r="M276" i="8"/>
  <c r="N276" i="8" s="1"/>
  <c r="M268" i="8"/>
  <c r="N268" i="8" s="1"/>
  <c r="M260" i="8"/>
  <c r="N260" i="8" s="1"/>
  <c r="M252" i="8"/>
  <c r="N252" i="8" s="1"/>
  <c r="M244" i="8"/>
  <c r="N244" i="8" s="1"/>
  <c r="M236" i="8"/>
  <c r="N236" i="8" s="1"/>
  <c r="M228" i="8"/>
  <c r="N228" i="8" s="1"/>
  <c r="M220" i="8"/>
  <c r="N220" i="8" s="1"/>
  <c r="M212" i="8"/>
  <c r="N212" i="8" s="1"/>
  <c r="M204" i="8"/>
  <c r="N204" i="8" s="1"/>
  <c r="M194" i="8"/>
  <c r="N194" i="8" s="1"/>
  <c r="M186" i="8"/>
  <c r="N186" i="8" s="1"/>
  <c r="M178" i="8"/>
  <c r="N178" i="8" s="1"/>
  <c r="M8" i="8"/>
  <c r="N8" i="8" s="1"/>
  <c r="M9" i="8"/>
  <c r="N9" i="8" s="1"/>
  <c r="M13" i="8"/>
  <c r="N13" i="8" s="1"/>
  <c r="M32" i="8"/>
  <c r="N32" i="8" s="1"/>
  <c r="M37" i="8"/>
  <c r="N37" i="8" s="1"/>
  <c r="M42" i="8"/>
  <c r="N42" i="8" s="1"/>
  <c r="M64" i="8"/>
  <c r="N64" i="8" s="1"/>
  <c r="M71" i="8"/>
  <c r="N71" i="8" s="1"/>
  <c r="M103" i="8"/>
  <c r="N103" i="8" s="1"/>
  <c r="M113" i="8"/>
  <c r="N113" i="8" s="1"/>
  <c r="M137" i="8"/>
  <c r="N137" i="8" s="1"/>
  <c r="M139" i="8"/>
  <c r="N139" i="8" s="1"/>
  <c r="N141" i="8"/>
  <c r="N143" i="8"/>
  <c r="M145" i="8"/>
  <c r="N145" i="8" s="1"/>
  <c r="N149" i="8"/>
  <c r="N162" i="8"/>
  <c r="M191" i="8"/>
  <c r="N191" i="8" s="1"/>
  <c r="M201" i="8"/>
  <c r="N201" i="8" s="1"/>
  <c r="N203" i="8"/>
  <c r="M206" i="8"/>
  <c r="N206" i="8" s="1"/>
  <c r="M233" i="8"/>
  <c r="N233" i="8" s="1"/>
  <c r="M238" i="8"/>
  <c r="N238" i="8" s="1"/>
  <c r="M265" i="8"/>
  <c r="N265" i="8" s="1"/>
  <c r="N267" i="8"/>
  <c r="M270" i="8"/>
  <c r="N270" i="8" s="1"/>
  <c r="M283" i="8"/>
  <c r="N283" i="8" s="1"/>
  <c r="N285" i="8"/>
  <c r="M288" i="8"/>
  <c r="N288" i="8" s="1"/>
  <c r="M315" i="8"/>
  <c r="N315" i="8" s="1"/>
  <c r="N317" i="8"/>
  <c r="M320" i="8"/>
  <c r="N320" i="8" s="1"/>
  <c r="M360" i="8"/>
  <c r="N360" i="8" s="1"/>
  <c r="M370" i="8"/>
  <c r="N370" i="8" s="1"/>
  <c r="M391" i="8"/>
  <c r="N391" i="8" s="1"/>
  <c r="M484" i="8"/>
  <c r="N484" i="8" s="1"/>
  <c r="M538" i="8"/>
  <c r="N538" i="8" s="1"/>
  <c r="M585" i="8"/>
  <c r="N585" i="8" s="1"/>
  <c r="M646" i="8"/>
  <c r="N646" i="8" s="1"/>
  <c r="M16" i="8"/>
  <c r="N16" i="8" s="1"/>
  <c r="M19" i="8"/>
  <c r="N19" i="8" s="1"/>
  <c r="M26" i="8"/>
  <c r="N26" i="8" s="1"/>
  <c r="M51" i="8"/>
  <c r="N51" i="8" s="1"/>
  <c r="M85" i="8"/>
  <c r="N85" i="8" s="1"/>
  <c r="M126" i="8"/>
  <c r="N126" i="8" s="1"/>
  <c r="M130" i="8"/>
  <c r="N130" i="8" s="1"/>
  <c r="M132" i="8"/>
  <c r="N132" i="8" s="1"/>
  <c r="M154" i="8"/>
  <c r="N154" i="8" s="1"/>
  <c r="M156" i="8"/>
  <c r="N156" i="8" s="1"/>
  <c r="M158" i="8"/>
  <c r="N158" i="8" s="1"/>
  <c r="M160" i="8"/>
  <c r="N160" i="8" s="1"/>
  <c r="M169" i="8"/>
  <c r="N169" i="8" s="1"/>
  <c r="M174" i="8"/>
  <c r="N174" i="8" s="1"/>
  <c r="M181" i="8"/>
  <c r="N181" i="8" s="1"/>
  <c r="M197" i="8"/>
  <c r="N197" i="8" s="1"/>
  <c r="M211" i="8"/>
  <c r="N211" i="8" s="1"/>
  <c r="M216" i="8"/>
  <c r="N216" i="8" s="1"/>
  <c r="M223" i="8"/>
  <c r="N223" i="8" s="1"/>
  <c r="M243" i="8"/>
  <c r="N243" i="8" s="1"/>
  <c r="M248" i="8"/>
  <c r="N248" i="8" s="1"/>
  <c r="M255" i="8"/>
  <c r="N255" i="8" s="1"/>
  <c r="M275" i="8"/>
  <c r="N275" i="8" s="1"/>
  <c r="M293" i="8"/>
  <c r="N293" i="8" s="1"/>
  <c r="M298" i="8"/>
  <c r="N298" i="8" s="1"/>
  <c r="M305" i="8"/>
  <c r="N305" i="8" s="1"/>
  <c r="M352" i="8"/>
  <c r="N352" i="8" s="1"/>
  <c r="N401" i="8"/>
  <c r="M614" i="8"/>
  <c r="N614" i="8" s="1"/>
  <c r="M327" i="8"/>
  <c r="N327" i="8" s="1"/>
  <c r="M343" i="8"/>
  <c r="N343" i="8" s="1"/>
  <c r="N389" i="8"/>
  <c r="M395" i="8"/>
  <c r="N395" i="8" s="1"/>
  <c r="M447" i="8"/>
  <c r="N447" i="8" s="1"/>
  <c r="M451" i="8"/>
  <c r="N451" i="8" s="1"/>
  <c r="M455" i="8"/>
  <c r="N455" i="8" s="1"/>
  <c r="M503" i="8"/>
  <c r="N503" i="8" s="1"/>
  <c r="M536" i="8"/>
  <c r="N536" i="8" s="1"/>
  <c r="M541" i="8"/>
  <c r="N541" i="8" s="1"/>
  <c r="N559" i="8"/>
  <c r="M564" i="8"/>
  <c r="N564" i="8" s="1"/>
  <c r="M651" i="8"/>
  <c r="N651" i="8" s="1"/>
  <c r="M656" i="8"/>
  <c r="N656" i="8" s="1"/>
  <c r="M764" i="8"/>
  <c r="N764" i="8" s="1"/>
  <c r="M347" i="8"/>
  <c r="N347" i="8" s="1"/>
  <c r="M364" i="8"/>
  <c r="N364" i="8" s="1"/>
  <c r="M374" i="8"/>
  <c r="N374" i="8" s="1"/>
  <c r="M399" i="8"/>
  <c r="N399" i="8" s="1"/>
  <c r="M403" i="8"/>
  <c r="N403" i="8" s="1"/>
  <c r="M501" i="8"/>
  <c r="N501" i="8" s="1"/>
  <c r="M529" i="8"/>
  <c r="N529" i="8" s="1"/>
  <c r="M562" i="8"/>
  <c r="N562" i="8" s="1"/>
  <c r="M567" i="8"/>
  <c r="N567" i="8" s="1"/>
  <c r="M593" i="8"/>
  <c r="N593" i="8" s="1"/>
  <c r="M615" i="8"/>
  <c r="N615" i="8" s="1"/>
  <c r="M649" i="8"/>
  <c r="N649" i="8" s="1"/>
  <c r="M326" i="8"/>
  <c r="N326" i="8" s="1"/>
  <c r="N338" i="8"/>
  <c r="M340" i="8"/>
  <c r="N340" i="8" s="1"/>
  <c r="M351" i="8"/>
  <c r="N351" i="8" s="1"/>
  <c r="N372" i="8"/>
  <c r="M426" i="8"/>
  <c r="N426" i="8" s="1"/>
  <c r="M485" i="8"/>
  <c r="N485" i="8" s="1"/>
  <c r="N487" i="8"/>
  <c r="N524" i="8"/>
  <c r="M572" i="8"/>
  <c r="N572" i="8" s="1"/>
  <c r="M613" i="8"/>
  <c r="N613" i="8" s="1"/>
  <c r="M654" i="8"/>
  <c r="N654" i="8" s="1"/>
  <c r="M678" i="8"/>
  <c r="N678" i="8" s="1"/>
  <c r="M715" i="8"/>
  <c r="N715" i="8" s="1"/>
  <c r="M355" i="8"/>
  <c r="N355" i="8" s="1"/>
  <c r="M367" i="8"/>
  <c r="N367" i="8" s="1"/>
  <c r="M392" i="8"/>
  <c r="N392" i="8" s="1"/>
  <c r="M460" i="8"/>
  <c r="N460" i="8" s="1"/>
  <c r="M479" i="8"/>
  <c r="N479" i="8" s="1"/>
  <c r="M537" i="8"/>
  <c r="N537" i="8" s="1"/>
  <c r="M570" i="8"/>
  <c r="N570" i="8" s="1"/>
  <c r="M575" i="8"/>
  <c r="N575" i="8" s="1"/>
  <c r="M586" i="8"/>
  <c r="N586" i="8" s="1"/>
  <c r="N603" i="8"/>
  <c r="M611" i="8"/>
  <c r="N611" i="8" s="1"/>
  <c r="M647" i="8"/>
  <c r="N647" i="8" s="1"/>
  <c r="M731" i="8"/>
  <c r="N731" i="8" s="1"/>
  <c r="M335" i="8"/>
  <c r="N335" i="8" s="1"/>
  <c r="M359" i="8"/>
  <c r="N359" i="8" s="1"/>
  <c r="M369" i="8"/>
  <c r="N369" i="8" s="1"/>
  <c r="N390" i="8"/>
  <c r="M452" i="8"/>
  <c r="N452" i="8" s="1"/>
  <c r="N458" i="8"/>
  <c r="M481" i="8"/>
  <c r="N481" i="8" s="1"/>
  <c r="M504" i="8"/>
  <c r="N504" i="8" s="1"/>
  <c r="M523" i="8"/>
  <c r="N523" i="8" s="1"/>
  <c r="M525" i="8"/>
  <c r="N525" i="8" s="1"/>
  <c r="M563" i="8"/>
  <c r="N563" i="8" s="1"/>
  <c r="M589" i="8"/>
  <c r="N589" i="8" s="1"/>
  <c r="M606" i="8"/>
  <c r="N606" i="8" s="1"/>
  <c r="M616" i="8"/>
  <c r="N616" i="8" s="1"/>
  <c r="M660" i="8"/>
  <c r="N660" i="8" s="1"/>
  <c r="M668" i="8"/>
  <c r="N668" i="8" s="1"/>
  <c r="M713" i="8"/>
  <c r="N713" i="8" s="1"/>
  <c r="M747" i="8"/>
  <c r="N747" i="8" s="1"/>
  <c r="M348" i="8"/>
  <c r="N348" i="8" s="1"/>
  <c r="M363" i="8"/>
  <c r="N363" i="8" s="1"/>
  <c r="M373" i="8"/>
  <c r="N373" i="8" s="1"/>
  <c r="M400" i="8"/>
  <c r="N400" i="8" s="1"/>
  <c r="N450" i="8"/>
  <c r="M502" i="8"/>
  <c r="N502" i="8" s="1"/>
  <c r="M507" i="8"/>
  <c r="N507" i="8" s="1"/>
  <c r="M530" i="8"/>
  <c r="N530" i="8" s="1"/>
  <c r="M599" i="8"/>
  <c r="N599" i="8" s="1"/>
  <c r="M609" i="8"/>
  <c r="N609" i="8" s="1"/>
  <c r="M619" i="8"/>
  <c r="N619" i="8" s="1"/>
  <c r="M729" i="8"/>
  <c r="N729" i="8" s="1"/>
  <c r="N330" i="8"/>
  <c r="M332" i="8"/>
  <c r="N332" i="8" s="1"/>
  <c r="N346" i="8"/>
  <c r="N398" i="8"/>
  <c r="M423" i="8"/>
  <c r="N423" i="8" s="1"/>
  <c r="M425" i="8"/>
  <c r="N425" i="8" s="1"/>
  <c r="M429" i="8"/>
  <c r="N429" i="8" s="1"/>
  <c r="M486" i="8"/>
  <c r="N486" i="8" s="1"/>
  <c r="M528" i="8"/>
  <c r="N528" i="8" s="1"/>
  <c r="M533" i="8"/>
  <c r="N533" i="8" s="1"/>
  <c r="M571" i="8"/>
  <c r="N571" i="8" s="1"/>
  <c r="M592" i="8"/>
  <c r="N592" i="8" s="1"/>
  <c r="M745" i="8"/>
  <c r="N745" i="8" s="1"/>
  <c r="M838" i="8"/>
  <c r="N838" i="8" s="1"/>
  <c r="M843" i="8"/>
  <c r="N843" i="8" s="1"/>
  <c r="M680" i="8"/>
  <c r="N680" i="8" s="1"/>
  <c r="M724" i="8"/>
  <c r="N724" i="8" s="1"/>
  <c r="M740" i="8"/>
  <c r="N740" i="8" s="1"/>
  <c r="M771" i="8"/>
  <c r="N771" i="8" s="1"/>
  <c r="M850" i="8"/>
  <c r="N850" i="8" s="1"/>
  <c r="M855" i="8"/>
  <c r="N855" i="8" s="1"/>
  <c r="M860" i="8"/>
  <c r="N860" i="8" s="1"/>
  <c r="M902" i="8"/>
  <c r="N902" i="8" s="1"/>
  <c r="M865" i="8"/>
  <c r="N865" i="8" s="1"/>
  <c r="M873" i="8"/>
  <c r="N873" i="8" s="1"/>
  <c r="M881" i="8"/>
  <c r="N881" i="8" s="1"/>
  <c r="M889" i="8"/>
  <c r="N889" i="8" s="1"/>
  <c r="M897" i="8"/>
  <c r="N897" i="8" s="1"/>
  <c r="M905" i="8"/>
  <c r="N905" i="8" s="1"/>
  <c r="M918" i="8"/>
  <c r="N918" i="8" s="1"/>
  <c r="M926" i="8"/>
  <c r="N926" i="8" s="1"/>
  <c r="M942" i="8"/>
  <c r="N942" i="8" s="1"/>
  <c r="M950" i="8"/>
  <c r="N950" i="8" s="1"/>
  <c r="N597" i="8"/>
  <c r="M618" i="8"/>
  <c r="N618" i="8" s="1"/>
  <c r="M662" i="8"/>
  <c r="N662" i="8" s="1"/>
  <c r="M664" i="8"/>
  <c r="N664" i="8" s="1"/>
  <c r="M670" i="8"/>
  <c r="N670" i="8" s="1"/>
  <c r="M672" i="8"/>
  <c r="N672" i="8" s="1"/>
  <c r="M683" i="8"/>
  <c r="N683" i="8" s="1"/>
  <c r="M757" i="8"/>
  <c r="N757" i="8" s="1"/>
  <c r="N769" i="8"/>
  <c r="M858" i="8"/>
  <c r="N858" i="8" s="1"/>
  <c r="M863" i="8"/>
  <c r="N863" i="8" s="1"/>
  <c r="M868" i="8"/>
  <c r="N868" i="8" s="1"/>
  <c r="M876" i="8"/>
  <c r="N876" i="8" s="1"/>
  <c r="M884" i="8"/>
  <c r="N884" i="8" s="1"/>
  <c r="M892" i="8"/>
  <c r="N892" i="8" s="1"/>
  <c r="M900" i="8"/>
  <c r="N900" i="8" s="1"/>
  <c r="M594" i="8"/>
  <c r="N594" i="8" s="1"/>
  <c r="M709" i="8"/>
  <c r="N709" i="8" s="1"/>
  <c r="M718" i="8"/>
  <c r="N718" i="8" s="1"/>
  <c r="M725" i="8"/>
  <c r="N725" i="8" s="1"/>
  <c r="M734" i="8"/>
  <c r="N734" i="8" s="1"/>
  <c r="M741" i="8"/>
  <c r="N741" i="8" s="1"/>
  <c r="M750" i="8"/>
  <c r="N750" i="8" s="1"/>
  <c r="M772" i="8"/>
  <c r="N772" i="8" s="1"/>
  <c r="M841" i="8"/>
  <c r="N841" i="8" s="1"/>
  <c r="M851" i="8"/>
  <c r="N851" i="8" s="1"/>
  <c r="M871" i="8"/>
  <c r="N871" i="8" s="1"/>
  <c r="M879" i="8"/>
  <c r="N879" i="8" s="1"/>
  <c r="M887" i="8"/>
  <c r="N887" i="8" s="1"/>
  <c r="M895" i="8"/>
  <c r="N895" i="8" s="1"/>
  <c r="M924" i="8"/>
  <c r="N924" i="8" s="1"/>
  <c r="M956" i="8"/>
  <c r="N956" i="8" s="1"/>
  <c r="M964" i="8"/>
  <c r="N964" i="8" s="1"/>
  <c r="M679" i="8"/>
  <c r="N679" i="8" s="1"/>
  <c r="M716" i="8"/>
  <c r="N716" i="8" s="1"/>
  <c r="M732" i="8"/>
  <c r="N732" i="8" s="1"/>
  <c r="M748" i="8"/>
  <c r="N748" i="8" s="1"/>
  <c r="M755" i="8"/>
  <c r="N755" i="8" s="1"/>
  <c r="M765" i="8"/>
  <c r="N765" i="8" s="1"/>
  <c r="M839" i="8"/>
  <c r="N839" i="8" s="1"/>
  <c r="M844" i="8"/>
  <c r="N844" i="8" s="1"/>
  <c r="M866" i="8"/>
  <c r="N866" i="8" s="1"/>
  <c r="M874" i="8"/>
  <c r="N874" i="8" s="1"/>
  <c r="M882" i="8"/>
  <c r="N882" i="8" s="1"/>
  <c r="M890" i="8"/>
  <c r="N890" i="8" s="1"/>
  <c r="M898" i="8"/>
  <c r="N898" i="8" s="1"/>
  <c r="M919" i="8"/>
  <c r="N919" i="8" s="1"/>
  <c r="M951" i="8"/>
  <c r="N951" i="8" s="1"/>
  <c r="M959" i="8"/>
  <c r="N959" i="8" s="1"/>
  <c r="M967" i="8"/>
  <c r="N967" i="8" s="1"/>
  <c r="M608" i="8"/>
  <c r="N608" i="8" s="1"/>
  <c r="M655" i="8"/>
  <c r="N655" i="8" s="1"/>
  <c r="M675" i="8"/>
  <c r="N675" i="8" s="1"/>
  <c r="M677" i="8"/>
  <c r="N677" i="8" s="1"/>
  <c r="M721" i="8"/>
  <c r="N721" i="8" s="1"/>
  <c r="M723" i="8"/>
  <c r="N723" i="8" s="1"/>
  <c r="M737" i="8"/>
  <c r="N737" i="8" s="1"/>
  <c r="M739" i="8"/>
  <c r="N739" i="8" s="1"/>
  <c r="M753" i="8"/>
  <c r="N753" i="8" s="1"/>
  <c r="M758" i="8"/>
  <c r="N758" i="8" s="1"/>
  <c r="M849" i="8"/>
  <c r="N849" i="8" s="1"/>
  <c r="M859" i="8"/>
  <c r="N859" i="8" s="1"/>
  <c r="M946" i="8"/>
  <c r="N946" i="8" s="1"/>
  <c r="M610" i="8"/>
  <c r="N610" i="8" s="1"/>
  <c r="M648" i="8"/>
  <c r="N648" i="8" s="1"/>
  <c r="M661" i="8"/>
  <c r="N661" i="8" s="1"/>
  <c r="M663" i="8"/>
  <c r="N663" i="8" s="1"/>
  <c r="M669" i="8"/>
  <c r="N669" i="8" s="1"/>
  <c r="M671" i="8"/>
  <c r="N671" i="8" s="1"/>
  <c r="M763" i="8"/>
  <c r="N763" i="8" s="1"/>
  <c r="M773" i="8"/>
  <c r="N773" i="8" s="1"/>
  <c r="M842" i="8"/>
  <c r="N842" i="8" s="1"/>
  <c r="M847" i="8"/>
  <c r="N847" i="8" s="1"/>
  <c r="M852" i="8"/>
  <c r="N852" i="8" s="1"/>
  <c r="N869" i="8"/>
  <c r="M933" i="8"/>
  <c r="N933" i="8" s="1"/>
  <c r="M941" i="8"/>
  <c r="N941" i="8" s="1"/>
  <c r="M957" i="8"/>
  <c r="N957" i="8" s="1"/>
  <c r="N962" i="8"/>
  <c r="M965" i="8"/>
  <c r="N965" i="8" s="1"/>
  <c r="M710" i="8"/>
  <c r="N710" i="8" s="1"/>
  <c r="M717" i="8"/>
  <c r="N717" i="8" s="1"/>
  <c r="N719" i="8"/>
  <c r="M726" i="8"/>
  <c r="N726" i="8" s="1"/>
  <c r="M733" i="8"/>
  <c r="N733" i="8" s="1"/>
  <c r="M742" i="8"/>
  <c r="N742" i="8" s="1"/>
  <c r="M749" i="8"/>
  <c r="N749" i="8" s="1"/>
  <c r="M756" i="8"/>
  <c r="N756" i="8" s="1"/>
  <c r="M761" i="8"/>
  <c r="N761" i="8" s="1"/>
  <c r="M766" i="8"/>
  <c r="N766" i="8" s="1"/>
  <c r="N768" i="8"/>
  <c r="M857" i="8"/>
  <c r="N857" i="8" s="1"/>
  <c r="M867" i="8"/>
  <c r="N867" i="8" s="1"/>
  <c r="M875" i="8"/>
  <c r="N875" i="8" s="1"/>
  <c r="M883" i="8"/>
  <c r="N883" i="8" s="1"/>
  <c r="M891" i="8"/>
  <c r="N891" i="8" s="1"/>
  <c r="M920" i="8"/>
  <c r="N920" i="8" s="1"/>
  <c r="M928" i="8"/>
  <c r="N928" i="8" s="1"/>
  <c r="M936" i="8"/>
  <c r="N936" i="8" s="1"/>
  <c r="M952" i="8"/>
  <c r="N952" i="8" s="1"/>
  <c r="M958" i="8"/>
  <c r="N958" i="8" s="1"/>
  <c r="M1025" i="8"/>
  <c r="N1025" i="8" s="1"/>
  <c r="M1027" i="8"/>
  <c r="N1027" i="8" s="1"/>
  <c r="M1151" i="8"/>
  <c r="N1151" i="8" s="1"/>
  <c r="M921" i="8"/>
  <c r="N921" i="8" s="1"/>
  <c r="M953" i="8"/>
  <c r="N953" i="8" s="1"/>
  <c r="M993" i="8"/>
  <c r="N993" i="8" s="1"/>
  <c r="M995" i="8"/>
  <c r="N995" i="8" s="1"/>
  <c r="M997" i="8"/>
  <c r="N997" i="8" s="1"/>
  <c r="M1039" i="8"/>
  <c r="N1039" i="8" s="1"/>
  <c r="M1044" i="8"/>
  <c r="N1044" i="8" s="1"/>
  <c r="M1049" i="8"/>
  <c r="N1049" i="8" s="1"/>
  <c r="M1054" i="8"/>
  <c r="N1054" i="8" s="1"/>
  <c r="M1146" i="8"/>
  <c r="N1146" i="8" s="1"/>
  <c r="M1156" i="8"/>
  <c r="N1156" i="8" s="1"/>
  <c r="M1185" i="8"/>
  <c r="N1185" i="8" s="1"/>
  <c r="M1217" i="8"/>
  <c r="N1217" i="8" s="1"/>
  <c r="N1224" i="8"/>
  <c r="M969" i="8"/>
  <c r="N969" i="8" s="1"/>
  <c r="M979" i="8"/>
  <c r="N979" i="8" s="1"/>
  <c r="M1030" i="8"/>
  <c r="N1030" i="8" s="1"/>
  <c r="M1052" i="8"/>
  <c r="N1052" i="8" s="1"/>
  <c r="M1057" i="8"/>
  <c r="N1057" i="8" s="1"/>
  <c r="M1164" i="8"/>
  <c r="N1164" i="8" s="1"/>
  <c r="M1287" i="8"/>
  <c r="N1287" i="8" s="1"/>
  <c r="M945" i="8"/>
  <c r="N945" i="8" s="1"/>
  <c r="M975" i="8"/>
  <c r="N975" i="8" s="1"/>
  <c r="M977" i="8"/>
  <c r="N977" i="8" s="1"/>
  <c r="M1075" i="8"/>
  <c r="N1075" i="8" s="1"/>
  <c r="M1107" i="8"/>
  <c r="N1107" i="8" s="1"/>
  <c r="M1205" i="8"/>
  <c r="N1205" i="8" s="1"/>
  <c r="M1215" i="8"/>
  <c r="N1215" i="8" s="1"/>
  <c r="M1241" i="8"/>
  <c r="N1241" i="8" s="1"/>
  <c r="M1282" i="8"/>
  <c r="N1282" i="8" s="1"/>
  <c r="M1324" i="8"/>
  <c r="N1324" i="8" s="1"/>
  <c r="M899" i="8"/>
  <c r="N899" i="8" s="1"/>
  <c r="M966" i="8"/>
  <c r="N966" i="8" s="1"/>
  <c r="M998" i="8"/>
  <c r="N998" i="8" s="1"/>
  <c r="M1007" i="8"/>
  <c r="N1007" i="8" s="1"/>
  <c r="M1035" i="8"/>
  <c r="N1035" i="8" s="1"/>
  <c r="M1040" i="8"/>
  <c r="N1040" i="8" s="1"/>
  <c r="M1073" i="8"/>
  <c r="N1073" i="8" s="1"/>
  <c r="M1085" i="8"/>
  <c r="N1085" i="8" s="1"/>
  <c r="M1090" i="8"/>
  <c r="N1090" i="8" s="1"/>
  <c r="M1095" i="8"/>
  <c r="N1095" i="8" s="1"/>
  <c r="M1100" i="8"/>
  <c r="N1100" i="8" s="1"/>
  <c r="M1105" i="8"/>
  <c r="N1105" i="8" s="1"/>
  <c r="M1117" i="8"/>
  <c r="N1117" i="8" s="1"/>
  <c r="M1122" i="8"/>
  <c r="N1122" i="8" s="1"/>
  <c r="M1127" i="8"/>
  <c r="N1127" i="8" s="1"/>
  <c r="M1132" i="8"/>
  <c r="N1132" i="8" s="1"/>
  <c r="M1137" i="8"/>
  <c r="N1137" i="8" s="1"/>
  <c r="M1162" i="8"/>
  <c r="N1162" i="8" s="1"/>
  <c r="M1377" i="8"/>
  <c r="N1377" i="8" s="1"/>
  <c r="M1426" i="8"/>
  <c r="N1426" i="8" s="1"/>
  <c r="M937" i="8"/>
  <c r="N937" i="8" s="1"/>
  <c r="M1012" i="8"/>
  <c r="N1012" i="8" s="1"/>
  <c r="M1071" i="8"/>
  <c r="N1071" i="8" s="1"/>
  <c r="M1098" i="8"/>
  <c r="N1098" i="8" s="1"/>
  <c r="M1103" i="8"/>
  <c r="N1103" i="8" s="1"/>
  <c r="M1130" i="8"/>
  <c r="N1130" i="8" s="1"/>
  <c r="M1135" i="8"/>
  <c r="N1135" i="8" s="1"/>
  <c r="M1213" i="8"/>
  <c r="N1213" i="8" s="1"/>
  <c r="M1239" i="8"/>
  <c r="N1239" i="8" s="1"/>
  <c r="M961" i="8"/>
  <c r="N961" i="8" s="1"/>
  <c r="M1003" i="8"/>
  <c r="N1003" i="8" s="1"/>
  <c r="M1017" i="8"/>
  <c r="N1017" i="8" s="1"/>
  <c r="M1076" i="8"/>
  <c r="N1076" i="8" s="1"/>
  <c r="M1108" i="8"/>
  <c r="N1108" i="8" s="1"/>
  <c r="N1125" i="8"/>
  <c r="M1140" i="8"/>
  <c r="N1140" i="8" s="1"/>
  <c r="M929" i="8"/>
  <c r="N929" i="8" s="1"/>
  <c r="M974" i="8"/>
  <c r="N974" i="8" s="1"/>
  <c r="M1008" i="8"/>
  <c r="N1008" i="8" s="1"/>
  <c r="M1020" i="8"/>
  <c r="N1020" i="8" s="1"/>
  <c r="M1022" i="8"/>
  <c r="N1022" i="8" s="1"/>
  <c r="M1029" i="8"/>
  <c r="N1029" i="8" s="1"/>
  <c r="M1081" i="8"/>
  <c r="N1081" i="8" s="1"/>
  <c r="M1086" i="8"/>
  <c r="N1086" i="8" s="1"/>
  <c r="M1091" i="8"/>
  <c r="N1091" i="8" s="1"/>
  <c r="M1101" i="8"/>
  <c r="N1101" i="8" s="1"/>
  <c r="M1113" i="8"/>
  <c r="N1113" i="8" s="1"/>
  <c r="M1118" i="8"/>
  <c r="N1118" i="8" s="1"/>
  <c r="M1123" i="8"/>
  <c r="N1123" i="8" s="1"/>
  <c r="M1133" i="8"/>
  <c r="N1133" i="8" s="1"/>
  <c r="M1148" i="8"/>
  <c r="N1148" i="8" s="1"/>
  <c r="M1153" i="8"/>
  <c r="N1153" i="8" s="1"/>
  <c r="M1229" i="8"/>
  <c r="N1229" i="8" s="1"/>
  <c r="M1142" i="8"/>
  <c r="N1142" i="8" s="1"/>
  <c r="M1158" i="8"/>
  <c r="N1158" i="8" s="1"/>
  <c r="M1226" i="8"/>
  <c r="N1226" i="8" s="1"/>
  <c r="M1228" i="8"/>
  <c r="N1228" i="8" s="1"/>
  <c r="M1280" i="8"/>
  <c r="N1280" i="8" s="1"/>
  <c r="M1285" i="8"/>
  <c r="N1285" i="8" s="1"/>
  <c r="M1329" i="8"/>
  <c r="N1329" i="8" s="1"/>
  <c r="M1382" i="8"/>
  <c r="N1382" i="8" s="1"/>
  <c r="M1398" i="8"/>
  <c r="N1398" i="8" s="1"/>
  <c r="M1434" i="8"/>
  <c r="N1434" i="8" s="1"/>
  <c r="M1462" i="8"/>
  <c r="N1462" i="8" s="1"/>
  <c r="M1496" i="8"/>
  <c r="N1496" i="8" s="1"/>
  <c r="N1553" i="8"/>
  <c r="M1000" i="8"/>
  <c r="N1000" i="8" s="1"/>
  <c r="M1032" i="8"/>
  <c r="N1032" i="8" s="1"/>
  <c r="M1078" i="8"/>
  <c r="N1078" i="8" s="1"/>
  <c r="M1110" i="8"/>
  <c r="N1110" i="8" s="1"/>
  <c r="M1191" i="8"/>
  <c r="N1191" i="8" s="1"/>
  <c r="M1193" i="8"/>
  <c r="N1193" i="8" s="1"/>
  <c r="M1199" i="8"/>
  <c r="N1199" i="8" s="1"/>
  <c r="M1201" i="8"/>
  <c r="N1201" i="8" s="1"/>
  <c r="M1207" i="8"/>
  <c r="N1207" i="8" s="1"/>
  <c r="M1209" i="8"/>
  <c r="N1209" i="8" s="1"/>
  <c r="M1244" i="8"/>
  <c r="N1244" i="8" s="1"/>
  <c r="M1290" i="8"/>
  <c r="N1290" i="8" s="1"/>
  <c r="M1295" i="8"/>
  <c r="N1295" i="8" s="1"/>
  <c r="M1406" i="8"/>
  <c r="N1406" i="8" s="1"/>
  <c r="N1411" i="8"/>
  <c r="M1432" i="8"/>
  <c r="N1432" i="8" s="1"/>
  <c r="M1139" i="8"/>
  <c r="N1139" i="8" s="1"/>
  <c r="M1155" i="8"/>
  <c r="N1155" i="8" s="1"/>
  <c r="M1218" i="8"/>
  <c r="N1218" i="8" s="1"/>
  <c r="M1220" i="8"/>
  <c r="N1220" i="8" s="1"/>
  <c r="M1242" i="8"/>
  <c r="N1242" i="8" s="1"/>
  <c r="M1288" i="8"/>
  <c r="N1288" i="8" s="1"/>
  <c r="M1293" i="8"/>
  <c r="N1293" i="8" s="1"/>
  <c r="M1442" i="8"/>
  <c r="N1442" i="8" s="1"/>
  <c r="M1460" i="8"/>
  <c r="N1460" i="8" s="1"/>
  <c r="M1476" i="8"/>
  <c r="N1476" i="8" s="1"/>
  <c r="N1538" i="8"/>
  <c r="M992" i="8"/>
  <c r="N992" i="8" s="1"/>
  <c r="M1024" i="8"/>
  <c r="N1024" i="8" s="1"/>
  <c r="M1056" i="8"/>
  <c r="N1056" i="8" s="1"/>
  <c r="M1102" i="8"/>
  <c r="N1102" i="8" s="1"/>
  <c r="M1134" i="8"/>
  <c r="N1134" i="8" s="1"/>
  <c r="M1166" i="8"/>
  <c r="N1166" i="8" s="1"/>
  <c r="M1231" i="8"/>
  <c r="N1231" i="8" s="1"/>
  <c r="M1233" i="8"/>
  <c r="N1233" i="8" s="1"/>
  <c r="M1274" i="8"/>
  <c r="N1274" i="8" s="1"/>
  <c r="M1298" i="8"/>
  <c r="N1298" i="8" s="1"/>
  <c r="M1303" i="8"/>
  <c r="N1303" i="8" s="1"/>
  <c r="M1450" i="8"/>
  <c r="N1450" i="8" s="1"/>
  <c r="M1526" i="8"/>
  <c r="N1526" i="8" s="1"/>
  <c r="M1536" i="8"/>
  <c r="N1536" i="8" s="1"/>
  <c r="M1150" i="8"/>
  <c r="N1150" i="8" s="1"/>
  <c r="M1210" i="8"/>
  <c r="N1210" i="8" s="1"/>
  <c r="M1212" i="8"/>
  <c r="N1212" i="8" s="1"/>
  <c r="M1296" i="8"/>
  <c r="N1296" i="8" s="1"/>
  <c r="M1301" i="8"/>
  <c r="N1301" i="8" s="1"/>
  <c r="M1323" i="8"/>
  <c r="N1323" i="8" s="1"/>
  <c r="M1362" i="8"/>
  <c r="N1362" i="8" s="1"/>
  <c r="M1440" i="8"/>
  <c r="N1440" i="8" s="1"/>
  <c r="N1471" i="8"/>
  <c r="M1474" i="8"/>
  <c r="N1474" i="8" s="1"/>
  <c r="N1492" i="8"/>
  <c r="M1016" i="8"/>
  <c r="N1016" i="8" s="1"/>
  <c r="M1048" i="8"/>
  <c r="N1048" i="8" s="1"/>
  <c r="M1094" i="8"/>
  <c r="N1094" i="8" s="1"/>
  <c r="M1126" i="8"/>
  <c r="N1126" i="8" s="1"/>
  <c r="M1188" i="8"/>
  <c r="N1188" i="8" s="1"/>
  <c r="M1196" i="8"/>
  <c r="N1196" i="8" s="1"/>
  <c r="M1204" i="8"/>
  <c r="N1204" i="8" s="1"/>
  <c r="M1223" i="8"/>
  <c r="N1223" i="8" s="1"/>
  <c r="M1225" i="8"/>
  <c r="N1225" i="8" s="1"/>
  <c r="M1236" i="8"/>
  <c r="N1236" i="8" s="1"/>
  <c r="M1277" i="8"/>
  <c r="N1277" i="8" s="1"/>
  <c r="M1279" i="8"/>
  <c r="N1279" i="8" s="1"/>
  <c r="M1306" i="8"/>
  <c r="N1306" i="8" s="1"/>
  <c r="M1311" i="8"/>
  <c r="N1311" i="8" s="1"/>
  <c r="M1316" i="8"/>
  <c r="N1316" i="8" s="1"/>
  <c r="M1321" i="8"/>
  <c r="N1321" i="8" s="1"/>
  <c r="M1392" i="8"/>
  <c r="N1392" i="8" s="1"/>
  <c r="M1428" i="8"/>
  <c r="N1428" i="8" s="1"/>
  <c r="M1448" i="8"/>
  <c r="N1448" i="8" s="1"/>
  <c r="M978" i="8"/>
  <c r="N978" i="8" s="1"/>
  <c r="M1147" i="8"/>
  <c r="N1147" i="8" s="1"/>
  <c r="N1161" i="8"/>
  <c r="M1163" i="8"/>
  <c r="N1163" i="8" s="1"/>
  <c r="M1234" i="8"/>
  <c r="N1234" i="8" s="1"/>
  <c r="M1304" i="8"/>
  <c r="N1304" i="8" s="1"/>
  <c r="M1309" i="8"/>
  <c r="N1309" i="8" s="1"/>
  <c r="M1314" i="8"/>
  <c r="N1314" i="8" s="1"/>
  <c r="M1319" i="8"/>
  <c r="N1319" i="8" s="1"/>
  <c r="M1331" i="8"/>
  <c r="N1331" i="8" s="1"/>
  <c r="M1379" i="8"/>
  <c r="N1379" i="8" s="1"/>
  <c r="M1405" i="8"/>
  <c r="N1405" i="8" s="1"/>
  <c r="M1511" i="8"/>
  <c r="N1511" i="8" s="1"/>
  <c r="M1529" i="8"/>
  <c r="N1529" i="8" s="1"/>
  <c r="M1678" i="8"/>
  <c r="N1678" i="8" s="1"/>
  <c r="M1375" i="8"/>
  <c r="N1375" i="8" s="1"/>
  <c r="M1384" i="8"/>
  <c r="N1384" i="8" s="1"/>
  <c r="M1394" i="8"/>
  <c r="N1394" i="8" s="1"/>
  <c r="M1409" i="8"/>
  <c r="N1409" i="8" s="1"/>
  <c r="N1420" i="8"/>
  <c r="N1478" i="8"/>
  <c r="M1505" i="8"/>
  <c r="N1505" i="8" s="1"/>
  <c r="M1507" i="8"/>
  <c r="N1507" i="8" s="1"/>
  <c r="M1576" i="8"/>
  <c r="N1576" i="8" s="1"/>
  <c r="N1605" i="8"/>
  <c r="M1617" i="8"/>
  <c r="N1617" i="8" s="1"/>
  <c r="N1658" i="8"/>
  <c r="M1707" i="8"/>
  <c r="N1707" i="8" s="1"/>
  <c r="N1828" i="8"/>
  <c r="N1878" i="8"/>
  <c r="M2048" i="8"/>
  <c r="N2048" i="8" s="1"/>
  <c r="M1326" i="8"/>
  <c r="N1326" i="8" s="1"/>
  <c r="M1373" i="8"/>
  <c r="N1373" i="8" s="1"/>
  <c r="M1413" i="8"/>
  <c r="N1413" i="8" s="1"/>
  <c r="M1436" i="8"/>
  <c r="N1436" i="8" s="1"/>
  <c r="M1493" i="8"/>
  <c r="N1493" i="8" s="1"/>
  <c r="M1559" i="8"/>
  <c r="N1559" i="8" s="1"/>
  <c r="M1627" i="8"/>
  <c r="N1627" i="8" s="1"/>
  <c r="M1654" i="8"/>
  <c r="N1654" i="8" s="1"/>
  <c r="M1661" i="8"/>
  <c r="N1661" i="8" s="1"/>
  <c r="M1666" i="8"/>
  <c r="N1666" i="8" s="1"/>
  <c r="M1697" i="8"/>
  <c r="N1697" i="8" s="1"/>
  <c r="M1821" i="8"/>
  <c r="N1821" i="8" s="1"/>
  <c r="M1826" i="8"/>
  <c r="N1826" i="8" s="1"/>
  <c r="M1876" i="8"/>
  <c r="N1876" i="8" s="1"/>
  <c r="M1997" i="8"/>
  <c r="N1997" i="8" s="1"/>
  <c r="M1402" i="8"/>
  <c r="N1402" i="8" s="1"/>
  <c r="M1417" i="8"/>
  <c r="N1417" i="8" s="1"/>
  <c r="M1444" i="8"/>
  <c r="N1444" i="8" s="1"/>
  <c r="M1452" i="8"/>
  <c r="N1452" i="8" s="1"/>
  <c r="N1456" i="8"/>
  <c r="M1479" i="8"/>
  <c r="N1479" i="8" s="1"/>
  <c r="M1489" i="8"/>
  <c r="N1489" i="8" s="1"/>
  <c r="M1530" i="8"/>
  <c r="N1530" i="8" s="1"/>
  <c r="M1572" i="8"/>
  <c r="N1572" i="8" s="1"/>
  <c r="M1588" i="8"/>
  <c r="N1588" i="8" s="1"/>
  <c r="M1318" i="8"/>
  <c r="N1318" i="8" s="1"/>
  <c r="M1361" i="8"/>
  <c r="N1361" i="8" s="1"/>
  <c r="M1389" i="8"/>
  <c r="N1389" i="8" s="1"/>
  <c r="M1421" i="8"/>
  <c r="N1421" i="8" s="1"/>
  <c r="M1427" i="8"/>
  <c r="N1427" i="8" s="1"/>
  <c r="M1461" i="8"/>
  <c r="N1461" i="8" s="1"/>
  <c r="M1475" i="8"/>
  <c r="N1475" i="8" s="1"/>
  <c r="M1512" i="8"/>
  <c r="N1512" i="8" s="1"/>
  <c r="M1613" i="8"/>
  <c r="N1613" i="8" s="1"/>
  <c r="N1313" i="8"/>
  <c r="M1383" i="8"/>
  <c r="N1383" i="8" s="1"/>
  <c r="M1393" i="8"/>
  <c r="N1393" i="8" s="1"/>
  <c r="M1410" i="8"/>
  <c r="N1410" i="8" s="1"/>
  <c r="M1431" i="8"/>
  <c r="N1431" i="8" s="1"/>
  <c r="M1457" i="8"/>
  <c r="N1457" i="8" s="1"/>
  <c r="N1514" i="8"/>
  <c r="M1533" i="8"/>
  <c r="N1533" i="8" s="1"/>
  <c r="M1555" i="8"/>
  <c r="N1555" i="8" s="1"/>
  <c r="N1557" i="8"/>
  <c r="M1584" i="8"/>
  <c r="N1584" i="8" s="1"/>
  <c r="N1597" i="8"/>
  <c r="M1623" i="8"/>
  <c r="N1623" i="8" s="1"/>
  <c r="M1642" i="8"/>
  <c r="N1642" i="8" s="1"/>
  <c r="N1652" i="8"/>
  <c r="N1734" i="8"/>
  <c r="M1310" i="8"/>
  <c r="N1310" i="8" s="1"/>
  <c r="M1397" i="8"/>
  <c r="N1397" i="8" s="1"/>
  <c r="N1408" i="8"/>
  <c r="M1435" i="8"/>
  <c r="N1435" i="8" s="1"/>
  <c r="M1540" i="8"/>
  <c r="N1540" i="8" s="1"/>
  <c r="N1637" i="8"/>
  <c r="M1724" i="8"/>
  <c r="N1724" i="8" s="1"/>
  <c r="M1955" i="8"/>
  <c r="N1955" i="8" s="1"/>
  <c r="N1378" i="8"/>
  <c r="M1388" i="8"/>
  <c r="N1388" i="8" s="1"/>
  <c r="M1401" i="8"/>
  <c r="N1401" i="8" s="1"/>
  <c r="M1418" i="8"/>
  <c r="N1418" i="8" s="1"/>
  <c r="M1439" i="8"/>
  <c r="N1439" i="8" s="1"/>
  <c r="M1443" i="8"/>
  <c r="N1443" i="8" s="1"/>
  <c r="M1447" i="8"/>
  <c r="N1447" i="8" s="1"/>
  <c r="M1451" i="8"/>
  <c r="N1451" i="8" s="1"/>
  <c r="M1490" i="8"/>
  <c r="N1490" i="8" s="1"/>
  <c r="N1506" i="8"/>
  <c r="M1515" i="8"/>
  <c r="N1515" i="8" s="1"/>
  <c r="M1563" i="8"/>
  <c r="N1563" i="8" s="1"/>
  <c r="M1580" i="8"/>
  <c r="N1580" i="8" s="1"/>
  <c r="M1609" i="8"/>
  <c r="N1609" i="8" s="1"/>
  <c r="M1950" i="8"/>
  <c r="N1950" i="8" s="1"/>
  <c r="M1871" i="8"/>
  <c r="N1871" i="8" s="1"/>
  <c r="N1992" i="8"/>
  <c r="M1573" i="8"/>
  <c r="N1573" i="8" s="1"/>
  <c r="M1577" i="8"/>
  <c r="N1577" i="8" s="1"/>
  <c r="M1581" i="8"/>
  <c r="N1581" i="8" s="1"/>
  <c r="M1585" i="8"/>
  <c r="N1585" i="8" s="1"/>
  <c r="M1589" i="8"/>
  <c r="N1589" i="8" s="1"/>
  <c r="M1594" i="8"/>
  <c r="N1594" i="8" s="1"/>
  <c r="M1598" i="8"/>
  <c r="N1598" i="8" s="1"/>
  <c r="M1602" i="8"/>
  <c r="N1602" i="8" s="1"/>
  <c r="N1607" i="8"/>
  <c r="M1628" i="8"/>
  <c r="N1628" i="8" s="1"/>
  <c r="M1638" i="8"/>
  <c r="N1638" i="8" s="1"/>
  <c r="M1655" i="8"/>
  <c r="N1655" i="8" s="1"/>
  <c r="M1685" i="8"/>
  <c r="N1685" i="8" s="1"/>
  <c r="M1715" i="8"/>
  <c r="N1715" i="8" s="1"/>
  <c r="M1935" i="8"/>
  <c r="N1935" i="8" s="1"/>
  <c r="M1940" i="8"/>
  <c r="N1940" i="8" s="1"/>
  <c r="N1945" i="8"/>
  <c r="M1985" i="8"/>
  <c r="N1985" i="8" s="1"/>
  <c r="M1990" i="8"/>
  <c r="N1990" i="8" s="1"/>
  <c r="M1537" i="8"/>
  <c r="N1537" i="8" s="1"/>
  <c r="M1571" i="8"/>
  <c r="N1571" i="8" s="1"/>
  <c r="M1632" i="8"/>
  <c r="N1632" i="8" s="1"/>
  <c r="N1659" i="8"/>
  <c r="M1664" i="8"/>
  <c r="N1664" i="8" s="1"/>
  <c r="M1703" i="8"/>
  <c r="N1703" i="8" s="1"/>
  <c r="N1730" i="8"/>
  <c r="M1779" i="8"/>
  <c r="N1779" i="8" s="1"/>
  <c r="N1840" i="8"/>
  <c r="M1903" i="8"/>
  <c r="N1903" i="8" s="1"/>
  <c r="M1933" i="8"/>
  <c r="N1933" i="8" s="1"/>
  <c r="N1974" i="8"/>
  <c r="M2027" i="8"/>
  <c r="N2027" i="8" s="1"/>
  <c r="N1535" i="8"/>
  <c r="M1554" i="8"/>
  <c r="N1554" i="8" s="1"/>
  <c r="M1558" i="8"/>
  <c r="N1558" i="8" s="1"/>
  <c r="M1562" i="8"/>
  <c r="N1562" i="8" s="1"/>
  <c r="M1566" i="8"/>
  <c r="N1566" i="8" s="1"/>
  <c r="N1575" i="8"/>
  <c r="N1583" i="8"/>
  <c r="N1591" i="8"/>
  <c r="M1622" i="8"/>
  <c r="N1622" i="8" s="1"/>
  <c r="M1626" i="8"/>
  <c r="N1626" i="8" s="1"/>
  <c r="N1630" i="8"/>
  <c r="M1674" i="8"/>
  <c r="N1674" i="8" s="1"/>
  <c r="M1728" i="8"/>
  <c r="N1728" i="8" s="1"/>
  <c r="M1743" i="8"/>
  <c r="N1743" i="8" s="1"/>
  <c r="M1748" i="8"/>
  <c r="N1748" i="8" s="1"/>
  <c r="M1838" i="8"/>
  <c r="N1838" i="8" s="1"/>
  <c r="M1972" i="8"/>
  <c r="N1972" i="8" s="1"/>
  <c r="M2012" i="8"/>
  <c r="N2012" i="8" s="1"/>
  <c r="M2017" i="8"/>
  <c r="N2017" i="8" s="1"/>
  <c r="N1539" i="8"/>
  <c r="M1595" i="8"/>
  <c r="N1595" i="8" s="1"/>
  <c r="M1599" i="8"/>
  <c r="N1599" i="8" s="1"/>
  <c r="M1603" i="8"/>
  <c r="N1603" i="8" s="1"/>
  <c r="M1608" i="8"/>
  <c r="N1608" i="8" s="1"/>
  <c r="M1612" i="8"/>
  <c r="N1612" i="8" s="1"/>
  <c r="M1616" i="8"/>
  <c r="N1616" i="8" s="1"/>
  <c r="M1639" i="8"/>
  <c r="N1639" i="8" s="1"/>
  <c r="M1660" i="8"/>
  <c r="N1660" i="8" s="1"/>
  <c r="M1711" i="8"/>
  <c r="N1711" i="8" s="1"/>
  <c r="M1833" i="8"/>
  <c r="N1833" i="8" s="1"/>
  <c r="M1532" i="8"/>
  <c r="N1532" i="8" s="1"/>
  <c r="M1633" i="8"/>
  <c r="N1633" i="8" s="1"/>
  <c r="M1665" i="8"/>
  <c r="N1665" i="8" s="1"/>
  <c r="M1672" i="8"/>
  <c r="N1672" i="8" s="1"/>
  <c r="M1699" i="8"/>
  <c r="N1699" i="8" s="1"/>
  <c r="M1759" i="8"/>
  <c r="N1759" i="8" s="1"/>
  <c r="M1764" i="8"/>
  <c r="N1764" i="8" s="1"/>
  <c r="M1891" i="8"/>
  <c r="N1891" i="8" s="1"/>
  <c r="M1896" i="8"/>
  <c r="N1896" i="8" s="1"/>
  <c r="M1960" i="8"/>
  <c r="N1960" i="8" s="1"/>
  <c r="N1999" i="8"/>
  <c r="M2002" i="8"/>
  <c r="N2002" i="8" s="1"/>
  <c r="M1635" i="8"/>
  <c r="N1635" i="8" s="1"/>
  <c r="M1681" i="8"/>
  <c r="N1681" i="8" s="1"/>
  <c r="M1719" i="8"/>
  <c r="N1719" i="8" s="1"/>
  <c r="M1732" i="8"/>
  <c r="N1732" i="8" s="1"/>
  <c r="N1738" i="8"/>
  <c r="M1752" i="8"/>
  <c r="N1752" i="8" s="1"/>
  <c r="N1754" i="8"/>
  <c r="M1771" i="8"/>
  <c r="N1771" i="8" s="1"/>
  <c r="M1776" i="8"/>
  <c r="N1776" i="8" s="1"/>
  <c r="N1778" i="8"/>
  <c r="M1813" i="8"/>
  <c r="N1813" i="8" s="1"/>
  <c r="M1818" i="8"/>
  <c r="N1818" i="8" s="1"/>
  <c r="N1820" i="8"/>
  <c r="M1883" i="8"/>
  <c r="N1883" i="8" s="1"/>
  <c r="M1888" i="8"/>
  <c r="N1888" i="8" s="1"/>
  <c r="N1890" i="8"/>
  <c r="N1937" i="8"/>
  <c r="M1942" i="8"/>
  <c r="N1942" i="8" s="1"/>
  <c r="M1947" i="8"/>
  <c r="N1947" i="8" s="1"/>
  <c r="M1952" i="8"/>
  <c r="N1952" i="8" s="1"/>
  <c r="M1977" i="8"/>
  <c r="N1977" i="8" s="1"/>
  <c r="M1982" i="8"/>
  <c r="N1982" i="8" s="1"/>
  <c r="N1984" i="8"/>
  <c r="M2004" i="8"/>
  <c r="N2004" i="8" s="1"/>
  <c r="M2009" i="8"/>
  <c r="N2009" i="8" s="1"/>
  <c r="M2045" i="8"/>
  <c r="N2045" i="8" s="1"/>
  <c r="M1720" i="8"/>
  <c r="N1720" i="8" s="1"/>
  <c r="M1739" i="8"/>
  <c r="N1739" i="8" s="1"/>
  <c r="N1750" i="8"/>
  <c r="M1755" i="8"/>
  <c r="N1755" i="8" s="1"/>
  <c r="M1767" i="8"/>
  <c r="N1767" i="8" s="1"/>
  <c r="M1772" i="8"/>
  <c r="N1772" i="8" s="1"/>
  <c r="M1809" i="8"/>
  <c r="N1809" i="8" s="1"/>
  <c r="M1814" i="8"/>
  <c r="N1814" i="8" s="1"/>
  <c r="N1816" i="8"/>
  <c r="M1841" i="8"/>
  <c r="N1841" i="8" s="1"/>
  <c r="M1879" i="8"/>
  <c r="N1879" i="8" s="1"/>
  <c r="M1884" i="8"/>
  <c r="N1884" i="8" s="1"/>
  <c r="N1886" i="8"/>
  <c r="M1943" i="8"/>
  <c r="N1943" i="8" s="1"/>
  <c r="M1948" i="8"/>
  <c r="N1948" i="8" s="1"/>
  <c r="M1978" i="8"/>
  <c r="N1978" i="8" s="1"/>
  <c r="M2005" i="8"/>
  <c r="N2005" i="8" s="1"/>
  <c r="M2010" i="8"/>
  <c r="N2010" i="8" s="1"/>
  <c r="N2022" i="8"/>
  <c r="M2046" i="8"/>
  <c r="N2046" i="8" s="1"/>
  <c r="M1619" i="8"/>
  <c r="N1619" i="8" s="1"/>
  <c r="M1657" i="8"/>
  <c r="N1657" i="8" s="1"/>
  <c r="M1669" i="8"/>
  <c r="N1669" i="8" s="1"/>
  <c r="N1676" i="8"/>
  <c r="M1682" i="8"/>
  <c r="N1682" i="8" s="1"/>
  <c r="M1686" i="8"/>
  <c r="N1686" i="8" s="1"/>
  <c r="M1700" i="8"/>
  <c r="N1700" i="8" s="1"/>
  <c r="M1704" i="8"/>
  <c r="N1704" i="8" s="1"/>
  <c r="M1708" i="8"/>
  <c r="N1708" i="8" s="1"/>
  <c r="M1712" i="8"/>
  <c r="N1712" i="8" s="1"/>
  <c r="M1716" i="8"/>
  <c r="N1716" i="8" s="1"/>
  <c r="N1722" i="8"/>
  <c r="N1726" i="8"/>
  <c r="M1735" i="8"/>
  <c r="N1735" i="8" s="1"/>
  <c r="M1744" i="8"/>
  <c r="N1744" i="8" s="1"/>
  <c r="N1746" i="8"/>
  <c r="M1760" i="8"/>
  <c r="N1760" i="8" s="1"/>
  <c r="M1829" i="8"/>
  <c r="N1829" i="8" s="1"/>
  <c r="M1834" i="8"/>
  <c r="N1834" i="8" s="1"/>
  <c r="N1836" i="8"/>
  <c r="M1872" i="8"/>
  <c r="N1872" i="8" s="1"/>
  <c r="N1874" i="8"/>
  <c r="M1899" i="8"/>
  <c r="N1899" i="8" s="1"/>
  <c r="M1928" i="8"/>
  <c r="N1928" i="8" s="1"/>
  <c r="M1936" i="8"/>
  <c r="N1936" i="8" s="1"/>
  <c r="N1938" i="8"/>
  <c r="N1953" i="8"/>
  <c r="M1963" i="8"/>
  <c r="N1963" i="8" s="1"/>
  <c r="M1968" i="8"/>
  <c r="N1968" i="8" s="1"/>
  <c r="M1976" i="8"/>
  <c r="N1976" i="8" s="1"/>
  <c r="M1993" i="8"/>
  <c r="N1993" i="8" s="1"/>
  <c r="N2000" i="8"/>
  <c r="M2049" i="8"/>
  <c r="N2049" i="8" s="1"/>
  <c r="N1680" i="8"/>
  <c r="M1731" i="8"/>
  <c r="N1731" i="8" s="1"/>
  <c r="M1751" i="8"/>
  <c r="N1751" i="8" s="1"/>
  <c r="M1775" i="8"/>
  <c r="N1775" i="8" s="1"/>
  <c r="M1817" i="8"/>
  <c r="N1817" i="8" s="1"/>
  <c r="M1822" i="8"/>
  <c r="N1822" i="8" s="1"/>
  <c r="M1887" i="8"/>
  <c r="N1887" i="8" s="1"/>
  <c r="M1892" i="8"/>
  <c r="N1892" i="8" s="1"/>
  <c r="M1931" i="8"/>
  <c r="N1931" i="8" s="1"/>
  <c r="M1951" i="8"/>
  <c r="N1951" i="8" s="1"/>
  <c r="M1956" i="8"/>
  <c r="N1956" i="8" s="1"/>
  <c r="N1958" i="8"/>
  <c r="M1981" i="8"/>
  <c r="N1981" i="8" s="1"/>
  <c r="M1986" i="8"/>
  <c r="N1986" i="8" s="1"/>
  <c r="M2013" i="8"/>
  <c r="N2013" i="8" s="1"/>
  <c r="N2015" i="8"/>
  <c r="M2023" i="8"/>
  <c r="N2023" i="8" s="1"/>
  <c r="M2044" i="8"/>
  <c r="N2044" i="8" s="1"/>
  <c r="M1651" i="8"/>
  <c r="N1651" i="8" s="1"/>
  <c r="M1673" i="8"/>
  <c r="N1673" i="8" s="1"/>
  <c r="N1688" i="8"/>
  <c r="N1702" i="8"/>
  <c r="N1706" i="8"/>
  <c r="N1714" i="8"/>
  <c r="M1727" i="8"/>
  <c r="N1727" i="8" s="1"/>
  <c r="M1740" i="8"/>
  <c r="N1740" i="8" s="1"/>
  <c r="M1756" i="8"/>
  <c r="N1756" i="8" s="1"/>
  <c r="M1763" i="8"/>
  <c r="N1763" i="8" s="1"/>
  <c r="M1768" i="8"/>
  <c r="N1768" i="8" s="1"/>
  <c r="N1770" i="8"/>
  <c r="M1810" i="8"/>
  <c r="N1810" i="8" s="1"/>
  <c r="N1812" i="8"/>
  <c r="M1837" i="8"/>
  <c r="N1837" i="8" s="1"/>
  <c r="M1842" i="8"/>
  <c r="N1842" i="8" s="1"/>
  <c r="M1875" i="8"/>
  <c r="N1875" i="8" s="1"/>
  <c r="M1880" i="8"/>
  <c r="N1880" i="8" s="1"/>
  <c r="N1882" i="8"/>
  <c r="M1934" i="8"/>
  <c r="N1934" i="8" s="1"/>
  <c r="M1939" i="8"/>
  <c r="N1939" i="8" s="1"/>
  <c r="M1944" i="8"/>
  <c r="N1944" i="8" s="1"/>
  <c r="M1971" i="8"/>
  <c r="N1971" i="8" s="1"/>
  <c r="M1996" i="8"/>
  <c r="N1996" i="8" s="1"/>
  <c r="M2001" i="8"/>
  <c r="N2001" i="8" s="1"/>
  <c r="N2008" i="8"/>
  <c r="M2042" i="8"/>
  <c r="N2042" i="8" s="1"/>
  <c r="M1677" i="8"/>
  <c r="N1677" i="8" s="1"/>
  <c r="M1723" i="8"/>
  <c r="N1723" i="8" s="1"/>
  <c r="M1736" i="8"/>
  <c r="N1736" i="8" s="1"/>
  <c r="N1742" i="8"/>
  <c r="M1747" i="8"/>
  <c r="N1747" i="8" s="1"/>
  <c r="M1825" i="8"/>
  <c r="N1825" i="8" s="1"/>
  <c r="M1830" i="8"/>
  <c r="N1830" i="8" s="1"/>
  <c r="N1832" i="8"/>
  <c r="M1868" i="8"/>
  <c r="N1868" i="8" s="1"/>
  <c r="M1895" i="8"/>
  <c r="N1895" i="8" s="1"/>
  <c r="M1900" i="8"/>
  <c r="N1900" i="8" s="1"/>
  <c r="N1902" i="8"/>
  <c r="M1964" i="8"/>
  <c r="N1964" i="8" s="1"/>
  <c r="N1966" i="8"/>
  <c r="M1989" i="8"/>
  <c r="N1989" i="8" s="1"/>
  <c r="M1994" i="8"/>
  <c r="N1994" i="8" s="1"/>
  <c r="M2016" i="8"/>
  <c r="N2016" i="8" s="1"/>
  <c r="N2019" i="8"/>
  <c r="M2026" i="8"/>
  <c r="N2026" i="8" s="1"/>
  <c r="N2047" i="8"/>
  <c r="Z17" i="7"/>
  <c r="AD14" i="7"/>
  <c r="Z26" i="7"/>
  <c r="AB11" i="7"/>
  <c r="AB13" i="7"/>
  <c r="AC29" i="7"/>
  <c r="AC11" i="7"/>
  <c r="AC13" i="7"/>
  <c r="Z37" i="7"/>
  <c r="AD13" i="7"/>
  <c r="Z21" i="7"/>
  <c r="AC40" i="7"/>
  <c r="Z11" i="7"/>
  <c r="AC19" i="7"/>
  <c r="AD54" i="7"/>
  <c r="Z15" i="7"/>
  <c r="AB17" i="7"/>
  <c r="AB26" i="7"/>
  <c r="AD48" i="7"/>
  <c r="AB12" i="7"/>
  <c r="AC20" i="7"/>
  <c r="Z30" i="7"/>
  <c r="Z61" i="7"/>
  <c r="AB16" i="7"/>
  <c r="AC18" i="7"/>
  <c r="AD20" i="7"/>
  <c r="Z66" i="7"/>
  <c r="AD33" i="7"/>
  <c r="AC71" i="7"/>
  <c r="AD77" i="7"/>
  <c r="AD25" i="7"/>
  <c r="AB29" i="7"/>
  <c r="Z33" i="7"/>
  <c r="AC36" i="7"/>
  <c r="AB40" i="7"/>
  <c r="Z44" i="7"/>
  <c r="AB48" i="7"/>
  <c r="AC54" i="7"/>
  <c r="AC59" i="7"/>
  <c r="AB71" i="7"/>
  <c r="AB76" i="7"/>
  <c r="AB82" i="7"/>
  <c r="AB108" i="7"/>
  <c r="AB37" i="7"/>
  <c r="Z41" i="7"/>
  <c r="AC44" i="7"/>
  <c r="AB67" i="7"/>
  <c r="AB72" i="7"/>
  <c r="Z78" i="7"/>
  <c r="Z16" i="7"/>
  <c r="AD21" i="7"/>
  <c r="AB27" i="7"/>
  <c r="Z31" i="7"/>
  <c r="AC34" i="7"/>
  <c r="Z42" i="7"/>
  <c r="AC45" i="7"/>
  <c r="AB50" i="7"/>
  <c r="AC56" i="7"/>
  <c r="AC61" i="7"/>
  <c r="AC67" i="7"/>
  <c r="AD73" i="7"/>
  <c r="AD78" i="7"/>
  <c r="AB84" i="7"/>
  <c r="AC27" i="7"/>
  <c r="AD34" i="7"/>
  <c r="AC38" i="7"/>
  <c r="AD45" i="7"/>
  <c r="AD50" i="7"/>
  <c r="AD56" i="7"/>
  <c r="Z63" i="7"/>
  <c r="Z68" i="7"/>
  <c r="Z74" i="7"/>
  <c r="AC87" i="7"/>
  <c r="AB18" i="7"/>
  <c r="AD27" i="7"/>
  <c r="AB31" i="7"/>
  <c r="Z35" i="7"/>
  <c r="AD38" i="7"/>
  <c r="AB42" i="7"/>
  <c r="Z46" i="7"/>
  <c r="AB69" i="7"/>
  <c r="AB74" i="7"/>
  <c r="AB80" i="7"/>
  <c r="AC95" i="7"/>
  <c r="Z22" i="7"/>
  <c r="AC24" i="7"/>
  <c r="AD31" i="7"/>
  <c r="AC35" i="7"/>
  <c r="AD42" i="7"/>
  <c r="AD46" i="7"/>
  <c r="AB52" i="7"/>
  <c r="AC58" i="7"/>
  <c r="AC63" i="7"/>
  <c r="AC69" i="7"/>
  <c r="AD75" i="7"/>
  <c r="AD80" i="7"/>
  <c r="AB25" i="7"/>
  <c r="AD32" i="7"/>
  <c r="AB36" i="7"/>
  <c r="AD43" i="7"/>
  <c r="AD58" i="7"/>
  <c r="Z65" i="7"/>
  <c r="Z70" i="7"/>
  <c r="Z76" i="7"/>
  <c r="AB100" i="7"/>
  <c r="Z10" i="7"/>
  <c r="AC12" i="7"/>
  <c r="AC17" i="7"/>
  <c r="Y22" i="7"/>
  <c r="Z23" i="7"/>
  <c r="AB24" i="7"/>
  <c r="Z28" i="7"/>
  <c r="AD29" i="7"/>
  <c r="AC31" i="7"/>
  <c r="AB33" i="7"/>
  <c r="AB35" i="7"/>
  <c r="Z39" i="7"/>
  <c r="AD40" i="7"/>
  <c r="AC42" i="7"/>
  <c r="AB44" i="7"/>
  <c r="AC46" i="7"/>
  <c r="AC48" i="7"/>
  <c r="AC50" i="7"/>
  <c r="Z53" i="7"/>
  <c r="Z55" i="7"/>
  <c r="Z57" i="7"/>
  <c r="AB59" i="7"/>
  <c r="AB61" i="7"/>
  <c r="AB63" i="7"/>
  <c r="AD65" i="7"/>
  <c r="AD67" i="7"/>
  <c r="AD69" i="7"/>
  <c r="AC78" i="7"/>
  <c r="AC80" i="7"/>
  <c r="AC82" i="7"/>
  <c r="Z86" i="7"/>
  <c r="AC109" i="7"/>
  <c r="Z108" i="7"/>
  <c r="AB106" i="7"/>
  <c r="AD104" i="7"/>
  <c r="AC101" i="7"/>
  <c r="Z100" i="7"/>
  <c r="AB98" i="7"/>
  <c r="AD96" i="7"/>
  <c r="AC93" i="7"/>
  <c r="Z92" i="7"/>
  <c r="AB90" i="7"/>
  <c r="AD88" i="7"/>
  <c r="AC85" i="7"/>
  <c r="AB109" i="7"/>
  <c r="AD107" i="7"/>
  <c r="AC104" i="7"/>
  <c r="Z103" i="7"/>
  <c r="AB101" i="7"/>
  <c r="AD99" i="7"/>
  <c r="AC96" i="7"/>
  <c r="Z95" i="7"/>
  <c r="AB93" i="7"/>
  <c r="AD91" i="7"/>
  <c r="AC88" i="7"/>
  <c r="Z87" i="7"/>
  <c r="AB85" i="7"/>
  <c r="AC107" i="7"/>
  <c r="Z106" i="7"/>
  <c r="AB104" i="7"/>
  <c r="AD102" i="7"/>
  <c r="AC99" i="7"/>
  <c r="Z98" i="7"/>
  <c r="AB96" i="7"/>
  <c r="AD94" i="7"/>
  <c r="AC91" i="7"/>
  <c r="Z90" i="7"/>
  <c r="AB88" i="7"/>
  <c r="AD86" i="7"/>
  <c r="Z109" i="7"/>
  <c r="AB107" i="7"/>
  <c r="AD105" i="7"/>
  <c r="AC102" i="7"/>
  <c r="Z101" i="7"/>
  <c r="AB99" i="7"/>
  <c r="AD97" i="7"/>
  <c r="AC94" i="7"/>
  <c r="Z93" i="7"/>
  <c r="AB91" i="7"/>
  <c r="AD89" i="7"/>
  <c r="AC86" i="7"/>
  <c r="Z85" i="7"/>
  <c r="AD108" i="7"/>
  <c r="AC105" i="7"/>
  <c r="Z104" i="7"/>
  <c r="AB102" i="7"/>
  <c r="AD100" i="7"/>
  <c r="AC97" i="7"/>
  <c r="Z96" i="7"/>
  <c r="AB94" i="7"/>
  <c r="AD92" i="7"/>
  <c r="AC89" i="7"/>
  <c r="Z88" i="7"/>
  <c r="AB86" i="7"/>
  <c r="AD84" i="7"/>
  <c r="AC81" i="7"/>
  <c r="Z80" i="7"/>
  <c r="AB78" i="7"/>
  <c r="AD76" i="7"/>
  <c r="AC73" i="7"/>
  <c r="Z72" i="7"/>
  <c r="AB70" i="7"/>
  <c r="AD68" i="7"/>
  <c r="AC65" i="7"/>
  <c r="Z64" i="7"/>
  <c r="AB62" i="7"/>
  <c r="AD60" i="7"/>
  <c r="AC57" i="7"/>
  <c r="Z56" i="7"/>
  <c r="AB54" i="7"/>
  <c r="AD52" i="7"/>
  <c r="AC49" i="7"/>
  <c r="Z48" i="7"/>
  <c r="AB46" i="7"/>
  <c r="AD44" i="7"/>
  <c r="AC41" i="7"/>
  <c r="Z40" i="7"/>
  <c r="AB38" i="7"/>
  <c r="AD36" i="7"/>
  <c r="AC33" i="7"/>
  <c r="Z32" i="7"/>
  <c r="AB30" i="7"/>
  <c r="AD28" i="7"/>
  <c r="AC25" i="7"/>
  <c r="Z24" i="7"/>
  <c r="AD18" i="7"/>
  <c r="AD17" i="7"/>
  <c r="AC16" i="7"/>
  <c r="AB15" i="7"/>
  <c r="Z12" i="7"/>
  <c r="Z83" i="7"/>
  <c r="AB81" i="7"/>
  <c r="AD79" i="7"/>
  <c r="AC76" i="7"/>
  <c r="Z75" i="7"/>
  <c r="AB73" i="7"/>
  <c r="AD71" i="7"/>
  <c r="AC68" i="7"/>
  <c r="Z67" i="7"/>
  <c r="AB65" i="7"/>
  <c r="AD63" i="7"/>
  <c r="AC60" i="7"/>
  <c r="Z59" i="7"/>
  <c r="AB57" i="7"/>
  <c r="AD55" i="7"/>
  <c r="AC52" i="7"/>
  <c r="Z51" i="7"/>
  <c r="AB49" i="7"/>
  <c r="AD47" i="7"/>
  <c r="AC108" i="7"/>
  <c r="Z107" i="7"/>
  <c r="AB105" i="7"/>
  <c r="AD103" i="7"/>
  <c r="AC100" i="7"/>
  <c r="Z99" i="7"/>
  <c r="AB97" i="7"/>
  <c r="AD95" i="7"/>
  <c r="AC92" i="7"/>
  <c r="Z91" i="7"/>
  <c r="AB89" i="7"/>
  <c r="AD87" i="7"/>
  <c r="AC84" i="7"/>
  <c r="AD109" i="7"/>
  <c r="AC106" i="7"/>
  <c r="Z105" i="7"/>
  <c r="AB103" i="7"/>
  <c r="AD101" i="7"/>
  <c r="AC98" i="7"/>
  <c r="Z97" i="7"/>
  <c r="AB95" i="7"/>
  <c r="AD93" i="7"/>
  <c r="AC90" i="7"/>
  <c r="Z89" i="7"/>
  <c r="AB87" i="7"/>
  <c r="AD85" i="7"/>
  <c r="AD16" i="7"/>
  <c r="Z19" i="7"/>
  <c r="Z20" i="7"/>
  <c r="AB23" i="7"/>
  <c r="AD24" i="7"/>
  <c r="AC26" i="7"/>
  <c r="AB28" i="7"/>
  <c r="Z34" i="7"/>
  <c r="AD35" i="7"/>
  <c r="AC37" i="7"/>
  <c r="AB39" i="7"/>
  <c r="Z43" i="7"/>
  <c r="Z45" i="7"/>
  <c r="Z47" i="7"/>
  <c r="Z49" i="7"/>
  <c r="AB51" i="7"/>
  <c r="AB53" i="7"/>
  <c r="AB55" i="7"/>
  <c r="AD57" i="7"/>
  <c r="AD59" i="7"/>
  <c r="AD61" i="7"/>
  <c r="AC70" i="7"/>
  <c r="AC72" i="7"/>
  <c r="AC74" i="7"/>
  <c r="Z77" i="7"/>
  <c r="Z79" i="7"/>
  <c r="Z81" i="7"/>
  <c r="AB83" i="7"/>
  <c r="Z102" i="7"/>
  <c r="AC10" i="7"/>
  <c r="AD11" i="7"/>
  <c r="Z14" i="7"/>
  <c r="AC15" i="7"/>
  <c r="Y18" i="7"/>
  <c r="AB21" i="7"/>
  <c r="AB22" i="7"/>
  <c r="AC23" i="7"/>
  <c r="Z25" i="7"/>
  <c r="AD26" i="7"/>
  <c r="AC28" i="7"/>
  <c r="AC30" i="7"/>
  <c r="AB32" i="7"/>
  <c r="Z36" i="7"/>
  <c r="AD37" i="7"/>
  <c r="AC39" i="7"/>
  <c r="AB41" i="7"/>
  <c r="AB43" i="7"/>
  <c r="AC51" i="7"/>
  <c r="AC53" i="7"/>
  <c r="AC55" i="7"/>
  <c r="Z58" i="7"/>
  <c r="Z60" i="7"/>
  <c r="Z62" i="7"/>
  <c r="AB64" i="7"/>
  <c r="AB66" i="7"/>
  <c r="AB68" i="7"/>
  <c r="AD70" i="7"/>
  <c r="AD72" i="7"/>
  <c r="AD74" i="7"/>
  <c r="AC83" i="7"/>
  <c r="AD90" i="7"/>
  <c r="AC103" i="7"/>
  <c r="AD10" i="7"/>
  <c r="Z13" i="7"/>
  <c r="AB14" i="7"/>
  <c r="AD15" i="7"/>
  <c r="Z18" i="7"/>
  <c r="AB19" i="7"/>
  <c r="AB20" i="7"/>
  <c r="AC21" i="7"/>
  <c r="AC22" i="7"/>
  <c r="AD23" i="7"/>
  <c r="Z27" i="7"/>
  <c r="Z29" i="7"/>
  <c r="AD30" i="7"/>
  <c r="AC32" i="7"/>
  <c r="AB34" i="7"/>
  <c r="Z38" i="7"/>
  <c r="AD39" i="7"/>
  <c r="AD41" i="7"/>
  <c r="AC43" i="7"/>
  <c r="AB45" i="7"/>
  <c r="AB47" i="7"/>
  <c r="AD49" i="7"/>
  <c r="AD51" i="7"/>
  <c r="AD53" i="7"/>
  <c r="AC62" i="7"/>
  <c r="AC64" i="7"/>
  <c r="AC66" i="7"/>
  <c r="Z69" i="7"/>
  <c r="Z71" i="7"/>
  <c r="Z73" i="7"/>
  <c r="AB75" i="7"/>
  <c r="AB77" i="7"/>
  <c r="AB79" i="7"/>
  <c r="AD81" i="7"/>
  <c r="AD83" i="7"/>
  <c r="AB92" i="7"/>
  <c r="AC47" i="7"/>
  <c r="Z50" i="7"/>
  <c r="Z52" i="7"/>
  <c r="Z54" i="7"/>
  <c r="AB56" i="7"/>
  <c r="AB58" i="7"/>
  <c r="AB60" i="7"/>
  <c r="AD62" i="7"/>
  <c r="AD64" i="7"/>
  <c r="AD66" i="7"/>
  <c r="AC75" i="7"/>
  <c r="AC77" i="7"/>
  <c r="AC79" i="7"/>
  <c r="Z82" i="7"/>
  <c r="Z84" i="7"/>
  <c r="Z94" i="7"/>
  <c r="AD106" i="7"/>
  <c r="N12" i="13" l="1"/>
  <c r="W12" i="13"/>
  <c r="P17" i="14"/>
  <c r="N13" i="14"/>
  <c r="W11" i="14"/>
  <c r="N11" i="14"/>
  <c r="U11" i="7"/>
  <c r="W11" i="7"/>
  <c r="N11" i="7"/>
  <c r="P11" i="7"/>
  <c r="G14" i="13"/>
  <c r="L14" i="13" s="1"/>
  <c r="U14" i="13"/>
  <c r="W13" i="13"/>
  <c r="U13" i="13"/>
  <c r="G15" i="13"/>
  <c r="L15" i="13" s="1"/>
  <c r="N14" i="13"/>
  <c r="N13" i="13"/>
  <c r="U11" i="13"/>
  <c r="G16" i="13"/>
  <c r="L16" i="13" s="1"/>
  <c r="S16" i="13" s="1"/>
  <c r="N11" i="13"/>
  <c r="F15" i="13"/>
  <c r="K15" i="13" s="1"/>
  <c r="G14" i="14"/>
  <c r="L14" i="14" s="1"/>
  <c r="L13" i="14"/>
  <c r="F14" i="14"/>
  <c r="K14" i="14" s="1"/>
  <c r="K12" i="14"/>
  <c r="B9" i="5" l="1"/>
  <c r="D6" i="5"/>
  <c r="B8" i="5"/>
  <c r="P14" i="14"/>
  <c r="W14" i="14"/>
  <c r="N14" i="14"/>
  <c r="U14" i="14"/>
  <c r="P13" i="14"/>
  <c r="W13" i="14"/>
  <c r="N12" i="14"/>
  <c r="U12" i="14"/>
  <c r="P16" i="13"/>
  <c r="W16" i="13"/>
  <c r="P15" i="13"/>
  <c r="W15" i="13"/>
  <c r="N15" i="13"/>
  <c r="U15" i="13"/>
  <c r="F16" i="13"/>
  <c r="K16" i="13" s="1"/>
  <c r="Q16" i="13" s="1"/>
  <c r="P14" i="13"/>
  <c r="W14" i="13"/>
  <c r="G17" i="13"/>
  <c r="L17" i="13" s="1"/>
  <c r="S17" i="13" s="1"/>
  <c r="G15" i="14"/>
  <c r="F16" i="14"/>
  <c r="D7" i="5" l="1"/>
  <c r="G18" i="13"/>
  <c r="G20" i="13" s="1"/>
  <c r="F17" i="13"/>
  <c r="W17" i="13"/>
  <c r="P17" i="13"/>
  <c r="N16" i="13"/>
  <c r="U16" i="13"/>
  <c r="F17" i="14"/>
  <c r="K16" i="14"/>
  <c r="G16" i="14"/>
  <c r="L16" i="14" s="1"/>
  <c r="L15" i="14"/>
  <c r="B12" i="5" l="1"/>
  <c r="D8" i="5"/>
  <c r="B10" i="5"/>
  <c r="W16" i="14"/>
  <c r="P16" i="14"/>
  <c r="L20" i="13"/>
  <c r="G21" i="13"/>
  <c r="L21" i="13" s="1"/>
  <c r="S21" i="13" s="1"/>
  <c r="K17" i="13"/>
  <c r="Q17" i="13" s="1"/>
  <c r="F18" i="13"/>
  <c r="K18" i="13" s="1"/>
  <c r="Q18" i="13" s="1"/>
  <c r="L18" i="13"/>
  <c r="S18" i="13" s="1"/>
  <c r="G22" i="13"/>
  <c r="L22" i="13" s="1"/>
  <c r="S22" i="13" s="1"/>
  <c r="F18" i="14"/>
  <c r="K18" i="14" s="1"/>
  <c r="K17" i="14"/>
  <c r="D13" i="5" l="1"/>
  <c r="D12" i="5"/>
  <c r="D11" i="5"/>
  <c r="B13" i="5"/>
  <c r="D9" i="5"/>
  <c r="U18" i="14"/>
  <c r="N18" i="14"/>
  <c r="U17" i="14"/>
  <c r="N17" i="14"/>
  <c r="N17" i="13"/>
  <c r="U17" i="13"/>
  <c r="U18" i="13"/>
  <c r="N18" i="13"/>
  <c r="W21" i="13"/>
  <c r="P21" i="13"/>
  <c r="F19" i="13"/>
  <c r="K19" i="13" s="1"/>
  <c r="Q19" i="13" s="1"/>
  <c r="P22" i="13"/>
  <c r="W22" i="13"/>
  <c r="P18" i="13"/>
  <c r="W18" i="13"/>
  <c r="P20" i="13"/>
  <c r="W20" i="13"/>
  <c r="U19" i="13" l="1"/>
  <c r="N19" i="13"/>
  <c r="F20" i="13"/>
  <c r="K20" i="13" l="1"/>
  <c r="Q20" i="13" s="1"/>
  <c r="F21" i="13"/>
  <c r="K21" i="13" l="1"/>
  <c r="Q21" i="13" s="1"/>
  <c r="F22" i="13"/>
  <c r="K22" i="13" s="1"/>
  <c r="Q22" i="13" s="1"/>
  <c r="U20" i="13"/>
  <c r="N20" i="13"/>
  <c r="N22" i="13" l="1"/>
  <c r="U22" i="13"/>
  <c r="N21" i="13"/>
  <c r="U21" i="13"/>
</calcChain>
</file>

<file path=xl/sharedStrings.xml><?xml version="1.0" encoding="utf-8"?>
<sst xmlns="http://schemas.openxmlformats.org/spreadsheetml/2006/main" count="12246" uniqueCount="3626">
  <si>
    <t>XGH-DT4A</t>
  </si>
  <si>
    <t>Slot</t>
    <phoneticPr fontId="1" type="noConversion"/>
  </si>
  <si>
    <t>Header</t>
    <phoneticPr fontId="1" type="noConversion"/>
  </si>
  <si>
    <t>I</t>
    <phoneticPr fontId="1" type="noConversion"/>
  </si>
  <si>
    <t>Q</t>
    <phoneticPr fontId="1" type="noConversion"/>
  </si>
  <si>
    <t>U</t>
    <phoneticPr fontId="1" type="noConversion"/>
  </si>
  <si>
    <t>-</t>
    <phoneticPr fontId="1" type="noConversion"/>
  </si>
  <si>
    <t>Byte Offset</t>
    <phoneticPr fontId="1" type="noConversion"/>
  </si>
  <si>
    <t>Input Refresh</t>
    <phoneticPr fontId="1" type="noConversion"/>
  </si>
  <si>
    <t>Output Refresh</t>
    <phoneticPr fontId="1" type="noConversion"/>
  </si>
  <si>
    <t>MW</t>
    <phoneticPr fontId="1" type="noConversion"/>
  </si>
  <si>
    <t>Device type</t>
    <phoneticPr fontId="1" type="noConversion"/>
  </si>
  <si>
    <t>Start Addr. Read</t>
    <phoneticPr fontId="1" type="noConversion"/>
  </si>
  <si>
    <t>Start Addr. Write</t>
    <phoneticPr fontId="1" type="noConversion"/>
  </si>
  <si>
    <t>Input</t>
    <phoneticPr fontId="1" type="noConversion"/>
  </si>
  <si>
    <t>Output</t>
    <phoneticPr fontId="1" type="noConversion"/>
  </si>
  <si>
    <t>Module Name</t>
    <phoneticPr fontId="1" type="noConversion"/>
  </si>
  <si>
    <t>Total Refresh Data Size[Byte]</t>
    <phoneticPr fontId="1" type="noConversion"/>
  </si>
  <si>
    <t>Total Refresh Data Size [Word]</t>
    <phoneticPr fontId="1" type="noConversion"/>
  </si>
  <si>
    <t>Description</t>
    <phoneticPr fontId="1" type="noConversion"/>
  </si>
  <si>
    <t>Smart_IO</t>
  </si>
  <si>
    <t>Smart_IO</t>
    <phoneticPr fontId="1" type="noConversion"/>
  </si>
  <si>
    <t>Expansion_Driver</t>
    <phoneticPr fontId="1" type="noConversion"/>
  </si>
  <si>
    <t>Expansion_Driver</t>
    <phoneticPr fontId="1" type="noConversion"/>
  </si>
  <si>
    <t>Expansion_Smart_IO</t>
    <phoneticPr fontId="1" type="noConversion"/>
  </si>
  <si>
    <t>Expansion_Smart_IO</t>
    <phoneticPr fontId="1" type="noConversion"/>
  </si>
  <si>
    <t>Counts</t>
  </si>
  <si>
    <t>Word</t>
  </si>
  <si>
    <t>READING</t>
  </si>
  <si>
    <t>WRITING</t>
  </si>
  <si>
    <t>Modbus Addr. Map</t>
  </si>
  <si>
    <t>Length</t>
  </si>
  <si>
    <t>XGI-D21A</t>
  </si>
  <si>
    <t>XGI-D22A</t>
  </si>
  <si>
    <t>XGI-D22B</t>
  </si>
  <si>
    <t>XGI-D24A</t>
  </si>
  <si>
    <t>XGI-D24B</t>
  </si>
  <si>
    <t>XGI-D28A</t>
  </si>
  <si>
    <t>XGI-D28B</t>
  </si>
  <si>
    <t>XGI-A12A</t>
  </si>
  <si>
    <t>XGI-A21A</t>
  </si>
  <si>
    <t>XGI-A21C</t>
  </si>
  <si>
    <t>XGI-D21D</t>
  </si>
  <si>
    <t>XGQ-RY1A</t>
  </si>
  <si>
    <t>XGQ-RY2A</t>
  </si>
  <si>
    <t>XGQ-RY2B</t>
  </si>
  <si>
    <t>XGQ-TR1C</t>
  </si>
  <si>
    <t>XGQ-TR2A</t>
  </si>
  <si>
    <t>XGQ-TR2B</t>
  </si>
  <si>
    <t>XGQ-TR4A</t>
  </si>
  <si>
    <t>XGQ-TR4B</t>
  </si>
  <si>
    <t>XGQ-TR8A</t>
  </si>
  <si>
    <t>XGQ-TR8B</t>
  </si>
  <si>
    <t>XGQ-SS2A</t>
  </si>
  <si>
    <t>XGQ-RY1D</t>
  </si>
  <si>
    <t>XGF-AV8A</t>
  </si>
  <si>
    <t>XGF-AC8A</t>
  </si>
  <si>
    <t>XGF-AD4S</t>
  </si>
  <si>
    <t>XGF-AD8A</t>
  </si>
  <si>
    <t>XGF-AD16A</t>
  </si>
  <si>
    <t>XGF-AC4H</t>
  </si>
  <si>
    <t>XGF-AW4S</t>
  </si>
  <si>
    <t>XGF-DV4A</t>
  </si>
  <si>
    <t>XGF-DV8A</t>
  </si>
  <si>
    <t>XGF-DC4A</t>
  </si>
  <si>
    <t>XGF-DC8A</t>
  </si>
  <si>
    <t>XGF-DV4S</t>
  </si>
  <si>
    <t>XGF-DC4S</t>
  </si>
  <si>
    <t>XGF-DC4H</t>
  </si>
  <si>
    <t>XGF-AH6A</t>
  </si>
  <si>
    <t>XGF-HO2A</t>
  </si>
  <si>
    <t>XGF-HD2A</t>
  </si>
  <si>
    <t>XGF-HO8A</t>
  </si>
  <si>
    <t>XGF-RD4A</t>
  </si>
  <si>
    <t>XGF-RD4S</t>
  </si>
  <si>
    <t>XGF-TC4S</t>
  </si>
  <si>
    <t>XGF-RD8A</t>
  </si>
  <si>
    <t>XGF-TC4UD</t>
  </si>
  <si>
    <t>XGF-TC4RT</t>
  </si>
  <si>
    <t>XGH-DT4A</t>
    <phoneticPr fontId="1" type="noConversion"/>
  </si>
  <si>
    <t>XBE-DC08A</t>
  </si>
  <si>
    <t>XBE-DC16A</t>
  </si>
  <si>
    <t>XBE-DC16B</t>
  </si>
  <si>
    <t>XBE-DC32A</t>
  </si>
  <si>
    <t>XBE-AC08A</t>
  </si>
  <si>
    <t>XBE-TN08A</t>
  </si>
  <si>
    <t>XBE-TP08A</t>
  </si>
  <si>
    <t>XBE-TN16A</t>
  </si>
  <si>
    <t>XBE-TP16A</t>
  </si>
  <si>
    <t>XBE-TN32A</t>
  </si>
  <si>
    <t>XBE-TP32A</t>
  </si>
  <si>
    <t>XBE-RY08A</t>
  </si>
  <si>
    <t>XBE-RY08B</t>
  </si>
  <si>
    <t>XBE-RY16A</t>
  </si>
  <si>
    <t>XBE-DR16A</t>
  </si>
  <si>
    <t>XBE-DN32A</t>
  </si>
  <si>
    <t>XBF-AD04A</t>
  </si>
  <si>
    <t>XBF-AD08A</t>
  </si>
  <si>
    <t>XBF-AD04C</t>
  </si>
  <si>
    <t>XBF-DV04A</t>
  </si>
  <si>
    <t>XBF-DC04A</t>
  </si>
  <si>
    <t>XBF-DC04B</t>
  </si>
  <si>
    <t>XBF-DV04C</t>
  </si>
  <si>
    <t>XBF-DC04C</t>
  </si>
  <si>
    <t>XBF-AH04A</t>
  </si>
  <si>
    <t>XBF-RD04A</t>
  </si>
  <si>
    <t>XBF-RD01A</t>
  </si>
  <si>
    <t>XBF-TC04B</t>
  </si>
  <si>
    <t>XBF-TC04S</t>
  </si>
  <si>
    <t>XBF-LD02S</t>
  </si>
  <si>
    <t>XBF-HO02A</t>
  </si>
  <si>
    <t>XBF-HD02A</t>
  </si>
  <si>
    <t>product name</t>
  </si>
  <si>
    <t>Input [Byte]</t>
  </si>
  <si>
    <t>Output [Byte]</t>
  </si>
  <si>
    <t>BLOCK I/O</t>
  </si>
  <si>
    <t>XGT I/O</t>
  </si>
  <si>
    <t>XGB I/O</t>
  </si>
  <si>
    <t>Header</t>
  </si>
  <si>
    <t>Expansion_Smart_IO</t>
  </si>
  <si>
    <t xml:space="preserve">Offset = </t>
  </si>
  <si>
    <t>Modbus Addr. Map (Decimal)</t>
  </si>
  <si>
    <t>SELECT -&gt;</t>
  </si>
  <si>
    <t>XBF-AH04A_ERR</t>
  </si>
  <si>
    <t>BIT</t>
  </si>
  <si>
    <t>XBF-AH04A_RDY</t>
  </si>
  <si>
    <t>0.F</t>
  </si>
  <si>
    <t>XBF-AH04A_AD0_ACT</t>
  </si>
  <si>
    <t>XBF-AH04A_AD1_ACT</t>
  </si>
  <si>
    <t>XBF-AH04A_DA0_ACT</t>
  </si>
  <si>
    <t>XBF-AH04A_DA1_ACT</t>
  </si>
  <si>
    <t>XBF-AH04A_AD0_IDD</t>
  </si>
  <si>
    <t>XBF-AH04A_AD1_IDD</t>
  </si>
  <si>
    <t>XBF-AH04A_AD0_ERR</t>
  </si>
  <si>
    <t>XBF-AH04A_AD1_ERR</t>
  </si>
  <si>
    <t>XBF-AH04A_DA0_ERR</t>
  </si>
  <si>
    <t>1.A</t>
  </si>
  <si>
    <t>XBF-AH04A_DA1_ERR</t>
  </si>
  <si>
    <t>1.B</t>
  </si>
  <si>
    <t>WORD</t>
  </si>
  <si>
    <t>Reserved</t>
  </si>
  <si>
    <t>XBF-AH04A_AD0_DATA</t>
  </si>
  <si>
    <t>XBF-AH04A_AD1_DATA</t>
  </si>
  <si>
    <t>XBF-AH04A_DA0_OUTEN</t>
  </si>
  <si>
    <t>XBF-AH04A_DA1_OUTEN</t>
  </si>
  <si>
    <t>XBF-AH04A_DA0_DATA</t>
  </si>
  <si>
    <t>XBF-AH04A_DA1_DATA</t>
  </si>
  <si>
    <t>Select slot</t>
    <phoneticPr fontId="1" type="noConversion"/>
  </si>
  <si>
    <t>Data type</t>
    <phoneticPr fontId="1" type="noConversion"/>
  </si>
  <si>
    <t>Flag</t>
    <phoneticPr fontId="1" type="noConversion"/>
  </si>
  <si>
    <t>Word(16BIT) Offset</t>
    <phoneticPr fontId="1" type="noConversion"/>
  </si>
  <si>
    <t>Input</t>
  </si>
  <si>
    <t>Analog IO Module: Module error</t>
  </si>
  <si>
    <t>Analog IO Module: Module ready</t>
  </si>
  <si>
    <t>Analog IO Module: Input Channel 0 Running</t>
  </si>
  <si>
    <t>Analog IO Module: Input Channel 1 Running</t>
  </si>
  <si>
    <t>Analog IO Module: Output Channel 0 Running</t>
  </si>
  <si>
    <t>Analog IO Module: Output Channel 1 Running</t>
  </si>
  <si>
    <t>Analog IO Module: Input Channel 0  Disconnection Flag</t>
  </si>
  <si>
    <t>Analog IO Module: Input Channel 1  Disconnection Flag</t>
  </si>
  <si>
    <t>Analog IO Module: Input Channel 0 error</t>
  </si>
  <si>
    <t>Analog IO Module: Input Channel 1 error</t>
  </si>
  <si>
    <t>Analog IO Module: Output Channel 0 error</t>
  </si>
  <si>
    <t>Analog IO Module: Output Channel 1 error</t>
  </si>
  <si>
    <t>Analog IO Module: Input Channel 0  Digital Output Data</t>
  </si>
  <si>
    <t>Analog IO Module: Input Channel 1  Digital Output Data</t>
  </si>
  <si>
    <t>Output</t>
  </si>
  <si>
    <t>Analog IO Module: Output channel 0 output enable</t>
  </si>
  <si>
    <t>Analog IO Module: Output channel 1 output enable</t>
  </si>
  <si>
    <t>Analog IO Module: Output Channel 0 Digital Input Data</t>
  </si>
  <si>
    <t>Analog IO Module: Output Channel 1 Digital Input Data</t>
  </si>
  <si>
    <t>Detailed Devices Info.</t>
    <phoneticPr fontId="1" type="noConversion"/>
  </si>
  <si>
    <t>XGF-AD16A_ERR</t>
  </si>
  <si>
    <t>Analog input module: Module error</t>
  </si>
  <si>
    <t>XGF-AD16A_RDY</t>
  </si>
  <si>
    <t>Analog input module: Module ready</t>
  </si>
  <si>
    <t>XGF-AD16A_CH0_ACT</t>
  </si>
  <si>
    <t>Analog input module: CH0 RUN</t>
  </si>
  <si>
    <t>XGF-AD16A_CH1_ACT</t>
  </si>
  <si>
    <t>Analog input module: CH1 RUN</t>
  </si>
  <si>
    <t>XGF-AD16A_CH2_ACT</t>
  </si>
  <si>
    <t>Analog input module: CH2 RUN</t>
  </si>
  <si>
    <t>XGF-AD16A_CH3_ACT</t>
  </si>
  <si>
    <t>Analog input module: CH3 RUN</t>
  </si>
  <si>
    <t>XGF-AD16A_CH4_ACT</t>
  </si>
  <si>
    <t>Analog input module: CH4 RUN</t>
  </si>
  <si>
    <t>XGF-AD16A_CH5_ACT</t>
  </si>
  <si>
    <t>Analog input module: CH5 RUN</t>
  </si>
  <si>
    <t>XGF-AD16A_CH6_ACT</t>
  </si>
  <si>
    <t>Analog input module: CH6 RUN</t>
  </si>
  <si>
    <t>XGF-AD16A_CH7_ACT</t>
  </si>
  <si>
    <t>Analog input module: CH7 RUN</t>
  </si>
  <si>
    <t>XGF-AD16A_CH8_ACT</t>
  </si>
  <si>
    <t>Analog input module: CH8 RUN</t>
  </si>
  <si>
    <t>XGF-AD16A_CH9_ACT</t>
  </si>
  <si>
    <t>Analog input module: CH9 RUN</t>
  </si>
  <si>
    <t>XGF-AD16A_CH10_ACT</t>
  </si>
  <si>
    <t>Analog input module: CH10 RUN</t>
  </si>
  <si>
    <t>XGF-AD16A_CH11_ACT</t>
  </si>
  <si>
    <t>Analog input module: CH11 RUN</t>
  </si>
  <si>
    <t>XGF-AD16A_CH12_ACT</t>
  </si>
  <si>
    <t>1.C</t>
  </si>
  <si>
    <t>Analog input module: CH12 RUN</t>
  </si>
  <si>
    <t>XGF-AD16A_CH13_ACT</t>
  </si>
  <si>
    <t>1.D</t>
  </si>
  <si>
    <t>Analog input module: CH13 RUN</t>
  </si>
  <si>
    <t>XGF-AD16A_CH14_ACT</t>
  </si>
  <si>
    <t>1.E</t>
  </si>
  <si>
    <t>Analog input module: CH14 RUN</t>
  </si>
  <si>
    <t>XGF-AD16A_CH15_ACT</t>
  </si>
  <si>
    <t>1.F</t>
  </si>
  <si>
    <t>Analog input module: CH15 RUN</t>
  </si>
  <si>
    <t>XGF-AD16A_CH0_DATA</t>
  </si>
  <si>
    <t>Analog input module: CH0 conversion value</t>
  </si>
  <si>
    <t>XGF-AD16A_CH1_DATA</t>
  </si>
  <si>
    <t>Analog input module: CH1 conversion value</t>
  </si>
  <si>
    <t>XGF-AD16A_CH2_DATA</t>
  </si>
  <si>
    <t>Analog input module: CH2 conversion value</t>
  </si>
  <si>
    <t>XGF-AD16A_CH3_DATA</t>
  </si>
  <si>
    <t>Analog input module: CH3 conversion value</t>
  </si>
  <si>
    <t>XGF-AD16A_CH4_DATA</t>
  </si>
  <si>
    <t>Analog input module: CH4 conversion value</t>
  </si>
  <si>
    <t>XGF-AD16A_CH5_DATA</t>
  </si>
  <si>
    <t>Analog input module: CH5 conversion value</t>
  </si>
  <si>
    <t>XGF-AD16A_CH6_DATA</t>
  </si>
  <si>
    <t>Analog input module: CH6 conversion value</t>
  </si>
  <si>
    <t>XGF-AD16A_CH7_DATA</t>
  </si>
  <si>
    <t>Analog input module: CH7 conversion value</t>
  </si>
  <si>
    <t>XGF-AD16A_CH8_DATA</t>
  </si>
  <si>
    <t>Analog input module: CH8 conversion value</t>
  </si>
  <si>
    <t>XGF-AD16A_CH9_DATA</t>
  </si>
  <si>
    <t>Analog input module: CH9 conversion value</t>
  </si>
  <si>
    <t>XGF-AD16A_CH10_DATA</t>
  </si>
  <si>
    <t>Analog input module: CH10 conversion value</t>
  </si>
  <si>
    <t>XGF-AD16A_CH11_DATA</t>
  </si>
  <si>
    <t>Analog input module: CH11 conversion value</t>
  </si>
  <si>
    <t>XGF-AD16A_CH12_DATA</t>
  </si>
  <si>
    <t>Analog input module: CH12 conversion value</t>
  </si>
  <si>
    <t>XGF-AD16A_CH13_DATA</t>
  </si>
  <si>
    <t>Analog input module: CH13 conversion value</t>
  </si>
  <si>
    <t>XGF-AD16A_CH14_DATA</t>
  </si>
  <si>
    <t>Analog input module: CH14 conversion value</t>
  </si>
  <si>
    <t>XGF-AD16A_CH15_DATA</t>
  </si>
  <si>
    <t>Analog input module: CH15 conversion value</t>
  </si>
  <si>
    <t>XGF-AD16A_CH0_IDD</t>
  </si>
  <si>
    <t>Analog input module: CH0 input disconnection detection</t>
  </si>
  <si>
    <t>XGF-AD16A_CH1_IDD</t>
  </si>
  <si>
    <t>Analog input module: CH1 input disconnection detection</t>
  </si>
  <si>
    <t>XGF-AD16A_CH2_IDD</t>
  </si>
  <si>
    <t>Analog input module: CH2 input disconnection detection</t>
  </si>
  <si>
    <t>XGF-AD16A_CH3_IDD</t>
  </si>
  <si>
    <t>Analog input module: CH3 input disconnection detection</t>
  </si>
  <si>
    <t>XGF-AD16A_CH4_IDD</t>
  </si>
  <si>
    <t>Analog input module: CH4 input disconnection detection</t>
  </si>
  <si>
    <t>XGF-AD16A_CH5_IDD</t>
  </si>
  <si>
    <t>Analog input module: CH5 input disconnection detection</t>
  </si>
  <si>
    <t>XGF-AD16A_CH6_IDD</t>
  </si>
  <si>
    <t>Analog input module: CH6 input disconnection detection</t>
  </si>
  <si>
    <t>XGF-AD16A_CH7_IDD</t>
  </si>
  <si>
    <t>Analog input module: CH7 input disconnection detection</t>
  </si>
  <si>
    <t>XGF-AD16A_CH8_IDD</t>
  </si>
  <si>
    <t>Analog input module: CH8 input disconnection detection</t>
  </si>
  <si>
    <t>XGF-AD16A_CH9_IDD</t>
  </si>
  <si>
    <t>Analog input module: CH9 input disconnection detection</t>
  </si>
  <si>
    <t>XGF-AD16A_CH10_IDD</t>
  </si>
  <si>
    <t>18.A</t>
  </si>
  <si>
    <t>Analog input module: CH10 input disconnection detection</t>
  </si>
  <si>
    <t>XGF-AD16A_CH11_IDD</t>
  </si>
  <si>
    <t>18.B</t>
  </si>
  <si>
    <t>Analog input module: CH11 input disconnection detection</t>
  </si>
  <si>
    <t>XGF-AD16A_CH12_IDD</t>
  </si>
  <si>
    <t>18.C</t>
  </si>
  <si>
    <t>Analog input module: CH12 input disconnection detection</t>
  </si>
  <si>
    <t>XGF-AD16A_CH13_IDD</t>
  </si>
  <si>
    <t>18.D</t>
  </si>
  <si>
    <t>Analog input module: CH13 input disconnection detection</t>
  </si>
  <si>
    <t>XGF-AD16A_CH14_IDD</t>
  </si>
  <si>
    <t>18.E</t>
  </si>
  <si>
    <t>Analog input module: CH14 input disconnection detection</t>
  </si>
  <si>
    <t>XGF-AD16A_CH15_IDD</t>
  </si>
  <si>
    <t>18.F</t>
  </si>
  <si>
    <t>Analog input module: CH15 input disconnection detection</t>
  </si>
  <si>
    <t>XGF-AD16A_ERR_CLR</t>
  </si>
  <si>
    <t>Analog input module: Error clear request (Reserved)</t>
  </si>
  <si>
    <t>XGF-AD16A_CH0_HOOR</t>
  </si>
  <si>
    <t>Analog input module: Channel 0 upper limit alarm</t>
  </si>
  <si>
    <t>XGF-AD16A_CH1_HOOR</t>
  </si>
  <si>
    <t>Analog input module: Channel 1 upper limit alarm</t>
  </si>
  <si>
    <t>XGF-AD16A_CH2_HOOR</t>
  </si>
  <si>
    <t>Analog input module: Channel 2 upper limit alarm</t>
  </si>
  <si>
    <t>XGF-AD16A_CH3_HOOR</t>
  </si>
  <si>
    <t>Analog input module: Channel 3 upper limit alarm</t>
  </si>
  <si>
    <t>XGF-AD16A_CH4_HOOR</t>
  </si>
  <si>
    <t>Analog input module: Channel 4 upper limit alarm</t>
  </si>
  <si>
    <t>XGF-AD16A_CH5_HOOR</t>
  </si>
  <si>
    <t>Analog input module: Channel 5 upper limit alarm</t>
  </si>
  <si>
    <t>XGF-AD16A_CH6_HOOR</t>
  </si>
  <si>
    <t>Analog input module: Channel 6 upper limit alarm</t>
  </si>
  <si>
    <t>XGF-AD16A_CH7_HOOR</t>
  </si>
  <si>
    <t>Analog input module: Channel 7 upper limit alarm</t>
  </si>
  <si>
    <t>XGF-AD16A_CH8_HOOR</t>
  </si>
  <si>
    <t>Analog input module: Channel 8 upper limit alarm</t>
  </si>
  <si>
    <t>XGF-AD16A_CH9_HOOR</t>
  </si>
  <si>
    <t>Analog input module: Channel 9 upper limit alarm</t>
  </si>
  <si>
    <t>XGF-AD16A_CH10_HOOR</t>
  </si>
  <si>
    <t>20.A</t>
  </si>
  <si>
    <t>Analog input module: Channel 10 upper limit alarm</t>
  </si>
  <si>
    <t>XGF-AD16A_CH11_HOOR</t>
  </si>
  <si>
    <t>20.B</t>
  </si>
  <si>
    <t>Analog input module: Channel 11 upper limit alarm</t>
  </si>
  <si>
    <t>XGF-AD16A_CH12_HOOR</t>
  </si>
  <si>
    <t>20.C</t>
  </si>
  <si>
    <t>Analog input module: Channel 12 upper limit alarm</t>
  </si>
  <si>
    <t>XGF-AD16A_CH13_HOOR</t>
  </si>
  <si>
    <t>20.D</t>
  </si>
  <si>
    <t>Analog input module: Channel 13 upper limit alarm</t>
  </si>
  <si>
    <t>XGF-AD16A_CH14_HOOR</t>
  </si>
  <si>
    <t>20.E</t>
  </si>
  <si>
    <t>Analog input module: Channel 14 upper limit alarm</t>
  </si>
  <si>
    <t>XGF-AD16A_CH15_HOOR</t>
  </si>
  <si>
    <t>20.F</t>
  </si>
  <si>
    <t>Analog input module: Channel 15 upper limit alarm</t>
  </si>
  <si>
    <t>XGF-AD16A_CH0_LOOR</t>
  </si>
  <si>
    <t>Analog input module: Channel 0 lower limit alarm</t>
  </si>
  <si>
    <t>XGF-AD16A_CH1_LOOR</t>
  </si>
  <si>
    <t>Analog input module: Channel 1 lower limit alarm</t>
  </si>
  <si>
    <t>XGF-AD16A_CH2_LOOR</t>
  </si>
  <si>
    <t>Analog input module: Channel 2 lower limit alarm</t>
  </si>
  <si>
    <t>XGF-AD16A_CH3_LOOR</t>
  </si>
  <si>
    <t>Analog input module: Channel 3 lower limit alarm</t>
  </si>
  <si>
    <t>XGF-AD16A_CH4_LOOR</t>
  </si>
  <si>
    <t>Analog input module: Channel 4 lower limit alarm</t>
  </si>
  <si>
    <t>XGF-AD16A_CH5_LOOR</t>
  </si>
  <si>
    <t>Analog input module: Channel 5 lower limit alarm</t>
  </si>
  <si>
    <t>XGF-AD16A_CH6_LOOR</t>
  </si>
  <si>
    <t>Analog input module: Channel 6 lower limit alarm</t>
  </si>
  <si>
    <t>XGF-AD16A_CH7_LOOR</t>
  </si>
  <si>
    <t>Analog input module: Channel 7 lower limit alarm</t>
  </si>
  <si>
    <t>XGF-AD16A_CH8_LOOR</t>
  </si>
  <si>
    <t>Analog input module: Channel 8 lower limit alarm</t>
  </si>
  <si>
    <t>XGF-AD16A_CH9_LOOR</t>
  </si>
  <si>
    <t>Analog input module: Channel 9 lower limit alarm</t>
  </si>
  <si>
    <t>XGF-AD16A_CH10_LOOR</t>
  </si>
  <si>
    <t>21.A</t>
  </si>
  <si>
    <t>Analog input module: Channel 10 lower limit alarm</t>
  </si>
  <si>
    <t>XGF-AD16A_CH11_LOOR</t>
  </si>
  <si>
    <t>21.B</t>
  </si>
  <si>
    <t>Analog input module: Channel 11 lower limit alarm</t>
  </si>
  <si>
    <t>XGF-AD16A_CH12_LOOR</t>
  </si>
  <si>
    <t>21.C</t>
  </si>
  <si>
    <t>Analog input module: Channel 12 lower limit alarm</t>
  </si>
  <si>
    <t>XGF-AD16A_CH13_LOOR</t>
  </si>
  <si>
    <t>21.D</t>
  </si>
  <si>
    <t>Analog input module: Channel 13 lower limit alarm</t>
  </si>
  <si>
    <t>XGF-AD16A_CH14_LOOR</t>
  </si>
  <si>
    <t>21.E</t>
  </si>
  <si>
    <t>Analog input module: Channel 14 lower limit alarm</t>
  </si>
  <si>
    <t>XGF-AD16A_CH15_LOOR</t>
  </si>
  <si>
    <t>21.F</t>
  </si>
  <si>
    <t>Analog input module: Channel 15 lower limit alarm</t>
  </si>
  <si>
    <t>Product Name</t>
    <phoneticPr fontId="1" type="noConversion"/>
  </si>
  <si>
    <t>Input Count</t>
    <phoneticPr fontId="1" type="noConversion"/>
  </si>
  <si>
    <t>Output Count</t>
    <phoneticPr fontId="1" type="noConversion"/>
  </si>
  <si>
    <t>GEL-D24C</t>
  </si>
  <si>
    <t>GEL-RY2C</t>
  </si>
  <si>
    <t>GEL-TR4C1</t>
  </si>
  <si>
    <t>GEL-DT4C1</t>
  </si>
  <si>
    <t>GEL-AC8C</t>
  </si>
  <si>
    <t>GEL-AV8C</t>
  </si>
  <si>
    <t>GEL-DC4C</t>
  </si>
  <si>
    <t>GEL-DV4C</t>
  </si>
  <si>
    <t>XGF-AV8A_ERR</t>
  </si>
  <si>
    <t>XGF-AV8A_RDY</t>
  </si>
  <si>
    <t>XGF-AV8A_CH0_ACT</t>
  </si>
  <si>
    <t>XGF-AV8A_CH1_ACT</t>
  </si>
  <si>
    <t>XGF-AV8A_CH2_ACT</t>
  </si>
  <si>
    <t>XGF-AV8A_CH3_ACT</t>
  </si>
  <si>
    <t>XGF-AV8A_CH4_ACT</t>
  </si>
  <si>
    <t>XGF-AV8A_CH5_ACT</t>
  </si>
  <si>
    <t>XGF-AV8A_CH6_ACT</t>
  </si>
  <si>
    <t>XGF-AV8A_CH7_ACT</t>
  </si>
  <si>
    <t>XGF-AV8A_CH0_DATA</t>
  </si>
  <si>
    <t>XGF-AV8A_CH1_DATA</t>
  </si>
  <si>
    <t>XGF-AV8A_CH2_DATA</t>
  </si>
  <si>
    <t>XGF-AV8A_CH3_DATA</t>
  </si>
  <si>
    <t>XGF-AV8A_CH4_DATA</t>
  </si>
  <si>
    <t>XGF-AV8A_CH5_DATA</t>
  </si>
  <si>
    <t>XGF-AV8A_CH6_DATA</t>
  </si>
  <si>
    <t>XGF-AV8A_CH7_DATA</t>
  </si>
  <si>
    <t>XGF-AV8A_CH0_IDD</t>
  </si>
  <si>
    <t>XGF-AV8A_CH1_IDD</t>
  </si>
  <si>
    <t>XGF-AV8A_CH2_IDD</t>
  </si>
  <si>
    <t>XGF-AV8A_CH3_IDD</t>
  </si>
  <si>
    <t>XGF-AV8A_CH4_IDD</t>
  </si>
  <si>
    <t>XGF-AV8A_CH5_IDD</t>
  </si>
  <si>
    <t>XGF-AV8A_CH6_IDD</t>
  </si>
  <si>
    <t>XGF-AV8A_CH7_IDD</t>
  </si>
  <si>
    <t>XGF-AV8A_CH0_HOOR</t>
  </si>
  <si>
    <t>XGF-AV8A_CH1_HOOR</t>
  </si>
  <si>
    <t>XGF-AV8A_CH2_HOOR</t>
  </si>
  <si>
    <t>XGF-AV8A_CH3_HOOR</t>
  </si>
  <si>
    <t>XGF-AV8A_CH4_HOOR</t>
  </si>
  <si>
    <t>XGF-AV8A_CH5_HOOR</t>
  </si>
  <si>
    <t>XGF-AV8A_CH6_HOOR</t>
  </si>
  <si>
    <t>XGF-AV8A_CH7_HOOR</t>
  </si>
  <si>
    <t>XGF-AV8A_CH0_LOOR</t>
  </si>
  <si>
    <t>XGF-AV8A_CH1_LOOR</t>
  </si>
  <si>
    <t>XGF-AV8A_CH2_LOOR</t>
  </si>
  <si>
    <t>XGF-AV8A_CH3_LOOR</t>
  </si>
  <si>
    <t>XGF-AV8A_CH4_LOOR</t>
  </si>
  <si>
    <t>XGF-AV8A_CH5_LOOR</t>
  </si>
  <si>
    <t>XGF-AV8A_CH6_LOOR</t>
  </si>
  <si>
    <t>XGF-AV8A_CH7_LOOR</t>
  </si>
  <si>
    <t>XGF-AV8A_ERR_CLR</t>
  </si>
  <si>
    <t>Analog input module: Error clear request</t>
  </si>
  <si>
    <t>XGF-AC8A_ERR</t>
  </si>
  <si>
    <t>XGF-AC8A_RDY</t>
  </si>
  <si>
    <t>XGF-AC8A_CH0_ACT</t>
  </si>
  <si>
    <t>XGF-AC8A_CH1_ACT</t>
  </si>
  <si>
    <t>XGF-AC8A_CH2_ACT</t>
  </si>
  <si>
    <t>XGF-AC8A_CH3_ACT</t>
  </si>
  <si>
    <t>XGF-AC8A_CH4_ACT</t>
  </si>
  <si>
    <t>XGF-AC8A_CH5_ACT</t>
  </si>
  <si>
    <t>XGF-AC8A_CH6_ACT</t>
  </si>
  <si>
    <t>XGF-AC8A_CH7_ACT</t>
  </si>
  <si>
    <t>XGF-AC8A_CH0_DATA</t>
  </si>
  <si>
    <t>XGF-AC8A_CH1_DATA</t>
  </si>
  <si>
    <t>XGF-AC8A_CH2_DATA</t>
  </si>
  <si>
    <t>XGF-AC8A_CH3_DATA</t>
  </si>
  <si>
    <t>XGF-AC8A_CH4_DATA</t>
  </si>
  <si>
    <t>XGF-AC8A_CH5_DATA</t>
  </si>
  <si>
    <t>XGF-AC8A_CH6_DATA</t>
  </si>
  <si>
    <t>XGF-AC8A_CH7_DATA</t>
  </si>
  <si>
    <t>XGF-AC8A_CH0_IDD</t>
  </si>
  <si>
    <t>XGF-AC8A_CH1_IDD</t>
  </si>
  <si>
    <t>XGF-AC8A_CH2_IDD</t>
  </si>
  <si>
    <t>XGF-AC8A_CH3_IDD</t>
  </si>
  <si>
    <t>XGF-AC8A_CH4_IDD</t>
  </si>
  <si>
    <t>XGF-AC8A_CH5_IDD</t>
  </si>
  <si>
    <t>XGF-AC8A_CH6_IDD</t>
  </si>
  <si>
    <t>XGF-AC8A_CH7_IDD</t>
  </si>
  <si>
    <t>XGF-AC8A_CH0_HOOR</t>
  </si>
  <si>
    <t>XGF-AC8A_CH1_HOOR</t>
  </si>
  <si>
    <t>XGF-AC8A_CH2_HOOR</t>
  </si>
  <si>
    <t>XGF-AC8A_CH3_HOOR</t>
  </si>
  <si>
    <t>XGF-AC8A_CH4_HOOR</t>
  </si>
  <si>
    <t>XGF-AC8A_CH5_HOOR</t>
  </si>
  <si>
    <t>XGF-AC8A_CH6_HOOR</t>
  </si>
  <si>
    <t>XGF-AC8A_CH7_HOOR</t>
  </si>
  <si>
    <t>XGF-AC8A_CH0_LOOR</t>
  </si>
  <si>
    <t>XGF-AC8A_CH1_LOOR</t>
  </si>
  <si>
    <t>XGF-AC8A_CH2_LOOR</t>
  </si>
  <si>
    <t>XGF-AC8A_CH3_LOOR</t>
  </si>
  <si>
    <t>XGF-AC8A_CH4_LOOR</t>
  </si>
  <si>
    <t>XGF-AC8A_CH5_LOOR</t>
  </si>
  <si>
    <t>XGF-AC8A_CH6_LOOR</t>
  </si>
  <si>
    <t>XGF-AC8A_CH7_LOOR</t>
  </si>
  <si>
    <t>XGF-AC8A_ERR_CLR</t>
  </si>
  <si>
    <t>XGF-AD8A_ERR</t>
  </si>
  <si>
    <t>XGF-AD8A_RDY</t>
  </si>
  <si>
    <t>00.F</t>
  </si>
  <si>
    <t>XGF-AD8A_CH0_ACT</t>
  </si>
  <si>
    <t>XGF-AD8A_CH1_ACT</t>
  </si>
  <si>
    <t>XGF-AD8A_CH2_ACT</t>
  </si>
  <si>
    <t>XGF-AD8A_CH3_ACT</t>
  </si>
  <si>
    <t>XGF-AD8A_CH4_ACT</t>
  </si>
  <si>
    <t>XGF-AD8A_CH5_ACT</t>
  </si>
  <si>
    <t>XGF-AD8A_CH6_ACT</t>
  </si>
  <si>
    <t>XGF-AD8A_CH7_ACT</t>
  </si>
  <si>
    <t>XGF-AD8A_CH0_DATA</t>
  </si>
  <si>
    <t>XGF-AD8A_CH1_DATA</t>
  </si>
  <si>
    <t>XGF-AD8A_CH2_DATA</t>
  </si>
  <si>
    <t>XGF-AD8A_CH3_DATA</t>
  </si>
  <si>
    <t>XGF-AD8A_CH4_DATA</t>
  </si>
  <si>
    <t>XGF-AD8A_CH5_DATA</t>
  </si>
  <si>
    <t>XGF-AD8A_CH6_DATA</t>
  </si>
  <si>
    <t>XGF-AD8A_CH7_DATA</t>
  </si>
  <si>
    <t>XGF-AD8A_CH0_IDD</t>
  </si>
  <si>
    <t>XGF-AD8A_CH1_IDD</t>
  </si>
  <si>
    <t>XGF-AD8A_CH2_IDD</t>
  </si>
  <si>
    <t>XGF-AD8A_CH3_IDD</t>
  </si>
  <si>
    <t>XGF-AD8A_CH4_IDD</t>
  </si>
  <si>
    <t>XGF-AD8A_CH5_IDD</t>
  </si>
  <si>
    <t>XGF-AD8A_CH6_IDD</t>
  </si>
  <si>
    <t>XGF-AD8A_CH7_IDD</t>
  </si>
  <si>
    <t>XGF-AD8A_CH0_HOOR</t>
  </si>
  <si>
    <t>XGF-AD8A_CH1_HOOR</t>
  </si>
  <si>
    <t>XGF-AD8A_CH2_HOOR</t>
  </si>
  <si>
    <t>XGF-AD8A_CH3_HOOR</t>
  </si>
  <si>
    <t>XGF-AD8A_CH4_HOOR</t>
  </si>
  <si>
    <t>XGF-AD8A_CH5_HOOR</t>
  </si>
  <si>
    <t>XGF-AD8A_CH6_HOOR</t>
  </si>
  <si>
    <t>XGF-AD8A_CH7_HOOR</t>
  </si>
  <si>
    <t>XGF-AD8A_CH0_LOOR</t>
  </si>
  <si>
    <t>XGF-AD8A_CH1_LOOR</t>
  </si>
  <si>
    <t>XGF-AD8A_CH2_LOOR</t>
  </si>
  <si>
    <t>XGF-AD8A_CH3_LOOR</t>
  </si>
  <si>
    <t>XGF-AD8A_CH4_LOOR</t>
  </si>
  <si>
    <t>XGF-AD8A_CH5_LOOR</t>
  </si>
  <si>
    <t>XGF-AD8A_CH6_LOOR</t>
  </si>
  <si>
    <t>XGF-AD8A_CH7_LOOR</t>
  </si>
  <si>
    <t>XGF-AD8A_ERR_CLR</t>
  </si>
  <si>
    <t>XGF-AD16A_ERR_CRT</t>
  </si>
  <si>
    <t>Analog input module: Error clear request (V1.02)</t>
  </si>
  <si>
    <t>XGF-AD4S_ERR</t>
  </si>
  <si>
    <t>Isolated Analog input module: Module error</t>
  </si>
  <si>
    <t>XGF-AD4S_RDY</t>
  </si>
  <si>
    <t>Isolated Analog input module: Module ready</t>
  </si>
  <si>
    <t>XGF-AD4S_CH0_ACT</t>
  </si>
  <si>
    <t>Isolated Analog input module: CH0 RUN</t>
  </si>
  <si>
    <t>XGF-AD4S_CH1_ACT</t>
  </si>
  <si>
    <t>Isolated Analog input module: CH1 RUN</t>
  </si>
  <si>
    <t>XGF-AD4S_CH2_ACT</t>
  </si>
  <si>
    <t>Isolated Analog input module: CH2 RUN</t>
  </si>
  <si>
    <t>XGF-AD4S_CH3_ACT</t>
  </si>
  <si>
    <t>Isolated Analog input module: CH3 RUN</t>
  </si>
  <si>
    <t>XGF-AD4S_CH0_DATA</t>
  </si>
  <si>
    <t>Isolated Analog input module: CH0 conversion value</t>
  </si>
  <si>
    <t>XGF-AD4S_CH1_DATA</t>
  </si>
  <si>
    <t>Isolated Analog input module: CH1 conversion value</t>
  </si>
  <si>
    <t>XGF-AD4S_CH2_DATA</t>
  </si>
  <si>
    <t>Isolated Analog input module: CH2 conversion value</t>
  </si>
  <si>
    <t>XGF-AD4S_CH3_DATA</t>
  </si>
  <si>
    <t>Isolated Analog input module: CH3 conversion value</t>
  </si>
  <si>
    <t>XGF-AD4S_CH0_PAHH</t>
  </si>
  <si>
    <t>Isolated Analog input module: CH0 process alarm HH</t>
  </si>
  <si>
    <t>XGF-AD4S_CH0_PAH</t>
  </si>
  <si>
    <t>Isolated Analog input module: CH0 process alarm H</t>
  </si>
  <si>
    <t>XGF-AD4S_CH0_PAL</t>
  </si>
  <si>
    <t>Isolated Analog input module: CH0 process alarm lower limit</t>
  </si>
  <si>
    <t>XGF-AD4S_CH0_PALL</t>
  </si>
  <si>
    <t>Isolated Analog input module: CH0 process alarm LL</t>
  </si>
  <si>
    <t>XGF-AD4S_CH1_PAHH</t>
  </si>
  <si>
    <t>Isolated Analog input module: CH1 process alarm HH</t>
  </si>
  <si>
    <t>XGF-AD4S_CH1_PAH</t>
  </si>
  <si>
    <t>Isolated Analog input module: CH1 process alarm H</t>
  </si>
  <si>
    <t>XGF-AD4S_CH1_PAL</t>
  </si>
  <si>
    <t>Isolated Analog input module: CH1 process alarm lower limit</t>
  </si>
  <si>
    <t>XGF-AD4S_CH1_PALL</t>
  </si>
  <si>
    <t>Isolated Analog input module: CH1 process alarm LL</t>
  </si>
  <si>
    <t>XGF-AD4S_CH2_PAHH</t>
  </si>
  <si>
    <t>Isolated Analog input module: CH2 process alarm HH</t>
  </si>
  <si>
    <t>XGF-AD4S_CH2_PAH</t>
  </si>
  <si>
    <t>Isolated Analog input module: CH2 process alarm H</t>
  </si>
  <si>
    <t>XGF-AD4S_CH2_PAL</t>
  </si>
  <si>
    <t>8.A</t>
  </si>
  <si>
    <t>Isolated Analog input module: CH2 process alarm lower limit</t>
  </si>
  <si>
    <t>XGF-AD4S_CH2_PALL</t>
  </si>
  <si>
    <t>8.B</t>
  </si>
  <si>
    <t>Isolated Analog input module: CH2 process alarm LL</t>
  </si>
  <si>
    <t>XGF-AD4S_CH3_PAHH</t>
  </si>
  <si>
    <t>8.C</t>
  </si>
  <si>
    <t>Isolated Analog input module: CH3 process alarm HH</t>
  </si>
  <si>
    <t>XGF-AD4S_CH3_PAH</t>
  </si>
  <si>
    <t>8.D</t>
  </si>
  <si>
    <t>Isolated Analog input module: CH3 process alarm H</t>
  </si>
  <si>
    <t>XGF-AD4S_CH3_PAL</t>
  </si>
  <si>
    <t>8.E</t>
  </si>
  <si>
    <t>Isolated Analog input module: CH3 process alarm lower limit</t>
  </si>
  <si>
    <t>XGF-AD4S_CH3_PALL</t>
  </si>
  <si>
    <t>8.F</t>
  </si>
  <si>
    <t>Isolated Analog input module: CH3 process alarm LL</t>
  </si>
  <si>
    <t>XGF-AD4S_CH0_RAH</t>
  </si>
  <si>
    <t>Isolated Analog input module: CH0 Rate Alarm High limit</t>
  </si>
  <si>
    <t>XGF-AD4S_CH0_RAL</t>
  </si>
  <si>
    <t>Isolated Analog input module: CH0 Rate Alarm Lower limit</t>
  </si>
  <si>
    <t>XGF-AD4S_CH1_RAH</t>
  </si>
  <si>
    <t>Isolated Analog input module: CH1 Rate Alarm High limit</t>
  </si>
  <si>
    <t>XGF-AD4S_CH1_RAL</t>
  </si>
  <si>
    <t>Isolated Analog input module: CH1 Rate Alarm Lower limit</t>
  </si>
  <si>
    <t>XGF-AD4S_CH2_RAH</t>
  </si>
  <si>
    <t>Isolated Analog input module: CH2 Rate Alarm High limit</t>
  </si>
  <si>
    <t>XGF-AD4S_CH2_RAL</t>
  </si>
  <si>
    <t>Isolated Analog input module: CH2 Rate Alarm Lower limit</t>
  </si>
  <si>
    <t>XGF-AD4S_CH3_RAH</t>
  </si>
  <si>
    <t>Isolated Analog input module: CH3 Rate Alarm High limit</t>
  </si>
  <si>
    <t>XGF-AD4S_CH3_RAL</t>
  </si>
  <si>
    <t>Isolated Analog input module: CH3 Rate Alarm Lower limit</t>
  </si>
  <si>
    <t>XGF-AD4S_CH0_IDD</t>
  </si>
  <si>
    <t>Isolated Analog input module: CH0 input disconnection detection</t>
  </si>
  <si>
    <t>XGF-AD4S_CH1_IDD</t>
  </si>
  <si>
    <t>Isolated Analog input module: CH1 input disconnection detection</t>
  </si>
  <si>
    <t>XGF-AD4S_CH2_IDD</t>
  </si>
  <si>
    <t>Isolated Analog input module: CH2 input disconnection detection</t>
  </si>
  <si>
    <t>XGF-AD4S_CH3_IDD</t>
  </si>
  <si>
    <t>Isolated Analog input module: CH3 input disconnection detection</t>
  </si>
  <si>
    <t>XGF-AD4S_ERR_CLR</t>
  </si>
  <si>
    <t>Isolated Analog input module: Error clear request</t>
  </si>
  <si>
    <t>XGF-AW4SERR</t>
  </si>
  <si>
    <t>2-Wire Analog Input Module: Module error</t>
  </si>
  <si>
    <t>XGF-AW4SRDY</t>
  </si>
  <si>
    <t>2-Wire Analog Input Module: Module ready</t>
  </si>
  <si>
    <t>XGF-AW4SCH0_ACT</t>
  </si>
  <si>
    <t>2-Wire Analog Input Module: CH0 RUN</t>
  </si>
  <si>
    <t>XGF-AW4SCH1_ACT</t>
  </si>
  <si>
    <t>2-Wire Analog Input Module: CH1 RUN</t>
  </si>
  <si>
    <t>XGF-AW4SCH2_ACT</t>
  </si>
  <si>
    <t>2-Wire Analog Input Module: CH2 RUN</t>
  </si>
  <si>
    <t>XGF-AW4SCH3_ACT</t>
  </si>
  <si>
    <t>2-Wire Analog Input Module: CH3 RUN</t>
  </si>
  <si>
    <t>XGF-AW4SCH0_DATA</t>
  </si>
  <si>
    <t>2-Wire Analog Input Module: CH0 conversion value</t>
  </si>
  <si>
    <t>XGF-AW4SCH1_DATA</t>
  </si>
  <si>
    <t>2-Wire Analog Input Module: CH1 conversion value</t>
  </si>
  <si>
    <t>XGF-AW4SCH2_DATA</t>
  </si>
  <si>
    <t>2-Wire Analog Input Module: CH2 conversion value</t>
  </si>
  <si>
    <t>XGF-AW4SCH3_DATA</t>
  </si>
  <si>
    <t>2-Wire Analog Input Module: CH3 conversion value</t>
  </si>
  <si>
    <t>XGF-AW4SCH0_PALL</t>
  </si>
  <si>
    <t>2-Wire Analog Input Module: CH0 process alarm LL</t>
  </si>
  <si>
    <t>XGF-AW4SCH0_PAL</t>
  </si>
  <si>
    <t>2-Wire Analog Input Module: CH0 process alarm lower limit</t>
  </si>
  <si>
    <t>XGF-AW4SCH0_PAH</t>
  </si>
  <si>
    <t>2-Wire Analog Input Module: CH0 process alarm H</t>
  </si>
  <si>
    <t>XGF-AW4SCH0_PAHH</t>
  </si>
  <si>
    <t>2-Wire Analog Input Module: CH0 process alarm HH</t>
  </si>
  <si>
    <t>XGF-AW4SCH1_PALL</t>
  </si>
  <si>
    <t>2-Wire Analog Input Module: CH1 process alarm LL</t>
  </si>
  <si>
    <t>XGF-AW4SCH1_PAL</t>
  </si>
  <si>
    <t>2-Wire Analog Input Module: CH1 process alarm lower limit</t>
  </si>
  <si>
    <t>XGF-AW4SCH1_PAH</t>
  </si>
  <si>
    <t>2-Wire Analog Input Module: CH1 process alarm H</t>
  </si>
  <si>
    <t>XGF-AW4SCH1_PAHH</t>
  </si>
  <si>
    <t>2-Wire Analog Input Module: CH1 process alarm HH</t>
  </si>
  <si>
    <t>XGF-AW4SCH2_PALL</t>
  </si>
  <si>
    <t>2-Wire Analog Input Module: CH2 process alarm LL</t>
  </si>
  <si>
    <t>XGF-AW4SCH2_PAL</t>
  </si>
  <si>
    <t>2-Wire Analog Input Module: CH2 process alarm lower limit</t>
  </si>
  <si>
    <t>XGF-AW4SCH2_PAH</t>
  </si>
  <si>
    <t>2-Wire Analog Input Module: CH2 process alarm H</t>
  </si>
  <si>
    <t>XGF-AW4SCH2_PAHH</t>
  </si>
  <si>
    <t>2-Wire Analog Input Module: CH2 process alarm HH</t>
  </si>
  <si>
    <t>XGF-AW4SCH3_PALL</t>
  </si>
  <si>
    <t>2-Wire Analog Input Module: CH3 process alarm LL</t>
  </si>
  <si>
    <t>XGF-AW4SCH3_PAL</t>
  </si>
  <si>
    <t>2-Wire Analog Input Module: CH3 process alarm lower limit</t>
  </si>
  <si>
    <t>XGF-AW4SCH3_PAH</t>
  </si>
  <si>
    <t>2-Wire Analog Input Module: CH3 process alarm H</t>
  </si>
  <si>
    <t>XGF-AW4SCH3_PAHH</t>
  </si>
  <si>
    <t>2-Wire Analog Input Module: CH3 process alarm HH</t>
  </si>
  <si>
    <t>XGF-AW4SCH0_RAL</t>
  </si>
  <si>
    <t>2-Wire Analog Input Module: CH0 Rate Alarm Lower limit</t>
  </si>
  <si>
    <t>XGF-AW4SCH0_RAH</t>
  </si>
  <si>
    <t>2-Wire Analog Input Module: CH0 Rate Alarm High limit</t>
  </si>
  <si>
    <t>XGF-AW4SCH1_RAL</t>
  </si>
  <si>
    <t>2-Wire Analog Input Module: CH1 Rate Alarm Lower limit</t>
  </si>
  <si>
    <t>XGF-AW4SCH1_RAH</t>
  </si>
  <si>
    <t>2-Wire Analog Input Module: CH1 Rate Alarm High limit</t>
  </si>
  <si>
    <t>XGF-AW4SCH2_RAL</t>
  </si>
  <si>
    <t>2-Wire Analog Input Module: CH2 Rate Alarm Lower limit</t>
  </si>
  <si>
    <t>XGF-AW4SCH2_RAH</t>
  </si>
  <si>
    <t>2-Wire Analog Input Module: CH2 Rate Alarm High limit</t>
  </si>
  <si>
    <t>XGF-AW4SCH3_RAL</t>
  </si>
  <si>
    <t>2-Wire Analog Input Module: CH3 Rate Alarm Lower limit</t>
  </si>
  <si>
    <t>XGF-AW4SCH3_RAH</t>
  </si>
  <si>
    <t>2-Wire Analog Input Module: CH3 Rate Alarm High limit</t>
  </si>
  <si>
    <t>XGF-AW4SCH0_IDD</t>
  </si>
  <si>
    <t>2-Wire Analog Input Module: CH0 input disconnection detection</t>
  </si>
  <si>
    <t>XGF-AW4SCH1_IDD</t>
  </si>
  <si>
    <t>2-Wire Analog Input Module: CH1 input disconnection detection</t>
  </si>
  <si>
    <t>XGF-AW4SCH2_IDD</t>
  </si>
  <si>
    <t>2-Wire Analog Input Module: CH2 input disconnection detection</t>
  </si>
  <si>
    <t>XGF-AW4SCH3_IDD</t>
  </si>
  <si>
    <t>2-Wire Analog Input Module: CH3 input disconnection detection</t>
  </si>
  <si>
    <t>XGF-AW4SERR_CLR</t>
  </si>
  <si>
    <t>2-Wire Analog Input Module: Error clear request</t>
  </si>
  <si>
    <t>XGF-DV4A_CH0_ERR</t>
  </si>
  <si>
    <t>Analog Output module: Channel 0 error</t>
  </si>
  <si>
    <t>XGF-DV4A_CH1_ERR</t>
  </si>
  <si>
    <t>Analog Output module: Channel 1 error</t>
  </si>
  <si>
    <t>XGF-DV4A_CH2_ERR</t>
  </si>
  <si>
    <t>Analog Output module: Channel 2 error</t>
  </si>
  <si>
    <t>XGF-DV4A_CH3_ERR</t>
  </si>
  <si>
    <t>Analog Output module: Channel 3 error</t>
  </si>
  <si>
    <t>XGF-DV4A_RDY</t>
  </si>
  <si>
    <t>Analog Output module: Module ready</t>
  </si>
  <si>
    <t>XGF-DV4A_CH0_ACT</t>
  </si>
  <si>
    <t>Analog Output module: CH0 RUN</t>
  </si>
  <si>
    <t>XGF-DV4A_CH1_ACT</t>
  </si>
  <si>
    <t>Analog Output module: CH1 RUN</t>
  </si>
  <si>
    <t>XGF-DV4A_CH2_ACT</t>
  </si>
  <si>
    <t>Analog Output module: CH2 RUN</t>
  </si>
  <si>
    <t>XGF-DV4A_CH3_ACT</t>
  </si>
  <si>
    <t>Analog Output module: CH3 RUN</t>
  </si>
  <si>
    <t>XGF-DV4A_CH0_OUTEN</t>
  </si>
  <si>
    <t>Analog Output module: Channel 0 output status setting</t>
  </si>
  <si>
    <t>XGF-DV4A_CH1_OUTEN</t>
  </si>
  <si>
    <t>Analog Output module: Channel 1 output status setting</t>
  </si>
  <si>
    <t>XGF-DV4A_CH2_OUTEN</t>
  </si>
  <si>
    <t>Analog Output module: Channel 2 output status setting</t>
  </si>
  <si>
    <t>XGF-DV4A_CH3_OUTEN</t>
  </si>
  <si>
    <t>Analog Output module: Channel 3 output status setting</t>
  </si>
  <si>
    <t>XGF-DV4A_CH0_DATA</t>
  </si>
  <si>
    <t>Analog Output module: Channel 0 Input value</t>
  </si>
  <si>
    <t>XGF-DV4A_CH1_DATA</t>
  </si>
  <si>
    <t>Analog Output module: Channel 1 Input value</t>
  </si>
  <si>
    <t>XGF-DV4A_CH2_DATA</t>
  </si>
  <si>
    <t>Analog Output module: Channel 2 Input value</t>
  </si>
  <si>
    <t>XGF-DV4A_CH3_DATA</t>
  </si>
  <si>
    <t>Analog Output module: Channel 3 Input value</t>
  </si>
  <si>
    <t>XGF-DC4A_CH0_ERR</t>
  </si>
  <si>
    <t>XGF-DC4A_CH1_ERR</t>
  </si>
  <si>
    <t>XGF-DC4A_CH2_ERR</t>
  </si>
  <si>
    <t>XGF-DC4A_CH3_ERR</t>
  </si>
  <si>
    <t>XGF-DC4A_RDY</t>
  </si>
  <si>
    <t>XGF-DC4A_CH0_ACT</t>
  </si>
  <si>
    <t>XGF-DC4A_CH1_ACT</t>
  </si>
  <si>
    <t>XGF-DC4A_CH2_ACT</t>
  </si>
  <si>
    <t>XGF-DC4A_CH3_ACT</t>
  </si>
  <si>
    <t>XGF-DC4A_CH0_OUTEN</t>
  </si>
  <si>
    <t>XGF-DC4A_CH1_OUTEN</t>
  </si>
  <si>
    <t>XGF-DC4A_CH2_OUTEN</t>
  </si>
  <si>
    <t>XGF-DC4A_CH3_OUTEN</t>
  </si>
  <si>
    <t>XGF-DC4A_CH0_DATA</t>
  </si>
  <si>
    <t>XGF-DC4A_CH1_DATA</t>
  </si>
  <si>
    <t>XGF-DC4A_CH2_DATA</t>
  </si>
  <si>
    <t>XGF-DC4A_CH3_DATA</t>
  </si>
  <si>
    <t>XGF-DV8A_CH0_ERR</t>
  </si>
  <si>
    <t>XGF-DV8A_CH1_ERR</t>
  </si>
  <si>
    <t>XGF-DV8A_CH2_ERR</t>
  </si>
  <si>
    <t>XGF-DV8A_CH3_ERR</t>
  </si>
  <si>
    <t>XGF-DV8A_CH4_ERR</t>
  </si>
  <si>
    <t>Analog Output module: Channel 4 error</t>
  </si>
  <si>
    <t>XGF-DV8A_CH5_ERR</t>
  </si>
  <si>
    <t>Analog Output module: Channel 5 error</t>
  </si>
  <si>
    <t>XGF-DV8A_CH6_ERR</t>
  </si>
  <si>
    <t>Analog Output module: Channel 6 error</t>
  </si>
  <si>
    <t>XGF-DV8A_CH7_ERR</t>
  </si>
  <si>
    <t>Analog Output module: Channel 7 error</t>
  </si>
  <si>
    <t>XGF-DV8A_RDY</t>
  </si>
  <si>
    <t>XGF-DV8A_CH0_ACT</t>
  </si>
  <si>
    <t>XGF-DV8A_CH1_ACT</t>
  </si>
  <si>
    <t>XGF-DV8A_CH2_ACT</t>
  </si>
  <si>
    <t>XGF-DV8A_CH3_ACT</t>
  </si>
  <si>
    <t>XGF-DV8A_CH4_ACT</t>
  </si>
  <si>
    <t>Analog Output module: CH4 RUN</t>
  </si>
  <si>
    <t>XGF-DV8A_CH5_ACT</t>
  </si>
  <si>
    <t>Analog Output module: CH5 RUN</t>
  </si>
  <si>
    <t>XGF-DV8A_CH6_ACT</t>
  </si>
  <si>
    <t>Analog Output module: CH6 RUN</t>
  </si>
  <si>
    <t>XGF-DV8A_CH7_ACT</t>
  </si>
  <si>
    <t>Analog Output module: CH7 RUN</t>
  </si>
  <si>
    <t>XGF-DV8A_CH0_OUTEN</t>
  </si>
  <si>
    <t>XGF-DV8A_CH1_OUTEN</t>
  </si>
  <si>
    <t>XGF-DV8A_CH2_OUTEN</t>
  </si>
  <si>
    <t>XGF-DV8A_CH3_OUTEN</t>
  </si>
  <si>
    <t>XGF-DV8A_CH4_OUTEN</t>
  </si>
  <si>
    <t>Analog Output module: Channel 4 output status setting</t>
  </si>
  <si>
    <t>XGF-DV8A_CH5_OUTEN</t>
  </si>
  <si>
    <t>Analog Output module: Channel 5 output status setting</t>
  </si>
  <si>
    <t>XGF-DV8A_CH6_OUTEN</t>
  </si>
  <si>
    <t>Analog Output module: Channel 6 output status setting</t>
  </si>
  <si>
    <t>XGF-DV8A_CH7_OUTEN</t>
  </si>
  <si>
    <t>Analog Output module: Channel 7 output status setting</t>
  </si>
  <si>
    <t>XGF-DV8A_CH0_DATA</t>
  </si>
  <si>
    <t>XGF-DV8A_CH1_DATA</t>
  </si>
  <si>
    <t>XGF-DV8A_CH2_DATA</t>
  </si>
  <si>
    <t>XGF-DV8A_CH3_DATA</t>
  </si>
  <si>
    <t>XGF-DV8A_CH4_DATA</t>
  </si>
  <si>
    <t>Analog Output module: Channel 4 Input value</t>
  </si>
  <si>
    <t>XGF-DV8A_CH5_DATA</t>
  </si>
  <si>
    <t>Analog Output module: Channel 5 Input value</t>
  </si>
  <si>
    <t>XGF-DV8A_CH6_DATA</t>
  </si>
  <si>
    <t>Analog Output module: Channel 6 Input value</t>
  </si>
  <si>
    <t>XGF-DV8A_CH7_DATA</t>
  </si>
  <si>
    <t>Analog Output module: Channel 7 Input value</t>
  </si>
  <si>
    <t>XGF-DC8A_CH0_ERR</t>
  </si>
  <si>
    <t>XGF-DC8A_CH1_ERR</t>
  </si>
  <si>
    <t>XGF-DC8A_CH2_ERR</t>
  </si>
  <si>
    <t>XGF-DC8A_CH3_ERR</t>
  </si>
  <si>
    <t>XGF-DC8A_CH4_ERR</t>
  </si>
  <si>
    <t>XGF-DC8A_CH5_ERR</t>
  </si>
  <si>
    <t>XGF-DC8A_CH6_ERR</t>
  </si>
  <si>
    <t>XGF-DC8A_CH7_ERR</t>
  </si>
  <si>
    <t>XGF-DC8A_RDY</t>
  </si>
  <si>
    <t>XGF-DC8A_CH0_ACT</t>
  </si>
  <si>
    <t>XGF-DC8A_CH1_ACT</t>
  </si>
  <si>
    <t>XGF-DC8A_CH2_ACT</t>
  </si>
  <si>
    <t>XGF-DC8A_CH3_ACT</t>
  </si>
  <si>
    <t>XGF-DC8A_CH4_ACT</t>
  </si>
  <si>
    <t>XGF-DC8A_CH5_ACT</t>
  </si>
  <si>
    <t>XGF-DC8A_CH6_ACT</t>
  </si>
  <si>
    <t>XGF-DC8A_CH7_ACT</t>
  </si>
  <si>
    <t>XGF-DC8A_CH0_OUTEN</t>
  </si>
  <si>
    <t>XGF-DC8A_CH1_OUTEN</t>
  </si>
  <si>
    <t>XGF-DC8A_CH2_OUTEN</t>
  </si>
  <si>
    <t>XGF-DC8A_CH3_OUTEN</t>
  </si>
  <si>
    <t>XGF-DC8A_CH4_OUTEN</t>
  </si>
  <si>
    <t>XGF-DC8A_CH5_OUTEN</t>
  </si>
  <si>
    <t>XGF-DC8A_CH6_OUTEN</t>
  </si>
  <si>
    <t>XGF-DC8A_CH7_OUTEN</t>
  </si>
  <si>
    <t>XGF-DC8A_CH0_DATA</t>
  </si>
  <si>
    <t>XGF-DC8A_CH1_DATA</t>
  </si>
  <si>
    <t>XGF-DC8A_CH2_DATA</t>
  </si>
  <si>
    <t>XGF-DC8A_CH3_DATA</t>
  </si>
  <si>
    <t>XGF-DC8A_CH4_DATA</t>
  </si>
  <si>
    <t>XGF-DC8A_CH5_DATA</t>
  </si>
  <si>
    <t>XGF-DC8A_CH6_DATA</t>
  </si>
  <si>
    <t>XGF-DC8A_CH7_DATA</t>
  </si>
  <si>
    <t>XGF-DV4S_CH0_ERR</t>
  </si>
  <si>
    <t>Isolated Analog Output module: Channel 0 error</t>
  </si>
  <si>
    <t>XGF-DV4S_CH1_ERR</t>
  </si>
  <si>
    <t>Isolated Analog Output module: Channel 1 error</t>
  </si>
  <si>
    <t>XGF-DV4S_CH2_ERR</t>
  </si>
  <si>
    <t>Isolated Analog Output module: Channel 2 error</t>
  </si>
  <si>
    <t>XGF-DV4S_CH3_ERR</t>
  </si>
  <si>
    <t>Isolated Analog Output module: Channel 3 error</t>
  </si>
  <si>
    <t>XGF-DV4S_RDY</t>
  </si>
  <si>
    <t>Isolated Analog Output module: Module ready</t>
  </si>
  <si>
    <t>XGF-DV4S_CH0_ACT</t>
  </si>
  <si>
    <t>Isolated Analog Output module: CH0 RUN</t>
  </si>
  <si>
    <t>XGF-DV4S_CH1_ACT</t>
  </si>
  <si>
    <t>Isolated Analog Output module: CH1 RUN</t>
  </si>
  <si>
    <t>XGF-DV4S_CH2_ACT</t>
  </si>
  <si>
    <t>Isolated Analog Output module: CH2 RUN</t>
  </si>
  <si>
    <t>XGF-DV4S_CH3_ACT</t>
  </si>
  <si>
    <t>Isolated Analog Output module: CH3 RUN</t>
  </si>
  <si>
    <t>XGF-DV4S_CH0_OUTEN</t>
  </si>
  <si>
    <t>Isolated Analog Output module: Channel 0 output status setting</t>
  </si>
  <si>
    <t>XGF-DV4S_CH1_OUTEN</t>
  </si>
  <si>
    <t>Isolated Analog Output module: Channel 1 output status setting</t>
  </si>
  <si>
    <t>XGF-DV4S_CH2_OUTEN</t>
  </si>
  <si>
    <t>Isolated Analog Output module: Channel 2 output status setting</t>
  </si>
  <si>
    <t>XGF-DV4S_CH3_OUTEN</t>
  </si>
  <si>
    <t>Isolated Analog Output module: Channel 3 output status setting</t>
  </si>
  <si>
    <t>XGF-DV4S_CH0_DATA</t>
  </si>
  <si>
    <t>Isolated Analog Output module: Channel 0 Input value</t>
  </si>
  <si>
    <t>XGF-DV4S_CH1_DATA</t>
  </si>
  <si>
    <t>Isolated Analog Output module: Channel 1 Input value</t>
  </si>
  <si>
    <t>XGF-DV4S_CH2_DATA</t>
  </si>
  <si>
    <t>Isolated Analog Output module: Channel 2 Input value</t>
  </si>
  <si>
    <t>XGF-DV4S_CH3_DATA</t>
  </si>
  <si>
    <t>Isolated Analog Output module: Channel 3 Input value</t>
  </si>
  <si>
    <t>XGF-DC4S_CH0_ERR</t>
  </si>
  <si>
    <t>XGF-DC4S_CH1_ERR</t>
  </si>
  <si>
    <t>XGF-DC4S_CH2_ERR</t>
  </si>
  <si>
    <t>XGF-DC4S_CH3_ERR</t>
  </si>
  <si>
    <t>XGF-DC4S_RDY</t>
  </si>
  <si>
    <t>XGF-DC4S_CH0_ACT</t>
  </si>
  <si>
    <t>XGF-DC4S_CH1_ACT</t>
  </si>
  <si>
    <t>XGF-DC4S_CH2_ACT</t>
  </si>
  <si>
    <t>XGF-DC4S_CH3_ACT</t>
  </si>
  <si>
    <t>XGF-DC4S_CH0_OUTEN</t>
  </si>
  <si>
    <t>XGF-DC4S_CH1_OUTEN</t>
  </si>
  <si>
    <t>XGF-DC4S_CH2_OUTEN</t>
  </si>
  <si>
    <t>XGF-DC4S_CH3_OUTEN</t>
  </si>
  <si>
    <t>XGF-DC4S_CH0_DATA</t>
  </si>
  <si>
    <t>XGF-DC4S_CH1_DATA</t>
  </si>
  <si>
    <t>XGF-DC4S_CH2_DATA</t>
  </si>
  <si>
    <t>XGF-DC4S_CH3_DATA</t>
  </si>
  <si>
    <t>XGF-AH6A_AD0_ERR</t>
  </si>
  <si>
    <t>XGF-AH6A_AD1_ERR</t>
  </si>
  <si>
    <t>XGF-AH6A_AD2_ERR</t>
  </si>
  <si>
    <t>Analog IO Module: Input Channel 2 error</t>
  </si>
  <si>
    <t>XGF-AH6A_AD3_ERR</t>
  </si>
  <si>
    <t>Analog IO Module: Input Channel 3 error</t>
  </si>
  <si>
    <t>XGF-AH6A_DA0_ERR</t>
  </si>
  <si>
    <t>XGF-AH6A_DA1_ERR</t>
  </si>
  <si>
    <t>XGF-AH6A_RDY</t>
  </si>
  <si>
    <t>XGF-AH6A_AD0_ACT</t>
  </si>
  <si>
    <t>XGF-AH6A_AD1_ACT</t>
  </si>
  <si>
    <t>XGF-AH6A_AD2_ACT</t>
  </si>
  <si>
    <t>Analog IO Module: Input Channel 2 Running</t>
  </si>
  <si>
    <t>XGF-AH6A_AD3_ACT</t>
  </si>
  <si>
    <t>Analog IO Module: Input Channel 3 Running</t>
  </si>
  <si>
    <t>XGF-AH6A_DA0_ACT</t>
  </si>
  <si>
    <t>XGF-AH6A_DA1_ACT</t>
  </si>
  <si>
    <t>XGF-AH6A_AD0_DATA</t>
  </si>
  <si>
    <t>XGF-AH6A_AD1_DATA</t>
  </si>
  <si>
    <t>XGF-AH6A_AD2_DATA</t>
  </si>
  <si>
    <t>Analog IO Module: Input Channel 2  Digital Output Data</t>
  </si>
  <si>
    <t>XGF-AH6A_AD3_DATA</t>
  </si>
  <si>
    <t>Analog IO Module: Input Channel 3  Digital Output Data</t>
  </si>
  <si>
    <t>XGF-AH6A_AD0_IDD</t>
  </si>
  <si>
    <t>XGF-AH6A_AD1_IDD</t>
  </si>
  <si>
    <t>XGF-AH6A_AD2_IDD</t>
  </si>
  <si>
    <t>Analog IO Module: Input Channel 2  Disconnection Flag</t>
  </si>
  <si>
    <t>XGF-AH6A_AD3_IDD</t>
  </si>
  <si>
    <t>Analog IO Module: Input Channel 3  Disconnection Flag</t>
  </si>
  <si>
    <t>XGF-AH6A_ERR_CLR</t>
  </si>
  <si>
    <t>Analog IO Module: Error clear request</t>
  </si>
  <si>
    <t>XGF-AH6A_DA0_OUTEN</t>
  </si>
  <si>
    <t>Analog IO Module: Channel 0 output status setting</t>
  </si>
  <si>
    <t>XGF-AH6A_DA1_OUTEN</t>
  </si>
  <si>
    <t>Analog IO Module: Channel 1 output status setting</t>
  </si>
  <si>
    <t>XGF-AH6A_DA0_DATA</t>
  </si>
  <si>
    <t>XGF-AH6A_DA1_DATA</t>
  </si>
  <si>
    <t>XGF-AC4H_ERR</t>
  </si>
  <si>
    <t>HART Analog Input Module: Module error</t>
  </si>
  <si>
    <t>XGF-AC4H_RDY</t>
  </si>
  <si>
    <t>HART Analog Input Module: Module ready</t>
  </si>
  <si>
    <t>XGF-AC4H_CH0_ACT</t>
  </si>
  <si>
    <t>HART Analog Input Module: CH0 RUN</t>
  </si>
  <si>
    <t>XGF-AC4H_CH1_ACT</t>
  </si>
  <si>
    <t>HART Analog Input Module: CH1 RUN</t>
  </si>
  <si>
    <t>XGF-AC4H_CH2_ACT</t>
  </si>
  <si>
    <t>HART Analog Input Module: CH2 RUN</t>
  </si>
  <si>
    <t>XGF-AC4H_CH3_ACT</t>
  </si>
  <si>
    <t>HART Analog Input Module: CH3 RUN</t>
  </si>
  <si>
    <t>XGF-AC4H_CH0_DATA</t>
  </si>
  <si>
    <t>HART Analog Input Module: CH0 conversion value</t>
  </si>
  <si>
    <t>XGF-AC4H_CH1_DATA</t>
  </si>
  <si>
    <t>HART Analog Input Module: CH1 conversion value</t>
  </si>
  <si>
    <t>XGF-AC4H_CH2_DATA</t>
  </si>
  <si>
    <t>HART Analog Input Module: CH2 conversion value</t>
  </si>
  <si>
    <t>XGF-AC4H_CH3_DATA</t>
  </si>
  <si>
    <t>HART Analog Input Module: CH3 conversion value</t>
  </si>
  <si>
    <t>XGF-AC4H_CH0_PAHH</t>
  </si>
  <si>
    <t>HART Analog Input Module: CH0 process alarm HH</t>
  </si>
  <si>
    <t>XGF-AC4H_CH0_PAH</t>
  </si>
  <si>
    <t>HART Analog Input Module: CH0 process alarm H</t>
  </si>
  <si>
    <t>XGF-AC4H_CH0_PAL</t>
  </si>
  <si>
    <t>HART Analog Input Module: CH0 process alarm lower limit</t>
  </si>
  <si>
    <t>XGF-AC4H_CH0_PALL</t>
  </si>
  <si>
    <t>HART Analog Input Module: CH0 process alarm LL</t>
  </si>
  <si>
    <t>XGF-AC4H_CH1_PAHH</t>
  </si>
  <si>
    <t>HART Analog Input Module: CH1 process alarm HH</t>
  </si>
  <si>
    <t>XGF-AC4H_CH1_PAH</t>
  </si>
  <si>
    <t>HART Analog Input Module: CH1 process alarm H</t>
  </si>
  <si>
    <t>XGF-AC4H_CH1_PAL</t>
  </si>
  <si>
    <t>HART Analog Input Module: CH1 process alarm lower limit</t>
  </si>
  <si>
    <t>XGF-AC4H_CH1_PALL</t>
  </si>
  <si>
    <t>HART Analog Input Module: CH1 process alarm LL</t>
  </si>
  <si>
    <t>XGF-AC4H_CH2_PAHH</t>
  </si>
  <si>
    <t>HART Analog Input Module: CH2 process alarm HH</t>
  </si>
  <si>
    <t>XGF-AC4H_CH2_PAH</t>
  </si>
  <si>
    <t>HART Analog Input Module: CH2 process alarm H</t>
  </si>
  <si>
    <t>XGF-AC4H_CH2_PAL</t>
  </si>
  <si>
    <t>HART Analog Input Module: CH2 process alarm lower limit</t>
  </si>
  <si>
    <t>XGF-AC4H_CH2_PALL</t>
  </si>
  <si>
    <t>HART Analog Input Module: CH2 process alarm LL</t>
  </si>
  <si>
    <t>XGF-AC4H_CH3_PAHH</t>
  </si>
  <si>
    <t>HART Analog Input Module: CH3 process alarm HH</t>
  </si>
  <si>
    <t>XGF-AC4H_CH3_PAH</t>
  </si>
  <si>
    <t>HART Analog Input Module: CH3 process alarm H</t>
  </si>
  <si>
    <t>XGF-AC4H_CH3_PAL</t>
  </si>
  <si>
    <t>HART Analog Input Module: CH3 process alarm lower limit</t>
  </si>
  <si>
    <t>XGF-AC4H_CH3_PALL</t>
  </si>
  <si>
    <t>HART Analog Input Module: CH3 process alarm LL</t>
  </si>
  <si>
    <t>XGF-AC4H_CH0_RAH</t>
  </si>
  <si>
    <t>HART Analog Input Module: CH0 Rate Alarm High limit</t>
  </si>
  <si>
    <t>XGF-AC4H_CH0_RAL</t>
  </si>
  <si>
    <t>HART Analog Input Module: CH0 Rate Alarm Lower limit</t>
  </si>
  <si>
    <t>XGF-AC4H_CH1_RAH</t>
  </si>
  <si>
    <t>HART Analog Input Module: CH1 Rate Alarm High limit</t>
  </si>
  <si>
    <t>XGF-AC4H_CH1_RAL</t>
  </si>
  <si>
    <t>HART Analog Input Module: CH1 Rate Alarm Lower limit</t>
  </si>
  <si>
    <t>XGF-AC4H_CH2_RAH</t>
  </si>
  <si>
    <t>HART Analog Input Module: CH2 Rate Alarm High limit</t>
  </si>
  <si>
    <t>XGF-AC4H_CH2_RAL</t>
  </si>
  <si>
    <t>HART Analog Input Module: CH2 Rate Alarm Lower limit</t>
  </si>
  <si>
    <t>XGF-AC4H_CH3_RAH</t>
  </si>
  <si>
    <t>HART Analog Input Module: CH3 Rate Alarm High limit</t>
  </si>
  <si>
    <t>XGF-AC4H_CH3_RAL</t>
  </si>
  <si>
    <t>HART Analog Input Module: CH3 Rate Alarm Lower limit</t>
  </si>
  <si>
    <t>XGF-AC4H_CH0_IDD</t>
  </si>
  <si>
    <t>HART Analog Input Module: CH0 input Disconnection Flag</t>
  </si>
  <si>
    <t>XGF-AC4H_CH1_IDD</t>
  </si>
  <si>
    <t>HART Analog Input Module: CH1 input disconnection detection</t>
  </si>
  <si>
    <t>XGF-AC4H_CH2_IDD</t>
  </si>
  <si>
    <t>HART Analog Input Module: CH2 input disconnection detection</t>
  </si>
  <si>
    <t>XGF-AC4H_CH3_IDD</t>
  </si>
  <si>
    <t>HART Analog Input Module: CH3 input disconnection detection</t>
  </si>
  <si>
    <t>XGF-AC4H_CH0_HARTERR</t>
  </si>
  <si>
    <t>HART Analog Input Module: Channel 0 HART Communication Error Flag</t>
  </si>
  <si>
    <t>XGF-AC4H_CH1_HARTERR</t>
  </si>
  <si>
    <t>HART Analog Input Module: Channel 1 HART Communication Error Flag</t>
  </si>
  <si>
    <t>XGF-AC4H_CH2_HARTERR</t>
  </si>
  <si>
    <t>10.A</t>
  </si>
  <si>
    <t>HART Analog Input Module: Channel 2 HART Communication Error Flag</t>
  </si>
  <si>
    <t>XGF-AC4H_CH3_HARTERR</t>
  </si>
  <si>
    <t>10.B</t>
  </si>
  <si>
    <t>HART Analog Input Module: Channel 3 HART Communication Error Flag</t>
  </si>
  <si>
    <t>XGF-AC4H_ERR_CLR</t>
  </si>
  <si>
    <t>HART Analog Input Module: Error clear request</t>
  </si>
  <si>
    <t>XGF-DC4H_CH0_ERR</t>
  </si>
  <si>
    <t>HART Analog output module: Channel 0 error</t>
  </si>
  <si>
    <t>XGF-DC4H_CH1_ERR</t>
  </si>
  <si>
    <t>HART Analog output module: Channel 1 error</t>
  </si>
  <si>
    <t>XGF-DC4H_CH2_ERR</t>
  </si>
  <si>
    <t>HART Analog output module: Channel 2 error</t>
  </si>
  <si>
    <t>XGF-DC4H_CH3_ERR</t>
  </si>
  <si>
    <t>HART Analog output module: Channel 3 error</t>
  </si>
  <si>
    <t>XGF-DC4H_CH0_HARTERR</t>
  </si>
  <si>
    <t>HART Analog output module: Channel 0 HART Communication Error Flag</t>
  </si>
  <si>
    <t>XGF-DC4H_CH1_HARTERR</t>
  </si>
  <si>
    <t>HART Analog output module: Channel 1 HART Communication Error Flag</t>
  </si>
  <si>
    <t>XGF-DC4H_CH2_HARTERR</t>
  </si>
  <si>
    <t>0.A</t>
  </si>
  <si>
    <t>HART Analog output module: Channel 2 HART Communication Error Flag</t>
  </si>
  <si>
    <t>XGF-DC4H_CH3_HARTERR</t>
  </si>
  <si>
    <t>0.B</t>
  </si>
  <si>
    <t>HART Analog output module: Channel 3 HART Communication Error Flag</t>
  </si>
  <si>
    <t>XGF-DC4H_RDY</t>
  </si>
  <si>
    <t>HART Analog output module: Module ready</t>
  </si>
  <si>
    <t>XGF-DC4H_CH0_ACT</t>
  </si>
  <si>
    <t>HART Analog output module: CH0 RUN</t>
  </si>
  <si>
    <t>XGF-DC4H_CH1_ACT</t>
  </si>
  <si>
    <t>HART Analog output module: CH1 RUN</t>
  </si>
  <si>
    <t>XGF-DC4H_CH2_ACT</t>
  </si>
  <si>
    <t>HART Analog output module: CH2 RUN</t>
  </si>
  <si>
    <t>XGF-DC4H_CH3_ACT</t>
  </si>
  <si>
    <t>HART Analog output module: CH3 RUN</t>
  </si>
  <si>
    <t>XGF-DC4H_CH0_OUTH</t>
  </si>
  <si>
    <t>HART Analog output module: Channel 0 output high limit</t>
  </si>
  <si>
    <t>XGF-DC4H_CH0_OUTL</t>
  </si>
  <si>
    <t>HART Analog output module: Channel 0 output lower limit</t>
  </si>
  <si>
    <t>XGF-DC4H_CH1_OUTH</t>
  </si>
  <si>
    <t>HART Analog output module: Channel 1 output high limit</t>
  </si>
  <si>
    <t>XGF-DC4H_CH1_OUTL</t>
  </si>
  <si>
    <t>HART Analog output module: Channel 1 output lower limit</t>
  </si>
  <si>
    <t>XGF-DC4H_CH2_OUTH</t>
  </si>
  <si>
    <t>HART Analog output module: Channel 2 output high limit</t>
  </si>
  <si>
    <t>XGF-DC4H_CH2_OUTL</t>
  </si>
  <si>
    <t>HART Analog output module: Channel 2 output lower limit</t>
  </si>
  <si>
    <t>XGF-DC4H_CH3_OUTH</t>
  </si>
  <si>
    <t>HART Analog output module: Channel 3 output high limit</t>
  </si>
  <si>
    <t>XGF-DC4H_CH3_OUTL</t>
  </si>
  <si>
    <t>HART Analog output module: Channel 3 output lower limit</t>
  </si>
  <si>
    <t>XGF-DC4H_CH0_OUTEN</t>
  </si>
  <si>
    <t>HART Analog output module: Channel 0 output status setting</t>
  </si>
  <si>
    <t>XGF-DC4H_CH1_OUTEN</t>
  </si>
  <si>
    <t>HART Analog output module: Channel 1 output status setting</t>
  </si>
  <si>
    <t>XGF-DC4H_CH2_OUTEN</t>
  </si>
  <si>
    <t>HART Analog output module: Channel 2 output status setting</t>
  </si>
  <si>
    <t>XGF-DC4H_CH3_OUTEN</t>
  </si>
  <si>
    <t>HART Analog output module: Channel 3 output status setting</t>
  </si>
  <si>
    <t>XGF-DC4H_CH0_DATA</t>
  </si>
  <si>
    <t>HART Analog output module: Channel 0 Input value</t>
  </si>
  <si>
    <t>XGF-DC4H_CH1_DATA</t>
  </si>
  <si>
    <t>HART Analog output module: Channel 1 Input value</t>
  </si>
  <si>
    <t>XGF-DC4H_CH2_DATA</t>
  </si>
  <si>
    <t>HART Analog output module: Channel 2 Input value</t>
  </si>
  <si>
    <t>XGF-DC4H_CH3_DATA</t>
  </si>
  <si>
    <t>HART Analog output module: Channel 3 Input value</t>
  </si>
  <si>
    <t>XGF-HO2A_CH0_DN</t>
  </si>
  <si>
    <t>High Speed Counter Module: CH0 up/down counter status flag</t>
  </si>
  <si>
    <t>XGF-HO2A_CH0_EXTPRE</t>
  </si>
  <si>
    <t>High Speed Counter Module: Channel 0 external preset command  detection flag</t>
  </si>
  <si>
    <t>XGF-HO2A_CH0_CRY</t>
  </si>
  <si>
    <t>High Speed Counter Module: Channel 0 carry value</t>
  </si>
  <si>
    <t>XGF-HO2A_CH0_BRW</t>
  </si>
  <si>
    <t>High Speed Counter Module: Channel 0 borrow value</t>
  </si>
  <si>
    <t>XGF-HO2A_CH0_AUXING</t>
  </si>
  <si>
    <t>High Speed Counter Module: Channel 0 auxiliary function status</t>
  </si>
  <si>
    <t>XGF-HO2A_CH0_CMPOUT0</t>
  </si>
  <si>
    <t>High Speed Counter Module: Channel 0 compare output 0 status</t>
  </si>
  <si>
    <t>XGF-HO2A_CH0_CMPOUT1</t>
  </si>
  <si>
    <t>High Speed Counter Module: Channel 0 compare output 1 status</t>
  </si>
  <si>
    <t>XGF-HO2A_CH0_ERR</t>
  </si>
  <si>
    <t>0.E</t>
  </si>
  <si>
    <t>High Speed Counter Module: Channel 0 error flag</t>
  </si>
  <si>
    <t>XGF-HO2A_RDY</t>
  </si>
  <si>
    <t>High Speed Counter Module: Module ready</t>
  </si>
  <si>
    <t>XGF-HO2A_CH1_DN</t>
  </si>
  <si>
    <t>High Speed Counter Module: CH1 up/down counter status flag</t>
  </si>
  <si>
    <t>XGF-HO2A_CH1_EXTPRE</t>
  </si>
  <si>
    <t>High Speed Counter Module: Channel 1 external preset command  detection flag</t>
  </si>
  <si>
    <t>XGF-HO2A_CH1_CRY</t>
  </si>
  <si>
    <t>High Speed Counter Module: Channel 1 carry value</t>
  </si>
  <si>
    <t>XGF-HO2A_CH1_BRW</t>
  </si>
  <si>
    <t>High Speed Counter Module: Channel 1 borrow value</t>
  </si>
  <si>
    <t>XGF-HO2A_CH1_AUXING</t>
  </si>
  <si>
    <t>High Speed Counter Module: Channel 1 auxiliary function status</t>
  </si>
  <si>
    <t>XGF-HO2A_CH1_CMPOUT0</t>
  </si>
  <si>
    <t>High Speed Counter Module: Channel 1 compare output 0 status</t>
  </si>
  <si>
    <t>XGF-HO2A_CH1_CMPOUT1</t>
  </si>
  <si>
    <t>High Speed Counter Module: Channel 1 compare output 1 status</t>
  </si>
  <si>
    <t>XGF-HO2A_CH1_ERR</t>
  </si>
  <si>
    <t>High Speed Counter Module: Channel 1 error flag</t>
  </si>
  <si>
    <t>XGF-HO2A_CH0_CNT_LV</t>
  </si>
  <si>
    <t>High Speed Counter Module: Channel 0 count value (LWORD)</t>
  </si>
  <si>
    <t>XGF-HO2A_CH0_CNT_HV</t>
  </si>
  <si>
    <t>High Speed Counter Module: Channel 0 count value (HWORD)</t>
  </si>
  <si>
    <t>XGF-HO2A_CH0_LTH_LV</t>
  </si>
  <si>
    <t>High Speed Counter Module: Channel 0 latch count value (LWORD)</t>
  </si>
  <si>
    <t>XGF-HO2A_CH0_LTH_HV</t>
  </si>
  <si>
    <t>High Speed Counter Module: Channel 0 latch count value (HWORD)</t>
  </si>
  <si>
    <t>XGF-HO2A_CH0_RNG_LV</t>
  </si>
  <si>
    <t>High Speed Counter Module: Channel 0 sampling count value (LWORD)</t>
  </si>
  <si>
    <t>XGF-HO2A_CH0_RNG_HV</t>
  </si>
  <si>
    <t>High Speed Counter Module: Channel 0 sampling count value (HWORD)</t>
  </si>
  <si>
    <t>XGF-HO2A_CH0_FRQ_LV</t>
  </si>
  <si>
    <t>High Speed Counter Module: Channel 0 input frequency value (LWORD)</t>
  </si>
  <si>
    <t>XGF-HO2A_CH0_FRQ_HV</t>
  </si>
  <si>
    <t>High Speed Counter Module: Channel 0 input frequency value (HWORD)</t>
  </si>
  <si>
    <t>XGF-HO2A_CH0_RPU_LV</t>
  </si>
  <si>
    <t>High Speed Counter Module: Channel 0 Rev./unit time value (LWORD)</t>
  </si>
  <si>
    <t>XGF-HO2A_CH0_RPU_HV</t>
  </si>
  <si>
    <t>High Speed Counter Module: Channel 0 Rev./unit time value (HWORD)</t>
  </si>
  <si>
    <t>XGF-HO2A_CH1_CNT_LV</t>
  </si>
  <si>
    <t>High Speed Counter Module: Channel 1 count value (LWORD)</t>
  </si>
  <si>
    <t>XGF-HO2A_CH1_CNT_HV</t>
  </si>
  <si>
    <t>High Speed Counter Module: Channel 1 count value (HWORD)</t>
  </si>
  <si>
    <t>XGF-HO2A_CH1_LTH_LV</t>
  </si>
  <si>
    <t>High Speed Counter Module: Channel 1 latch count value (LWORD)</t>
  </si>
  <si>
    <t>XGF-HO2A_CH1_LTH_HV</t>
  </si>
  <si>
    <t>High Speed Counter Module: Channel 1 latch count value (HWORD)</t>
  </si>
  <si>
    <t>XGF-HO2A_CH1_RNG_LV</t>
  </si>
  <si>
    <t>High Speed Counter Module: Channel 1 sampling count value (LWORD)</t>
  </si>
  <si>
    <t>XGF-HO2A_CH1_RNG_HV</t>
  </si>
  <si>
    <t>High Speed Counter Module: Channel 1 sampling count value (HWORD)</t>
  </si>
  <si>
    <t>XGF-HO2A_CH1_FRQ_LV</t>
  </si>
  <si>
    <t>High Speed Counter Module: Channel 1 input frequency value (LWORD)</t>
  </si>
  <si>
    <t>XGF-HO2A_CH1_FRQ_HV</t>
  </si>
  <si>
    <t>High Speed Counter Module: Channel 1 input frequency value (HWORD)</t>
  </si>
  <si>
    <t>XGF-HO2A_CH1_RPU_LV</t>
  </si>
  <si>
    <t>High Speed Counter Module: Channel 1 Rev./unit time value (LWORD)</t>
  </si>
  <si>
    <t>XGF-HO2A_CH1_RPU_HV</t>
  </si>
  <si>
    <t>High Speed Counter Module: Channel 1 Rev./unit time value (HWORD)</t>
  </si>
  <si>
    <t>XGF-HO2A_CH0_CNTEN</t>
  </si>
  <si>
    <t>High Speed Counter Module: Channel 0 enable counter command(level)</t>
  </si>
  <si>
    <t>XGF-HO2A_CH0_PREEN</t>
  </si>
  <si>
    <t>High Speed Counter Module: Channel 0 enable preset command(Edge)</t>
  </si>
  <si>
    <t>XGF-HO2A_CH0_DWNCNT</t>
  </si>
  <si>
    <t>High Speed Counter Module: Channel 0 up/down counter select  command(Level)</t>
  </si>
  <si>
    <t>High Speed Counter Module: Channel 0 auxiliary function request(Edge,Level)</t>
  </si>
  <si>
    <t>XGF-HO2A_CH0_CMPEN</t>
  </si>
  <si>
    <t>High Speed Counter Module: Channel 0 compare function enable command(Level)</t>
  </si>
  <si>
    <t>XGF-HO2A_CH0_OUTEN</t>
  </si>
  <si>
    <t>High Speed Counter Module: Channel 0 compare output signal enable command(Level)</t>
  </si>
  <si>
    <t>XGF-HO2A_CH0_EQ0RST</t>
  </si>
  <si>
    <t>High Speed Counter Module: Channel 0 compare output 0 equal reset command (Edge)</t>
  </si>
  <si>
    <t>XGF-HO2A_CH0_EQ1RST</t>
  </si>
  <si>
    <t>High Speed Counter Module: Channel 0 compare output 1 equal reset command (Edge)</t>
  </si>
  <si>
    <t>XGF-HO2A_CH0_CRYBRW_RST</t>
  </si>
  <si>
    <t>High Speed Counter Module: Channel 0 carry/borrow reset command(Edge)</t>
  </si>
  <si>
    <t>XGF-HO2A_CH0_EXTPST_EN</t>
  </si>
  <si>
    <t>High Speed Counter Module: Channel 0 preset Ext. Input enable command</t>
  </si>
  <si>
    <t>XGF-HO2A_CH0_EXTAUX_EN</t>
  </si>
  <si>
    <t>0.C</t>
  </si>
  <si>
    <t>High Speed Counter Module: Channel 0 auxiliary function Ext. input enable command</t>
  </si>
  <si>
    <t>XGF-HO2A_CH0_EXTPST_RST</t>
  </si>
  <si>
    <t>0.D</t>
  </si>
  <si>
    <t>High Speed Counter Module: Channel 0 Ext. Input preset reset command</t>
  </si>
  <si>
    <t>XGF-HO2A_CH1_CNTEN</t>
  </si>
  <si>
    <t>High Speed Counter Module: Channel 1 enable counter command(level)</t>
  </si>
  <si>
    <t>XGF-HO2A_CH1_PREEN</t>
  </si>
  <si>
    <t>High Speed Counter Module: Channel 1 enable preset command(Edge)</t>
  </si>
  <si>
    <t>XGF-HO2A_CH1_DWNCNT</t>
  </si>
  <si>
    <t>High Speed Counter Module: Channel 1 up/down counter select  command(Level)</t>
  </si>
  <si>
    <t>High Speed Counter Module: Channel 1 auxiliary function enable command(Edge,Level)</t>
  </si>
  <si>
    <t>XGF-HO2A_CH1_CMPEN</t>
  </si>
  <si>
    <t>High Speed Counter Module: Channel 1 compare function enable command(Level)</t>
  </si>
  <si>
    <t>XGF-HO2A_CH1_OUTEN</t>
  </si>
  <si>
    <t>High Speed Counter Module: Channel 1 compare output signal enable command(Level)</t>
  </si>
  <si>
    <t>XGF-HO2A_CH1_EQ0RST</t>
  </si>
  <si>
    <t>XGF-HO2A_CH1_EQ1RST</t>
  </si>
  <si>
    <t>High Speed Counter Module: Channel 1 compare output 0 equal reset command (Edge)</t>
  </si>
  <si>
    <t>XGF-HO2A_CH1_CRYBRW_RST</t>
  </si>
  <si>
    <t>High Speed Counter Module: Channel 1 carry/borrow reset command(Edge)</t>
  </si>
  <si>
    <t>XGF-HO2A_CH1_EXTPST_EN</t>
  </si>
  <si>
    <t>High Speed Counter Module: Channel 1 preset Ext. Input enable command</t>
  </si>
  <si>
    <t>XGF-HO2A_CH1_EXTAUX_EN</t>
  </si>
  <si>
    <t>High Speed Counter Module: Channel 1 auxiliary Ext. Input enable command</t>
  </si>
  <si>
    <t>XGF-HO2A_CH1_EXTPST_RST</t>
  </si>
  <si>
    <t>High Speed Counter Module: Channel 1 Ext. Input preset reset command</t>
  </si>
  <si>
    <t>XGF-HD2A_CH0_DN</t>
  </si>
  <si>
    <t>XGF-HD2A_CH0_EXTPRE</t>
  </si>
  <si>
    <t>XGF-HD2A_CH0_CRY</t>
  </si>
  <si>
    <t>XGF-HD2A_CH0_BRW</t>
  </si>
  <si>
    <t>XGF-HD2A_CH0_AUXING</t>
  </si>
  <si>
    <t>XGF-HD2A_CH0_CMPOUT0</t>
  </si>
  <si>
    <t>XGF-HD2A_CH0_CMPOUT1</t>
  </si>
  <si>
    <t>XGF-HD2A_CH0_ERR</t>
  </si>
  <si>
    <t>XGF-HD2A_RDY</t>
  </si>
  <si>
    <t>XGF-HD2A_CH1_DN</t>
  </si>
  <si>
    <t>XGF-HD2A_CH1_EXTPRE</t>
  </si>
  <si>
    <t>XGF-HD2A_CH1_CRY</t>
  </si>
  <si>
    <t>XGF-HD2A_CH1_BRW</t>
  </si>
  <si>
    <t>XGF-HD2A_CH1_AUXING</t>
  </si>
  <si>
    <t>XGF-HD2A_CH1_CMPOUT0</t>
  </si>
  <si>
    <t>XGF-HD2A_CH1_CMPOUT1</t>
  </si>
  <si>
    <t>XGF-HD2A_CH1_ERR</t>
  </si>
  <si>
    <t>XGF-HD2A_CH0_CNT_LV</t>
  </si>
  <si>
    <t>XGF-HD2A_CH0_CNT_HV</t>
  </si>
  <si>
    <t>XGF-HD2A_CH0_LTH_LV</t>
  </si>
  <si>
    <t>XGF-HD2A_CH0_LTH_HV</t>
  </si>
  <si>
    <t>XGF-HD2A_CH0_RNG_LV</t>
  </si>
  <si>
    <t>XGF-HD2A_CH0_RNG_HV</t>
  </si>
  <si>
    <t>XGF-HD2A_CH0_FRQ_LV</t>
  </si>
  <si>
    <t>XGF-HD2A_CH0_FRQ_HV</t>
  </si>
  <si>
    <t>XGF-HD2A_CH0_RPU_LV</t>
  </si>
  <si>
    <t>XGF-HD2A_CH0_RPU_HV</t>
  </si>
  <si>
    <t>XGF-HD2A_CH1_CNT_LV</t>
  </si>
  <si>
    <t>XGF-HD2A_CH1_CNT_HV</t>
  </si>
  <si>
    <t>XGF-HD2A_CH1_LTH_LV</t>
  </si>
  <si>
    <t>XGF-HD2A_CH1_LTH_HV</t>
  </si>
  <si>
    <t>XGF-HD2A_CH1_RNG_LV</t>
  </si>
  <si>
    <t>XGF-HD2A_CH1_RNG_HV</t>
  </si>
  <si>
    <t>XGF-HD2A_CH1_FRQ_LV</t>
  </si>
  <si>
    <t>XGF-HD2A_CH1_FRQ_HV</t>
  </si>
  <si>
    <t>XGF-HD2A_CH1_RPU_LV</t>
  </si>
  <si>
    <t>XGF-HD2A_CH1_RPU_HV</t>
  </si>
  <si>
    <t>XGF-HD2A_CH0_CNTEN</t>
  </si>
  <si>
    <t>XGF-HD2A_CH0_PREEN</t>
  </si>
  <si>
    <t>XGF-HD2A_CH0_DWNCNT</t>
  </si>
  <si>
    <t>XGF-HD2A_CH0_CMPEN</t>
  </si>
  <si>
    <t>XGF-HD2A_CH0_OUTEN</t>
  </si>
  <si>
    <t>XGF-HD2A_CH0_EQ0RST</t>
  </si>
  <si>
    <t>XGF-HD2A_CH0_EQ1RST</t>
  </si>
  <si>
    <t>XGF-HD2A_CH0_CRYBRW_RST</t>
  </si>
  <si>
    <t>XGF-HD2A_CH0_EXTPST_EN</t>
  </si>
  <si>
    <t>XGF-HD2A_CH0_EXTAUX_EN</t>
  </si>
  <si>
    <t>XGF-HD2A_CH0_EXTPST_RST</t>
  </si>
  <si>
    <t>XGF-HD2A_CH1_CNTEN</t>
  </si>
  <si>
    <t>XGF-HD2A_CH1_PREEN</t>
  </si>
  <si>
    <t>XGF-HD2A_CH1_DWNCNT</t>
  </si>
  <si>
    <t>XGF-HD2A_CH1_CMPEN</t>
  </si>
  <si>
    <t>XGF-HD2A_CH1_OUTEN</t>
  </si>
  <si>
    <t>XGF-HD2A_CH1_EQ0RST</t>
  </si>
  <si>
    <t>XGF-HD2A_CH1_EQ1RST</t>
  </si>
  <si>
    <t>XGF-HD2A_CH1_CRYBRW_RST</t>
  </si>
  <si>
    <t>XGF-HD2A_CH1_EXTPST_EN</t>
  </si>
  <si>
    <t>XGF-HD2A_CH1_EXTAUX_EN</t>
  </si>
  <si>
    <t>XGF-HD2A_CH1_EXTPST_RST</t>
  </si>
  <si>
    <t>XGF-HO8A_CH0_DN</t>
  </si>
  <si>
    <t>XGF-HO8A_CH0_AUXING</t>
  </si>
  <si>
    <t>XGF-HO8A_CH0_CRY</t>
  </si>
  <si>
    <t>XGF-HO8A_CH0_BRW</t>
  </si>
  <si>
    <t>XGF-HO8A_CH0_CMPOUT</t>
  </si>
  <si>
    <t>High Speed Counter Module: Channel 0 compare output status</t>
  </si>
  <si>
    <t>XGF-HO8A_CH0_ERR</t>
  </si>
  <si>
    <t>XGF-HO8A_CH1_DN</t>
  </si>
  <si>
    <t>XGF-HO8A_CH1_AUXING</t>
  </si>
  <si>
    <t>XGF-HO8A_CH1_CRY</t>
  </si>
  <si>
    <t>XGF-HO8A_CH1_BRW</t>
  </si>
  <si>
    <t>XGF-HO8A_CH1_CMPOUT</t>
  </si>
  <si>
    <t>High Speed Counter Module: Channel 1 compare output status</t>
  </si>
  <si>
    <t>XGF-HO8A_CH1_ERR</t>
  </si>
  <si>
    <t>XGF-HO8A_RDY</t>
  </si>
  <si>
    <t>XGF-HO8A_CH2_DN</t>
  </si>
  <si>
    <t>High Speed Counter Module: CH2 up/down counter status flag</t>
  </si>
  <si>
    <t>XGF-HO8A_CH2_AUXING</t>
  </si>
  <si>
    <t>High Speed Counter Module: Channel 2 auxiliary function status</t>
  </si>
  <si>
    <t>XGF-HO8A_CH2_CRY</t>
  </si>
  <si>
    <t>High Speed Counter Module: Channel 2 carry value</t>
  </si>
  <si>
    <t>XGF-HO8A_CH2_BRW</t>
  </si>
  <si>
    <t>High Speed Counter Module: Channel 2 borrow value</t>
  </si>
  <si>
    <t>XGF-HO8A_CH2_CMPOUT</t>
  </si>
  <si>
    <t>High Speed Counter Module: Channel 2 compare output status</t>
  </si>
  <si>
    <t>XGF-HO8A_CH2_ERR</t>
  </si>
  <si>
    <t>High Speed Counter Module: Channel 2 error flag</t>
  </si>
  <si>
    <t>XGF-HO8A_CH3_DN</t>
  </si>
  <si>
    <t>High Speed Counter Module: CH3 up/down counter status flag</t>
  </si>
  <si>
    <t>XGF-HO8A_CH3_AUXING</t>
  </si>
  <si>
    <t>High Speed Counter Module: Channel 3 auxiliary function status</t>
  </si>
  <si>
    <t>XGF-HO8A_CH3_CRY</t>
  </si>
  <si>
    <t>High Speed Counter Module: Channel 3 carry value</t>
  </si>
  <si>
    <t>XGF-HO8A_CH3_BRW</t>
  </si>
  <si>
    <t>High Speed Counter Module: Channel 3 borrow value</t>
  </si>
  <si>
    <t>XGF-HO8A_CH3_CMPOUT</t>
  </si>
  <si>
    <t>High Speed Counter Module: Channel 3 compare output status</t>
  </si>
  <si>
    <t>XGF-HO8A_CH3_ERR</t>
  </si>
  <si>
    <t>High Speed Counter Module: Channel 3 error flag</t>
  </si>
  <si>
    <t>XGF-HO8A_CH4_DN</t>
  </si>
  <si>
    <t>High Speed Counter Module: CH4 up/down counter status flag</t>
  </si>
  <si>
    <t>XGF-HO8A_CH4_AUXING</t>
  </si>
  <si>
    <t>High Speed Counter Module: Channel 4 auxiliary function status</t>
  </si>
  <si>
    <t>XGF-HO8A_CH4_CRY</t>
  </si>
  <si>
    <t>High Speed Counter Module: Channel 4 carry value</t>
  </si>
  <si>
    <t>XGF-HO8A_CH4_BRW</t>
  </si>
  <si>
    <t>High Speed Counter Module: Channel 4 borrow value</t>
  </si>
  <si>
    <t>XGF-HO8A_CH4_CMPOUT</t>
  </si>
  <si>
    <t>High Speed Counter Module: Channel 4 compare output status</t>
  </si>
  <si>
    <t>XGF-HO8A_CH4_ERR</t>
  </si>
  <si>
    <t>High Speed Counter Module: Channel 4 error flag</t>
  </si>
  <si>
    <t>XGF-HO8A_CH5_DN</t>
  </si>
  <si>
    <t>High Speed Counter Module: CH5 up/down counter status flag</t>
  </si>
  <si>
    <t>XGF-HO8A_CH5_AUXING</t>
  </si>
  <si>
    <t>High Speed Counter Module: Channel 5 auxiliary function status</t>
  </si>
  <si>
    <t>XGF-HO8A_CH5_CRY</t>
  </si>
  <si>
    <t>2.A</t>
  </si>
  <si>
    <t>High Speed Counter Module: Channel 5 carry value</t>
  </si>
  <si>
    <t>XGF-HO8A_CH5_BRW</t>
  </si>
  <si>
    <t>2.B</t>
  </si>
  <si>
    <t>High Speed Counter Module: Channel 5 borrow value</t>
  </si>
  <si>
    <t>XGF-HO8A_CH5_CMPOUT</t>
  </si>
  <si>
    <t>2.C</t>
  </si>
  <si>
    <t>High Speed Counter Module: Channel 5 compare output status</t>
  </si>
  <si>
    <t>XGF-HO8A_CH5_ERR</t>
  </si>
  <si>
    <t>2.E</t>
  </si>
  <si>
    <t>High Speed Counter Module: Channel 5 error flag</t>
  </si>
  <si>
    <t>XGF-HO8A_CH6_DN</t>
  </si>
  <si>
    <t>High Speed Counter Module: CH6 up/down counter status flag</t>
  </si>
  <si>
    <t>XGF-HO8A_CH6_AUXING</t>
  </si>
  <si>
    <t>High Speed Counter Module: Channel 6 auxiliary function status</t>
  </si>
  <si>
    <t>XGF-HO8A_CH6_CRY</t>
  </si>
  <si>
    <t>High Speed Counter Module: Channel 6 carry value</t>
  </si>
  <si>
    <t>XGF-HO8A_CH6_BRW</t>
  </si>
  <si>
    <t>High Speed Counter Module: Channel 6 borrow value</t>
  </si>
  <si>
    <t>XGF-HO8A_CH6_CMPOUT</t>
  </si>
  <si>
    <t>High Speed Counter Module: Channel 6 compare output status</t>
  </si>
  <si>
    <t>XGF-HO8A_CH6_ERR</t>
  </si>
  <si>
    <t>High Speed Counter Module: Channel 6 error flag</t>
  </si>
  <si>
    <t>XGF-HO8A_CH7_DN</t>
  </si>
  <si>
    <t>High Speed Counter Module: CH7 up/down counter status flag</t>
  </si>
  <si>
    <t>XGF-HO8A_CH7_AUXING</t>
  </si>
  <si>
    <t>High Speed Counter Module: Channel 7 auxiliary function status</t>
  </si>
  <si>
    <t>XGF-HO8A_CH7_CRY</t>
  </si>
  <si>
    <t>3.A</t>
  </si>
  <si>
    <t>High Speed Counter Module: Channel 7 carry value</t>
  </si>
  <si>
    <t>XGF-HO8A_CH7_BRW</t>
  </si>
  <si>
    <t>3.B</t>
  </si>
  <si>
    <t>High Speed Counter Module: Channel 7 borrow value</t>
  </si>
  <si>
    <t>XGF-HO8A_CH7_CMPOUT</t>
  </si>
  <si>
    <t>3.C</t>
  </si>
  <si>
    <t>High Speed Counter Module: Channel 7 compare output status</t>
  </si>
  <si>
    <t>XGF-HO8A_CH7_ERR</t>
  </si>
  <si>
    <t>3.E</t>
  </si>
  <si>
    <t>High Speed Counter Module: Channel 7 error flag</t>
  </si>
  <si>
    <t>XGF-HO8A_CH0_CNT_LV</t>
  </si>
  <si>
    <t>XGF-HO8A_CH0_CNT_HV</t>
  </si>
  <si>
    <t>XGF-HO8A_CH1_CNT_LV</t>
  </si>
  <si>
    <t>XGF-HO8A_CH1_CNT_HV</t>
  </si>
  <si>
    <t>XGF-HO8A_CH2_CNT_LV</t>
  </si>
  <si>
    <t>High Speed Counter Module: Channel 2 count value (LWORD)</t>
  </si>
  <si>
    <t>XGF-HO8A_CH2_CNT_HV</t>
  </si>
  <si>
    <t>High Speed Counter Module: Channel 2 count value (HWORD)</t>
  </si>
  <si>
    <t>XGF-HO8A_CH3_CNT_LV</t>
  </si>
  <si>
    <t>High Speed Counter Module: Channel 3 count value (LWORD)</t>
  </si>
  <si>
    <t>XGF-HO8A_CH3_CNT_HV</t>
  </si>
  <si>
    <t>High Speed Counter Module: Channel 3 count value (HWORD)</t>
  </si>
  <si>
    <t>XGF-HO8A_CH4_CNT_LV</t>
  </si>
  <si>
    <t>High Speed Counter Module: Channel 4 count value (LWORD)</t>
  </si>
  <si>
    <t>XGF-HO8A_CH4_CNT_HV</t>
  </si>
  <si>
    <t>High Speed Counter Module: Channel 4 count value (HWORD)</t>
  </si>
  <si>
    <t>XGF-HO8A_CH5_CNT_LV</t>
  </si>
  <si>
    <t>High Speed Counter Module: Channel 5 count value (LWORD)</t>
  </si>
  <si>
    <t>XGF-HO8A_CH5_CNT_HV</t>
  </si>
  <si>
    <t>High Speed Counter Module: Channel 5 count value (HWORD)</t>
  </si>
  <si>
    <t>XGF-HO8A_CH6_CNT_LV</t>
  </si>
  <si>
    <t>High Speed Counter Module: Channel 6 count value (LWORD)</t>
  </si>
  <si>
    <t>XGF-HO8A_CH6_CNT_HV</t>
  </si>
  <si>
    <t>High Speed Counter Module: Channel 6 count value (HWORD)</t>
  </si>
  <si>
    <t>XGF-HO8A_CH7_CNT_LV</t>
  </si>
  <si>
    <t>High Speed Counter Module: Channel 7 count value (LWORD)</t>
  </si>
  <si>
    <t>XGF-HO8A_CH7_CNT_HV</t>
  </si>
  <si>
    <t>High Speed Counter Module: Channel 7 count value (HWORD)</t>
  </si>
  <si>
    <t>XGF-HO8A_CH0_CNTEN</t>
  </si>
  <si>
    <t>XGF-HO8A_CH0_DWNCNT</t>
  </si>
  <si>
    <t>XGF-HO8A_CH0_PREEN</t>
  </si>
  <si>
    <t>High Speed Counter Module: Channel 0 auxiliary function enable command(Edge,Level)</t>
  </si>
  <si>
    <t>XGF-HO8A_CH0_CRYBRW_RST</t>
  </si>
  <si>
    <t>XGF-HO8A_CH0_CMPEN</t>
  </si>
  <si>
    <t>XGF-HO8A_CH0_OUTEN</t>
  </si>
  <si>
    <t>XGF-HO8A_CH0_EQRST</t>
  </si>
  <si>
    <t>XGF-HO8A_CH1_CNTEN</t>
  </si>
  <si>
    <t>XGF-HO8A_CH1_DWNCNT</t>
  </si>
  <si>
    <t>XGF-HO8A_CH1_PREEN</t>
  </si>
  <si>
    <t>XGF-HO8A_CH1_CRYBRW_RST</t>
  </si>
  <si>
    <t>XGF-HO8A_CH1_CMPEN</t>
  </si>
  <si>
    <t>XGF-HO8A_CH1_OUTEN</t>
  </si>
  <si>
    <t>XGF-HO8A_CH1_EQRST</t>
  </si>
  <si>
    <t>XGF-HO8A_CH2_CNTEN</t>
  </si>
  <si>
    <t>High Speed Counter Module: Channel 2 enable counter command(level)</t>
  </si>
  <si>
    <t>XGF-HO8A_CH2_DWNCNT</t>
  </si>
  <si>
    <t>High Speed Counter Module: Channel 2 up/down counter select  command(Level)</t>
  </si>
  <si>
    <t>XGF-HO8A_CH2_PREEN</t>
  </si>
  <si>
    <t>High Speed Counter Module: Channel 2 enable preset command(Edge)</t>
  </si>
  <si>
    <t>High Speed Counter Module: Channel 2 auxiliary function enable command(Edge,Level)</t>
  </si>
  <si>
    <t>XGF-HO8A_CH2_CRYBRW_RST</t>
  </si>
  <si>
    <t>High Speed Counter Module: Channel 2 carry/borrow reset command(Edge)</t>
  </si>
  <si>
    <t>XGF-HO8A_CH2_CMPEN</t>
  </si>
  <si>
    <t>High Speed Counter Module: Channel 2 compare function enable command(Level)</t>
  </si>
  <si>
    <t>XGF-HO8A_CH2_OUTEN</t>
  </si>
  <si>
    <t>High Speed Counter Module: Channel 2 compare output signal enable command(Level)</t>
  </si>
  <si>
    <t>XGF-HO8A_CH2_EQRST</t>
  </si>
  <si>
    <t>High Speed Counter Module: Channel 2 compare output 0 equal reset command (Edge)</t>
  </si>
  <si>
    <t>XGF-HO8A_CH3_CNTEN</t>
  </si>
  <si>
    <t>High Speed Counter Module: Channel 3 enable counter command(level)</t>
  </si>
  <si>
    <t>XGF-HO8A_CH3_DWNCNT</t>
  </si>
  <si>
    <t>High Speed Counter Module: Channel 3 up/down counter select  command(Level)</t>
  </si>
  <si>
    <t>XGF-HO8A_CH3_PREEN</t>
  </si>
  <si>
    <t>High Speed Counter Module: Channel 3 enable preset command(Edge)</t>
  </si>
  <si>
    <t>High Speed Counter Module: Channel 3 auxiliary function enable command(Edge,Level)</t>
  </si>
  <si>
    <t>XGF-HO8A_CH3_CRYBRW_RST</t>
  </si>
  <si>
    <t>High Speed Counter Module: Channel 3 carry/borrow reset command(Edge)</t>
  </si>
  <si>
    <t>XGF-HO8A_CH3_CMPEN</t>
  </si>
  <si>
    <t>High Speed Counter Module: Channel 3 compare function enable command(Level)</t>
  </si>
  <si>
    <t>XGF-HO8A_CH3_OUTEN</t>
  </si>
  <si>
    <t>High Speed Counter Module: Channel 3 compare output signal enable command(Level)</t>
  </si>
  <si>
    <t>XGF-HO8A_CH3_EQRST</t>
  </si>
  <si>
    <t>High Speed Counter Module: Channel 3 compare output 0 equal reset command (Edge)</t>
  </si>
  <si>
    <t>XGF-HO8A_CH4_CNTEN</t>
  </si>
  <si>
    <t>High Speed Counter Module: Channel 4 enable counter command(level)</t>
  </si>
  <si>
    <t>XGF-HO8A_CH4_DWNCNT</t>
  </si>
  <si>
    <t>High Speed Counter Module: Channel 4 up/down counter select  command(Level)</t>
  </si>
  <si>
    <t>XGF-HO8A_CH4_PREEN</t>
  </si>
  <si>
    <t>High Speed Counter Module: Channel 4 enable preset command(Edge)</t>
  </si>
  <si>
    <t>High Speed Counter Module: Channel 4 auxiliary function enable command(Edge,Level)</t>
  </si>
  <si>
    <t>XGF-HO8A_CH4_CRYBRW_RST</t>
  </si>
  <si>
    <t>High Speed Counter Module: Channel 4 carry/borrow reset command(Edge)</t>
  </si>
  <si>
    <t>XGF-HO8A_CH4_CMPEN</t>
  </si>
  <si>
    <t>High Speed Counter Module: Channel 4 compare function enable command(Level)</t>
  </si>
  <si>
    <t>XGF-HO8A_CH4_OUTEN</t>
  </si>
  <si>
    <t>High Speed Counter Module: Channel 4 compare output signal enable command(Level)</t>
  </si>
  <si>
    <t>XGF-HO8A_CH4_EQRST</t>
  </si>
  <si>
    <t>High Speed Counter Module: Channel 4 compare output 0 equal reset command (Edge)</t>
  </si>
  <si>
    <t>XGF-HO8A_CH5_CNTEN</t>
  </si>
  <si>
    <t>High Speed Counter Module: Channel 5 enable counter command(level)</t>
  </si>
  <si>
    <t>XGF-HO8A_CH5_DWNCNT</t>
  </si>
  <si>
    <t>High Speed Counter Module: Channel 5 up/down counter select  command(Level)</t>
  </si>
  <si>
    <t>XGF-HO8A_CH5_PREEN</t>
  </si>
  <si>
    <t>High Speed Counter Module: Channel 5 enable preset command(Edge)</t>
  </si>
  <si>
    <t>High Speed Counter Module: Channel 5 auxiliary function enable command(Edge,Level)</t>
  </si>
  <si>
    <t>XGF-HO8A_CH5_CRYBRW_RST</t>
  </si>
  <si>
    <t>High Speed Counter Module: Channel 5 carry/borrow reset command(Edge)</t>
  </si>
  <si>
    <t>XGF-HO8A_CH5_CMPEN</t>
  </si>
  <si>
    <t>2.D</t>
  </si>
  <si>
    <t>High Speed Counter Module: Channel 5 compare function enable command(Level)</t>
  </si>
  <si>
    <t>XGF-HO8A_CH5_OUTEN</t>
  </si>
  <si>
    <t>High Speed Counter Module: Channel 5 compare output signal enable command(Level)</t>
  </si>
  <si>
    <t>XGF-HO8A_CH5_EQRST</t>
  </si>
  <si>
    <t>2.F</t>
  </si>
  <si>
    <t>High Speed Counter Module: Channel 5 compare output 0 equal reset command (Edge)</t>
  </si>
  <si>
    <t>XGF-HO8A_CH6_CNTEN</t>
  </si>
  <si>
    <t>High Speed Counter Module: Channel 6 enable counter command(level)</t>
  </si>
  <si>
    <t>XGF-HO8A_CH6_DWNCNT</t>
  </si>
  <si>
    <t>High Speed Counter Module: Channel 6 up/down counter select  command(Level)</t>
  </si>
  <si>
    <t>XGF-HO8A_CH6_PREEN</t>
  </si>
  <si>
    <t>High Speed Counter Module: Channel 6 enable preset command(Edge)</t>
  </si>
  <si>
    <t>High Speed Counter Module: Channel 6 auxiliary function enable command(Edge,Level)</t>
  </si>
  <si>
    <t>XGF-HO8A_CH6_CRYBRW_RST</t>
  </si>
  <si>
    <t>High Speed Counter Module: Channel 6 carry/borrow reset command(Edge)</t>
  </si>
  <si>
    <t>XGF-HO8A_CH6_CMPEN</t>
  </si>
  <si>
    <t>High Speed Counter Module: Channel 6 compare function enable command(Level)</t>
  </si>
  <si>
    <t>XGF-HO8A_CH6_OUTEN</t>
  </si>
  <si>
    <t>High Speed Counter Module: Channel 6 compare output signal enable command(Level)</t>
  </si>
  <si>
    <t>XGF-HO8A_CH6_EQRST</t>
  </si>
  <si>
    <t>High Speed Counter Module: Channel 6 compare output 0 equal reset command (Edge)</t>
  </si>
  <si>
    <t>XGF-HO8A_CH7_CNTEN</t>
  </si>
  <si>
    <t>High Speed Counter Module: Channel 7 enable counter command(level)</t>
  </si>
  <si>
    <t>XGF-HO8A_CH7_DWNCNT</t>
  </si>
  <si>
    <t>High Speed Counter Module: Channel 7 up/down counter select  command(Level)</t>
  </si>
  <si>
    <t>XGF-HO8A_CH7_PREEN</t>
  </si>
  <si>
    <t>High Speed Counter Module: Channel 7 enable preset command(Edge)</t>
  </si>
  <si>
    <t>High Speed Counter Module: Channel 7 auxiliary function enable command(Edge,Level)</t>
  </si>
  <si>
    <t>XGF-HO8A_CH7_CRYBRW_RST</t>
  </si>
  <si>
    <t>High Speed Counter Module: Channel 7 carry/borrow reset command(Edge)</t>
  </si>
  <si>
    <t>XGF-HO8A_CH7_CMPEN</t>
  </si>
  <si>
    <t>3.D</t>
  </si>
  <si>
    <t>High Speed Counter Module: Channel 7 compare function enable command(Level)</t>
  </si>
  <si>
    <t>XGF-HO8A_CH7_OUTEN</t>
  </si>
  <si>
    <t>High Speed Counter Module: Channel 7 compare output signal enable command(Level)</t>
  </si>
  <si>
    <t>XGF-HO8A_CH7_EQRST</t>
  </si>
  <si>
    <t>3.F</t>
  </si>
  <si>
    <t>High Speed Counter Module: Channel 7 compare output 0 equal reset command (Edge)</t>
  </si>
  <si>
    <t>XGF-RD8A_CH0_ADJERR</t>
  </si>
  <si>
    <t>RTD Input Module: Channel 0 offset/Gain error flag</t>
  </si>
  <si>
    <t>XGF-RD8A_CH1_ADJERR</t>
  </si>
  <si>
    <t>RTD Input Module: Channel 1 offset/Gain error flag</t>
  </si>
  <si>
    <t>XGF-RD8A_CH2_ADJERR</t>
  </si>
  <si>
    <t>RTD Input Module: Channel 2 offset/Gain error flag</t>
  </si>
  <si>
    <t>XGF-RD8A_CH3_ADJERR</t>
  </si>
  <si>
    <t>RTD Input Module: Channel 3 offset/Gain error flag</t>
  </si>
  <si>
    <t>XGF-RD8A_CH4_ADJERR</t>
  </si>
  <si>
    <t>RTD Input Module: Channel 4 offset/Gain error flag</t>
  </si>
  <si>
    <t>XGF-RD8A_CH5_ADJERR</t>
  </si>
  <si>
    <t>RTD Input Module: Channel 5 offset/Gain error flag</t>
  </si>
  <si>
    <t>XGF-RD8A_CH6_ADJERR</t>
  </si>
  <si>
    <t>RTD Input Module: Channel 6 offset/Gain error flag</t>
  </si>
  <si>
    <t>XGF-RD8A_CH7_ADJERR</t>
  </si>
  <si>
    <t>RTD Input Module: Channel 7 offset/Gain error flag</t>
  </si>
  <si>
    <t>XGF-RD8A_EEPROMERR</t>
  </si>
  <si>
    <t>RTD Input Module: Offset/Gain backup error flag</t>
  </si>
  <si>
    <t>XGF-RD8A_WDT_ERR</t>
  </si>
  <si>
    <t>RTD Input Module: H/W Error Flag</t>
  </si>
  <si>
    <t>XGF-RD8A_RDY</t>
  </si>
  <si>
    <t>RTD Input Module: Module ready</t>
  </si>
  <si>
    <t>XGF-RD8A_CH0_ACT</t>
  </si>
  <si>
    <t>RTD Input Module: CH0 RUN</t>
  </si>
  <si>
    <t>XGF-RD8A_CH1_ACT</t>
  </si>
  <si>
    <t>RTD Input Module: CH1 RUN</t>
  </si>
  <si>
    <t>XGF-RD8A_CH2_ACT</t>
  </si>
  <si>
    <t>RTD Input Module: CH2 RUN</t>
  </si>
  <si>
    <t>XGF-RD8A_CH3_ACT</t>
  </si>
  <si>
    <t>RTD Input Module: CH3 RUN</t>
  </si>
  <si>
    <t>XGF-RD8A_CH4_ACT</t>
  </si>
  <si>
    <t>RTD Input Module: CH4 RUN</t>
  </si>
  <si>
    <t>XGF-RD8A_CH5_ACT</t>
  </si>
  <si>
    <t>RTD Input Module: CH5 RUN</t>
  </si>
  <si>
    <t>XGF-RD8A_CH6_ACT</t>
  </si>
  <si>
    <t>RTD Input Module: CH6 RUN</t>
  </si>
  <si>
    <t>XGF-RD8A_CH7_ACT</t>
  </si>
  <si>
    <t>RTD Input Module: CH7 RUN</t>
  </si>
  <si>
    <t>XGF-RD8A_CH0_BOUT</t>
  </si>
  <si>
    <t>RTD Input Module: Channel 0 disconnection flag</t>
  </si>
  <si>
    <t>XGF-RD8A_CH1_BOUT</t>
  </si>
  <si>
    <t>RTD Input Module: Channel 1 disconnection flag</t>
  </si>
  <si>
    <t>XGF-RD8A_CH2_BOUT</t>
  </si>
  <si>
    <t>RTD Input Module: Channel 2 disconnection flag</t>
  </si>
  <si>
    <t>XGF-RD8A_CH3_BOUT</t>
  </si>
  <si>
    <t>RTD Input Module: Channel 3 disconnection flag</t>
  </si>
  <si>
    <t>XGF-RD8A_CH4_BOUT</t>
  </si>
  <si>
    <t>RTD Input Module: Channel 4 disconnection flag</t>
  </si>
  <si>
    <t>XGF-RD8A_CH5_BOUT</t>
  </si>
  <si>
    <t>RTD Input Module: Channel 5 disconnection flag</t>
  </si>
  <si>
    <t>XGF-RD8A_CH6_BOUT</t>
  </si>
  <si>
    <t>RTD Input Module: Channel 6 disconnection flag</t>
  </si>
  <si>
    <t>XGF-RD8A_CH7_BOUT</t>
  </si>
  <si>
    <t>RTD Input Module: Channel 7 disconnection flag</t>
  </si>
  <si>
    <t>XGF-RD8A_CH0_SETERR</t>
  </si>
  <si>
    <t>RTD Input Module: Channel 0 error code</t>
  </si>
  <si>
    <t>XGF-RD8A_CH1_SETERR</t>
  </si>
  <si>
    <t>RTD Input Module: Channel 1 error code</t>
  </si>
  <si>
    <t>XGF-RD8A_CH2_SETERR</t>
  </si>
  <si>
    <t>RTD Input Module: Channel 2 error code</t>
  </si>
  <si>
    <t>XGF-RD8A_CH3_SETERR</t>
  </si>
  <si>
    <t>RTD Input Module: Channel 3 error code</t>
  </si>
  <si>
    <t>XGF-RD8A_CH4_SETERR</t>
  </si>
  <si>
    <t>RTD Input Module: Channel 4 error code</t>
  </si>
  <si>
    <t>XGF-RD8A_CH5_SETERR</t>
  </si>
  <si>
    <t>RTD Input Module: Channel 5 error code</t>
  </si>
  <si>
    <t>XGF-RD8A_CH6_SETERR</t>
  </si>
  <si>
    <t>RTD Input Module: Channel 6 error code</t>
  </si>
  <si>
    <t>XGF-RD8A_CH7_SETERR</t>
  </si>
  <si>
    <t>RTD Input Module: Channel 7 error code</t>
  </si>
  <si>
    <t>XGF-RD8A_CH0_PALL</t>
  </si>
  <si>
    <t>RTD Input Module: Channel 0 process alarm ultra lower limit flag</t>
  </si>
  <si>
    <t>XGF-RD8A_CH0_PAL</t>
  </si>
  <si>
    <t>RTD Input Module: Channel 0 process alarm lower limit flag</t>
  </si>
  <si>
    <t>XGF-RD8A_CH0_PAH</t>
  </si>
  <si>
    <t>RTD Input Module: Channel 0 process alarm upper limit flag</t>
  </si>
  <si>
    <t>XGF-RD8A_CH0_PAHH</t>
  </si>
  <si>
    <t>RTD Input Module: Channel 0 process alarm ultra  upper limit flag</t>
  </si>
  <si>
    <t>XGF-RD8A_CH1_PALL</t>
  </si>
  <si>
    <t>RTD Input Module: Channel 1 process alarm ultra lower limit flag</t>
  </si>
  <si>
    <t>XGF-RD8A_CH1_PAL</t>
  </si>
  <si>
    <t>RTD Input Module: Channel 1 process alarm lower limit flag</t>
  </si>
  <si>
    <t>XGF-RD8A_CH1_PAH</t>
  </si>
  <si>
    <t>RTD Input Module: Channel 1 process alarm upper limit flag</t>
  </si>
  <si>
    <t>XGF-RD8A_CH1_PAHH</t>
  </si>
  <si>
    <t>RTD Input Module: Channel 1 process alarm ultra  upper limit flag</t>
  </si>
  <si>
    <t>XGF-RD8A_CH2_PALL</t>
  </si>
  <si>
    <t>RTD Input Module: Channel 2 process alarm ultra lower limit flag</t>
  </si>
  <si>
    <t>XGF-RD8A_CH2_PAL</t>
  </si>
  <si>
    <t>RTD Input Module: Channel 2 process alarm lower limit flag</t>
  </si>
  <si>
    <t>XGF-RD8A_CH2_PAH</t>
  </si>
  <si>
    <t>RTD Input Module: Channel 2 process alarm upper limit flag</t>
  </si>
  <si>
    <t>XGF-RD8A_CH2_PAHH</t>
  </si>
  <si>
    <t>RTD Input Module: Channel 2 process alarm ultra  upper limit flag</t>
  </si>
  <si>
    <t>XGF-RD8A_CH3_PALL</t>
  </si>
  <si>
    <t>RTD Input Module: Channel 3 process alarm ultra lower limit flag</t>
  </si>
  <si>
    <t>XGF-RD8A_CH3_PAL</t>
  </si>
  <si>
    <t>RTD Input Module: Channel 3 process alarm lower limit flag</t>
  </si>
  <si>
    <t>XGF-RD8A_CH3_PAH</t>
  </si>
  <si>
    <t>RTD Input Module: Channel 3 process alarm upper limit flag</t>
  </si>
  <si>
    <t>XGF-RD8A_CH3_PAHH</t>
  </si>
  <si>
    <t>RTD Input Module: Channel 3 process alarm ultra  upper limit flag</t>
  </si>
  <si>
    <t>XGF-RD8A_CH4_PALL</t>
  </si>
  <si>
    <t>RTD Input Module: Channel 4 process alarm ultra lower limit flag</t>
  </si>
  <si>
    <t>XGF-RD8A_CH4_PAL</t>
  </si>
  <si>
    <t>RTD Input Module: Channel 4 process alarm lower limit flag</t>
  </si>
  <si>
    <t>XGF-RD8A_CH4_PAH</t>
  </si>
  <si>
    <t>RTD Input Module: Channel 4 process alarm upper limit flag</t>
  </si>
  <si>
    <t>XGF-RD8A_CH4_PAHH</t>
  </si>
  <si>
    <t>RTD Input Module: Channel 4 process alarm ultra  upper limit flag</t>
  </si>
  <si>
    <t>XGF-RD8A_CH5_PALL</t>
  </si>
  <si>
    <t>RTD Input Module: Channel 5 process alarm ultra lower limit flag</t>
  </si>
  <si>
    <t>XGF-RD8A_CH5_PAL</t>
  </si>
  <si>
    <t>RTD Input Module: Channel 5 process alarm lower limit flag</t>
  </si>
  <si>
    <t>XGF-RD8A_CH5_PAH</t>
  </si>
  <si>
    <t>RTD Input Module: Channel 5 process alarm upper limit flag</t>
  </si>
  <si>
    <t>XGF-RD8A_CH5_PAHH</t>
  </si>
  <si>
    <t>RTD Input Module: Channel 5 process alarm ultra  upper limit flag</t>
  </si>
  <si>
    <t>XGF-RD8A_CH6_PALL</t>
  </si>
  <si>
    <t>RTD Input Module: Channel 6 process alarm ultra lower limit flag</t>
  </si>
  <si>
    <t>XGF-RD8A_CH6_PAL</t>
  </si>
  <si>
    <t>RTD Input Module: Channel 6 process alarm lower limit flag</t>
  </si>
  <si>
    <t>XGF-RD8A_CH6_PAH</t>
  </si>
  <si>
    <t>4.A</t>
  </si>
  <si>
    <t>RTD Input Module: Channel 6 process alarm upper limit flag</t>
  </si>
  <si>
    <t>XGF-RD8A_CH6_PAHH</t>
  </si>
  <si>
    <t>4.B</t>
  </si>
  <si>
    <t>RTD Input Module: Channel 6 process alarm ultra  upper limit flag</t>
  </si>
  <si>
    <t>XGF-RD8A_CH7_PALL</t>
  </si>
  <si>
    <t>4.C</t>
  </si>
  <si>
    <t>RTD Input Module: Channel 7 process alarm ultra lower limit flag</t>
  </si>
  <si>
    <t>XGF-RD8A_CH7_PAL</t>
  </si>
  <si>
    <t>4.D</t>
  </si>
  <si>
    <t>RTD Input Module: Channel 7 process alarm lower limit flag</t>
  </si>
  <si>
    <t>XGF-RD8A_CH7_PAH</t>
  </si>
  <si>
    <t>4.E</t>
  </si>
  <si>
    <t>RTD Input Module: Channel 7 process alarm upper limit flag</t>
  </si>
  <si>
    <t>XGF-RD8A_CH7_PAHH</t>
  </si>
  <si>
    <t>4.F</t>
  </si>
  <si>
    <t>RTD Input Module: Channel 7 process alarm ultra  upper limit flag</t>
  </si>
  <si>
    <t>XGF-RD8A_CH0_RAL</t>
  </si>
  <si>
    <t>RTD Input Module: Channel 0 rate change alarm lower limit flag</t>
  </si>
  <si>
    <t>XGF-RD8A_CH0_RAH</t>
  </si>
  <si>
    <t>RTD Input Module: Channel 0 rate change alarm upper limit flag</t>
  </si>
  <si>
    <t>XGF-RD8A_CH1_RAL</t>
  </si>
  <si>
    <t>RTD Input Module: Channel 1 rate change alarm lower limit flag</t>
  </si>
  <si>
    <t>XGF-RD8A_CH1_RAH</t>
  </si>
  <si>
    <t>RTD Input Module: Channel 1 rate change alarm upper limit flag</t>
  </si>
  <si>
    <t>XGF-RD8A_CH2_RAL</t>
  </si>
  <si>
    <t>RTD Input Module: Channel 2 rate change alarm lower limit flag</t>
  </si>
  <si>
    <t>XGF-RD8A_CH2_RAH</t>
  </si>
  <si>
    <t>RTD Input Module: Channel 2 rate change alarm upper limit flag</t>
  </si>
  <si>
    <t>XGF-RD8A_CH3_RAL</t>
  </si>
  <si>
    <t>RTD Input Module: Channel 3 rate change alarm lower limit flag</t>
  </si>
  <si>
    <t>XGF-RD8A_CH3_RAH</t>
  </si>
  <si>
    <t>RTD Input Module: Channel 3 rate change alarm upper limit flag</t>
  </si>
  <si>
    <t>XGF-RD8A_CH4_RAL</t>
  </si>
  <si>
    <t>RTD Input Module: Channel 4 rate change alarm lower limit flag</t>
  </si>
  <si>
    <t>XGF-RD8A_CH4_RAH</t>
  </si>
  <si>
    <t>RTD Input Module: Channel 4 rate change alarm upper limit flag</t>
  </si>
  <si>
    <t>XGF-RD8A_CH5_RAL</t>
  </si>
  <si>
    <t>5.A</t>
  </si>
  <si>
    <t>RTD Input Module: Channel 5 rate change alarm lower limit flag</t>
  </si>
  <si>
    <t>XGF-RD8A_CH5_RAH</t>
  </si>
  <si>
    <t>5.B</t>
  </si>
  <si>
    <t>RTD Input Module: Channel 5 rate change alarm upper limit flag</t>
  </si>
  <si>
    <t>XGF-RD8A_CH6_RAL</t>
  </si>
  <si>
    <t>5.C</t>
  </si>
  <si>
    <t>RTD Input Module: Channel 6 rate change alarm lower limit flag</t>
  </si>
  <si>
    <t>XGF-RD8A_CH6_RAH</t>
  </si>
  <si>
    <t>5.D</t>
  </si>
  <si>
    <t>RTD Input Module: Channel 6 rate change alarm upper limit flag</t>
  </si>
  <si>
    <t>XGF-RD8A_CH7_RAL</t>
  </si>
  <si>
    <t>5.E</t>
  </si>
  <si>
    <t>RTD Input Module: Channel 7 rate change alarm lower limit flag</t>
  </si>
  <si>
    <t>XGF-RD8A_CH7_RAH</t>
  </si>
  <si>
    <t>5.F</t>
  </si>
  <si>
    <t>RTD Input Module: Channel 7 rate change alarm upper limit flag</t>
  </si>
  <si>
    <t>XGF-RD8A_CH0_TEMP</t>
  </si>
  <si>
    <t>RTD Input Module: Channel 0 temperature data</t>
  </si>
  <si>
    <t>XGF-RD8A_CH1_TEMP</t>
  </si>
  <si>
    <t>RTD Input Module: Channel 1 temperature data</t>
  </si>
  <si>
    <t>XGF-RD8A_CH2_TEMP</t>
  </si>
  <si>
    <t>RTD Input Module: Channel 2 temperature data</t>
  </si>
  <si>
    <t>XGF-RD8A_CH3_TEMP</t>
  </si>
  <si>
    <t>RTD Input Module: Channel 3 temperature data</t>
  </si>
  <si>
    <t>XGF-RD8A_CH4_TEMP</t>
  </si>
  <si>
    <t>RTD Input Module: Channel 4 temperature data</t>
  </si>
  <si>
    <t>XGF-RD8A_CH5_TEMP</t>
  </si>
  <si>
    <t>RTD Input Module: Channel 5 temperature data</t>
  </si>
  <si>
    <t>XGF-RD8A_CH6_TEMP</t>
  </si>
  <si>
    <t>RTD Input Module: Channel 6 temperature data</t>
  </si>
  <si>
    <t>XGF-RD8A_CH7_TEMP</t>
  </si>
  <si>
    <t>RTD Input Module: Channel 7 temperature data</t>
  </si>
  <si>
    <t>XGF-RD8A_CH0_SCAL</t>
  </si>
  <si>
    <t>RTD Input Module: Channel 0 scaling data</t>
  </si>
  <si>
    <t>XGF-RD8A_CH1_SCAL</t>
  </si>
  <si>
    <t>RTD Input Module: Channel 1 scaling data</t>
  </si>
  <si>
    <t>XGF-RD8A_CH2_SCAL</t>
  </si>
  <si>
    <t>RTD Input Module: Channel 2 scaling data</t>
  </si>
  <si>
    <t>XGF-RD8A_CH3_SCAL</t>
  </si>
  <si>
    <t>RTD Input Module: Channel 3 scaling data</t>
  </si>
  <si>
    <t>XGF-RD8A_CH4_SCAL</t>
  </si>
  <si>
    <t>RTD Input Module: Channel 4 scaling data</t>
  </si>
  <si>
    <t>XGF-RD8A_CH5_SCAL</t>
  </si>
  <si>
    <t>RTD Input Module: Channel 5 scaling data</t>
  </si>
  <si>
    <t>XGF-RD8A_CH6_SCAL</t>
  </si>
  <si>
    <t>RTD Input Module: Channel 6 scaling data</t>
  </si>
  <si>
    <t>XGF-RD8A_CH7_SCAL</t>
  </si>
  <si>
    <t>RTD Input Module: Channel 7 scaling data</t>
  </si>
  <si>
    <t>XGF-RD8A_CH0_FINDEN</t>
  </si>
  <si>
    <t>RTD Input Module: Channel 0 Max./Min. search enable/disable</t>
  </si>
  <si>
    <t>XGF-RD8A_CH1_FINDEN</t>
  </si>
  <si>
    <t>RTD Input Module: Channel 1 Max./Min. search enable/disable</t>
  </si>
  <si>
    <t>XGF-RD8A_CH2_FINDEN</t>
  </si>
  <si>
    <t>RTD Input Module: Channel 2 Max./Min. search enable/disable</t>
  </si>
  <si>
    <t>XGF-RD8A_CH3_FINDEN</t>
  </si>
  <si>
    <t>RTD Input Module: Channel 3 Max./Min. search enable/disable</t>
  </si>
  <si>
    <t>XGF-RD8A_CH4_FINDEN</t>
  </si>
  <si>
    <t>RTD Input Module: Channel 4 Max./Min. search enable/disable</t>
  </si>
  <si>
    <t>XGF-RD8A_CH5_FINDEN</t>
  </si>
  <si>
    <t>RTD Input Module: Channel 5 Max./Min. search enable/disable</t>
  </si>
  <si>
    <t>XGF-RD8A_CH6_FINDEN</t>
  </si>
  <si>
    <t>RTD Input Module: Channel 6 Max./Min. search enable/disable</t>
  </si>
  <si>
    <t>XGF-RD8A_CH7_FINDEN</t>
  </si>
  <si>
    <t>RTD Input Module: Channel 7 Max./Min. search enable/disable</t>
  </si>
  <si>
    <t>XGF-RD8A_CH0_ALMEN</t>
  </si>
  <si>
    <t>RTD Input Module: Channel 0 alarm(PVA/RCA) enable/disable</t>
  </si>
  <si>
    <t>XGF-RD8A_CH1_ALMEN</t>
  </si>
  <si>
    <t>RTD Input Module: Channel 1 alarm(PVA/RCA) enable/disable</t>
  </si>
  <si>
    <t>XGF-RD8A_CH2_ALMEN</t>
  </si>
  <si>
    <t>RTD Input Module: Channel 2 alarm(PVA/RCA) enable/disable</t>
  </si>
  <si>
    <t>XGF-RD8A_CH3_ALMEN</t>
  </si>
  <si>
    <t>RTD Input Module: Channel 3 alarm(PVA/RCA) enable/disable</t>
  </si>
  <si>
    <t>XGF-RD8A_CH4_ALMEN</t>
  </si>
  <si>
    <t>RTD Input Module: Channel 4 alarm(PVA/RCA) enable/disable</t>
  </si>
  <si>
    <t>XGF-RD8A_CH5_ALMEN</t>
  </si>
  <si>
    <t>RTD Input Module: Channel 5 alarm(PVA/RCA) enable/disable</t>
  </si>
  <si>
    <t>XGF-RD8A_CH6_ALMEN</t>
  </si>
  <si>
    <t>RTD Input Module: Channel 6 alarm(PVA/RCA) enable/disable</t>
  </si>
  <si>
    <t>XGF-RD8A_CH7_ALMEN</t>
  </si>
  <si>
    <t>RTD Input Module: Channel 7 alarm(PVA/RCA) enable/disable</t>
  </si>
  <si>
    <t>XGF-RD4A_CH0_ADJERR</t>
  </si>
  <si>
    <t>Temperature  input module Channel 0 offset/Gain error flag</t>
  </si>
  <si>
    <t>XGF-RD4A_CH1_ADJERR</t>
  </si>
  <si>
    <t>Temperature  input module Channel 1 offset/Gain error flag</t>
  </si>
  <si>
    <t>XGF-RD4A_CH2_ADJERR</t>
  </si>
  <si>
    <t>Temperature  input module Channel 2 offset/Gain error flag</t>
  </si>
  <si>
    <t>XGF-RD4A_CH3_ADJERR</t>
  </si>
  <si>
    <t>Temperature  input module Channel 3 offset/Gain error flag</t>
  </si>
  <si>
    <t>XGF-RD4A_EEPROMERR</t>
  </si>
  <si>
    <t>Temperature  input module Offset/Gain backup error flag</t>
  </si>
  <si>
    <t>XGF-RD4A_WDT_ERR</t>
  </si>
  <si>
    <t>Temperature  input module H/W Error Flag</t>
  </si>
  <si>
    <t>XGF-RD4A_RDY</t>
  </si>
  <si>
    <t>Temperature  input module Module ready</t>
  </si>
  <si>
    <t>XGF-RD4A_CH0_ACT</t>
  </si>
  <si>
    <t>Temperature  input module CH0 RUN</t>
  </si>
  <si>
    <t>XGF-RD4A_CH1_ACT</t>
  </si>
  <si>
    <t>Temperature  input module CH1 RUN</t>
  </si>
  <si>
    <t>XGF-RD4A_CH2_ACT</t>
  </si>
  <si>
    <t>Temperature  input module CH2 RUN</t>
  </si>
  <si>
    <t>XGF-RD4A_CH3_ACT</t>
  </si>
  <si>
    <t>Temperature  input module CH3 RUN</t>
  </si>
  <si>
    <t>XGF-RD4A_CH0_BOUT</t>
  </si>
  <si>
    <t>Temperature  input module Channel 0 disconnection flag</t>
  </si>
  <si>
    <t>XGF-RD4A_CH1_BOUT</t>
  </si>
  <si>
    <t>Temperature  input module Channel 1 disconnection flag</t>
  </si>
  <si>
    <t>XGF-RD4A_CH2_BOUT</t>
  </si>
  <si>
    <t>Temperature  input module Channel 2 disconnection flag</t>
  </si>
  <si>
    <t>XGF-RD4A_CH3_BOUT</t>
  </si>
  <si>
    <t>Temperature  input module Channel 3 disconnection flag</t>
  </si>
  <si>
    <t>XGF-RD4A_CH0_SETERR</t>
  </si>
  <si>
    <t>Temperature  input module Channel 0 error code</t>
  </si>
  <si>
    <t>XGF-RD4A_CH1_SETERR</t>
  </si>
  <si>
    <t>Temperature  input module Channel 1 error code</t>
  </si>
  <si>
    <t>XGF-RD4A_CH2_SETERR</t>
  </si>
  <si>
    <t>Temperature  input module Channel 2 error code</t>
  </si>
  <si>
    <t>XGF-RD4A_CH3_SETERR</t>
  </si>
  <si>
    <t>Temperature  input module Channel 3 error code</t>
  </si>
  <si>
    <t>XGF-RD4A_CH0_PALL</t>
  </si>
  <si>
    <t>Temperature  input module Channel 0 process alarm ultra lower limit flag</t>
  </si>
  <si>
    <t>XGF-RD4A_CH0_PAL</t>
  </si>
  <si>
    <t>Temperature  input module Channel 0 process alarm lower limit flag</t>
  </si>
  <si>
    <t>XGF-RD4A_CH0_PAH</t>
  </si>
  <si>
    <t>Temperature  input module Channel 0 process alarm upper limit flag</t>
  </si>
  <si>
    <t>XGF-RD4A_CH0_PAHH</t>
  </si>
  <si>
    <t>Temperature  input module Channel 0 process alarm ultra  upper limit flag</t>
  </si>
  <si>
    <t>XGF-RD4A_CH1_PALL</t>
  </si>
  <si>
    <t>Temperature  input module Channel 1 process alarm ultra lower limit flag</t>
  </si>
  <si>
    <t>XGF-RD4A_CH1_PAL</t>
  </si>
  <si>
    <t>Temperature  input module Channel 1 process alarm lower limit flag</t>
  </si>
  <si>
    <t>XGF-RD4A_CH1_PAH</t>
  </si>
  <si>
    <t>Temperature  input module Channel 1 process alarm upper limit flag</t>
  </si>
  <si>
    <t>XGF-RD4A_CH1_PAHH</t>
  </si>
  <si>
    <t>Temperature  input module Channel 1 process alarm ultra  upper limit flag</t>
  </si>
  <si>
    <t>XGF-RD4A_CH2_PALL</t>
  </si>
  <si>
    <t>Temperature  input module Channel 2 process alarm ultra lower limit flag</t>
  </si>
  <si>
    <t>XGF-RD4A_CH2_PAL</t>
  </si>
  <si>
    <t>Temperature  input module Channel 2 process alarm lower limit flag</t>
  </si>
  <si>
    <t>XGF-RD4A_CH2_PAH</t>
  </si>
  <si>
    <t>Temperature  input module Channel 2 process alarm upper limit flag</t>
  </si>
  <si>
    <t>XGF-RD4A_CH2_PAHH</t>
  </si>
  <si>
    <t>Temperature  input module Channel 2 process alarm ultra  upper limit flag</t>
  </si>
  <si>
    <t>XGF-RD4A_CH3_PALL</t>
  </si>
  <si>
    <t>Temperature  input module Channel 3 process alarm ultra lower limit flag</t>
  </si>
  <si>
    <t>XGF-RD4A_CH3_PAL</t>
  </si>
  <si>
    <t>Temperature  input module Channel 3 process alarm lower limit flag</t>
  </si>
  <si>
    <t>XGF-RD4A_CH3_PAH</t>
  </si>
  <si>
    <t>Temperature  input module Channel 3 process alarm upper limit flag</t>
  </si>
  <si>
    <t>XGF-RD4A_CH3_PAHH</t>
  </si>
  <si>
    <t>Temperature  input module Channel 3 process alarm ultra  upper limit flag</t>
  </si>
  <si>
    <t>XGF-RD4A_CH0_RAL</t>
  </si>
  <si>
    <t>Temperature  input module Channel 0 rate change alarm lower limit flag</t>
  </si>
  <si>
    <t>XGF-RD4A_CH0_RAH</t>
  </si>
  <si>
    <t>Temperature  input module Channel 0 rate change alarm upper limit flag</t>
  </si>
  <si>
    <t>XGF-RD4A_CH1_RAL</t>
  </si>
  <si>
    <t>Temperature  input module Channel 1 rate change alarm lower limit flag</t>
  </si>
  <si>
    <t>XGF-RD4A_CH1_RAH</t>
  </si>
  <si>
    <t>Temperature input module Channel 1 rate change alarm upper limit flag</t>
  </si>
  <si>
    <t>XGF-RD4A_CH2_RAL</t>
  </si>
  <si>
    <t>Temperature input module Channel 2 rate change alarm lower limit flag</t>
  </si>
  <si>
    <t>XGF-RD4A_CH2_RAH</t>
  </si>
  <si>
    <t>Temperature input module Channel 2 rate change alarm upper limit flag</t>
  </si>
  <si>
    <t>XGF-RD4A_CH3_RAL</t>
  </si>
  <si>
    <t>Temperature input module Channel 3 rate change alarm lower limit flag</t>
  </si>
  <si>
    <t>XGF-RD4A_CH3_RAH</t>
  </si>
  <si>
    <t>Temperature input module Channel 3 rate change alarm upper limit flag</t>
  </si>
  <si>
    <t>XGF-RD4A_CH0_TEMP</t>
  </si>
  <si>
    <t>Temperature input module Channel 0 temperature data</t>
  </si>
  <si>
    <t>XGF-RD4A_CH1_TEMP</t>
  </si>
  <si>
    <t>Temperature input module Channel 1 temperature data</t>
  </si>
  <si>
    <t>XGF-RD4A_CH2_TEMP</t>
  </si>
  <si>
    <t>Temperature input module Channel 2 temperature data</t>
  </si>
  <si>
    <t>XGF-RD4A_CH3_TEMP</t>
  </si>
  <si>
    <t>Temperature input module Channel 3 temperature data</t>
  </si>
  <si>
    <t>XGF-RD4A_CH0_SCAL</t>
  </si>
  <si>
    <t>Temperature input module Channel 0 scaling data</t>
  </si>
  <si>
    <t>XGF-RD4A_CH1_SCAL</t>
  </si>
  <si>
    <t>Temperature input module Channel 1 scaling data</t>
  </si>
  <si>
    <t>XGF-RD4A_CH2_SCAL</t>
  </si>
  <si>
    <t>Temperature input module Channel 2 scaling data</t>
  </si>
  <si>
    <t>XGF-RD4A_CH3_SCAL</t>
  </si>
  <si>
    <t>Temperature input module Channel 3 scaling data</t>
  </si>
  <si>
    <t>XGF-RD4A_CH0_MIN</t>
  </si>
  <si>
    <t>Temperature input module Channel 0 temperature Min. data</t>
  </si>
  <si>
    <t>XGF-RD4A_CH0_MAX</t>
  </si>
  <si>
    <t>Temperature input module Channel 0 temperature Max. data</t>
  </si>
  <si>
    <t>XGF-RD4A_CH1_MIN</t>
  </si>
  <si>
    <t>Temperature  input module Channel 1 temperature Min. data</t>
  </si>
  <si>
    <t>XGF-RD4A_CH1_MAX</t>
  </si>
  <si>
    <t>Temperature input module Channel 1 temperature Max. data</t>
  </si>
  <si>
    <t>XGF-RD4A_CH2_MIN</t>
  </si>
  <si>
    <t>Temperature input module Channel 2 temperature Min. data</t>
  </si>
  <si>
    <t>XGF-RD4A_CH2_MAX</t>
  </si>
  <si>
    <t>Temperature input module Channel 2 temperature Max. data</t>
  </si>
  <si>
    <t>XGF-RD4A_CH3_MIN</t>
  </si>
  <si>
    <t>Temperature input module Channel 3 temperature Min. data</t>
  </si>
  <si>
    <t>XGF-RD4A_CH3_MAX</t>
  </si>
  <si>
    <t>Temperature input module Channel 3 temperature Max. data</t>
  </si>
  <si>
    <t>XGF-RD4A_CH0_TIMEL</t>
  </si>
  <si>
    <t>Temperature input module Channel 0 data upload time</t>
  </si>
  <si>
    <t>XGF-RD4A_CH0_TIMEH</t>
  </si>
  <si>
    <t>XGF-RD4A_CH1_TIMEL</t>
  </si>
  <si>
    <t>Temperature input module Channel 1 data upload time</t>
  </si>
  <si>
    <t>XGF-RD4A_CH1_TIMEH</t>
  </si>
  <si>
    <t>Temperature  input module Channel 1 data upload time</t>
  </si>
  <si>
    <t>XGF-RD4A_CH2_TIMEL</t>
  </si>
  <si>
    <t>Temperature  input module Channel 2 data upload time</t>
  </si>
  <si>
    <t>XGF-RD4A_CH2_TIMEH</t>
  </si>
  <si>
    <t>XGF-RD4A_CH3_TIMEL</t>
  </si>
  <si>
    <t>Temperature  input module Channel 3 data upload time</t>
  </si>
  <si>
    <t>XGF-RD4A_CH3_TIMEH</t>
  </si>
  <si>
    <t>XGF-RD4A_CH0_FINDEN</t>
  </si>
  <si>
    <t>Temperature  input module Channel 0 Max./Min. search enable/disable</t>
  </si>
  <si>
    <t>XGF-RD4A_CH1_FINDEN</t>
  </si>
  <si>
    <t>Temperature  input module Channel 1 Max./Min. search enable/disable</t>
  </si>
  <si>
    <t>XGF-RD4A_CH2_FINDEN</t>
  </si>
  <si>
    <t>Temperature  input module Channel 2 Max./Min. search enable/disable</t>
  </si>
  <si>
    <t>XGF-RD4A_CH3_FINDEN</t>
  </si>
  <si>
    <t>Temperature  input module Channel 3 Max./Min. search enable/disable</t>
  </si>
  <si>
    <t>XGF-RD4A_CH0_ALMEN</t>
  </si>
  <si>
    <t>Temperature  input module Channel 0 alarm(PVA/RCA) enable/disable</t>
  </si>
  <si>
    <t>XGF-RD4A_CH1_ALMEN</t>
  </si>
  <si>
    <t>Temperature  input module Channel 1 alarm(PVA/RCA) enable/disable</t>
  </si>
  <si>
    <t>XGF-RD4A_CH2_ALMEN</t>
  </si>
  <si>
    <t>Temperature  input module Channel 2 alarm(PVA/RCA) enable/disable</t>
  </si>
  <si>
    <t>XGF-RD4A_CH3_ALMEN</t>
  </si>
  <si>
    <t>Temperature  input module Channel 3 alarm(PVA/RCA) enable/disable</t>
  </si>
  <si>
    <t>XGF-RD4S_CH0_ADJERR</t>
  </si>
  <si>
    <t>Isolated temperature  input module: Channel 0 offset/Gain error flag</t>
  </si>
  <si>
    <t>XGF-RD4S_CH1_ADJERR</t>
  </si>
  <si>
    <t>Isolated temperature  input module: Channel 1 offset/Gain error flag</t>
  </si>
  <si>
    <t>XGF-RD4S_CH2_ADJERR</t>
  </si>
  <si>
    <t>Isolated temperature  input module: Channel 2 offset/Gain error flag</t>
  </si>
  <si>
    <t>XGF-RD4S_CH3_ADJERR</t>
  </si>
  <si>
    <t>Isolated temperature  input module: Channel 3 offset/Gain error flag</t>
  </si>
  <si>
    <t>XGF-RD4S_EEPROMERR</t>
  </si>
  <si>
    <t>Isolated temperature  input module: Offset/Gain backup error flag</t>
  </si>
  <si>
    <t>XGF-RD4S_WDT_ERR</t>
  </si>
  <si>
    <t>Isolated temperature  input module: H/W Error Flag</t>
  </si>
  <si>
    <t>XGF-RD4S_RDY</t>
  </si>
  <si>
    <t>Isolated temperature  input module: Module ready</t>
  </si>
  <si>
    <t>XGF-RD4S_CH0_ACT</t>
  </si>
  <si>
    <t>Isolated temperature  input module: CH0 RUN</t>
  </si>
  <si>
    <t>XGF-RD4S_CH1_ACT</t>
  </si>
  <si>
    <t>Isolated temperature  input module: CH1 RUN</t>
  </si>
  <si>
    <t>XGF-RD4S_CH2_ACT</t>
  </si>
  <si>
    <t>Isolated temperature  input module: CH2 RUN</t>
  </si>
  <si>
    <t>XGF-RD4S_CH3_ACT</t>
  </si>
  <si>
    <t>Isolated temperature  input module: CH3 RUN</t>
  </si>
  <si>
    <t>XGF-RD4S_CH0_BOUT</t>
  </si>
  <si>
    <t>Isolated temperature  input module: Channel 0 disconnection flag</t>
  </si>
  <si>
    <t>XGF-RD4S_CH1_BOUT</t>
  </si>
  <si>
    <t>Isolated temperature  input module: Channel 1 disconnection flag</t>
  </si>
  <si>
    <t>XGF-RD4S_CH2_BOUT</t>
  </si>
  <si>
    <t>Isolated temperature  input module: Channel 2 disconnection flag</t>
  </si>
  <si>
    <t>XGF-RD4S_CH3_BOUT</t>
  </si>
  <si>
    <t>Isolated temperature  input module: Channel 3 disconnection flag</t>
  </si>
  <si>
    <t>XGF-RD4S_CH0_SETERR</t>
  </si>
  <si>
    <t>Isolated temperature  input module: Channel 0 error code</t>
  </si>
  <si>
    <t>XGF-RD4S_CH1_SETERR</t>
  </si>
  <si>
    <t>Isolated temperature  input module: Channel 1 error code</t>
  </si>
  <si>
    <t>XGF-RD4S_CH2_SETERR</t>
  </si>
  <si>
    <t>Isolated temperature  input module: Channel 2 error code</t>
  </si>
  <si>
    <t>XGF-RD4S_CH3_SETERR</t>
  </si>
  <si>
    <t>Isolated temperature  input module: Channel 3 error code</t>
  </si>
  <si>
    <t>XGF-RD4S_CH0_PALL</t>
  </si>
  <si>
    <t>Isolated temperature  input module: Channel 0 process alarm ultra lower limit flag</t>
  </si>
  <si>
    <t>XGF-RD4S_CH0_PAL</t>
  </si>
  <si>
    <t>Isolated temperature  input module: Channel 0 process alarm lower limit flag</t>
  </si>
  <si>
    <t>XGF-RD4S_CH0_PAH</t>
  </si>
  <si>
    <t>Isolated temperature  input module: Channel 0 process alarm upper limit flag</t>
  </si>
  <si>
    <t>XGF-RD4S_CH0_PAHH</t>
  </si>
  <si>
    <t>Isolated temperature  input module: Channel 0 process alarm ultra  upper limit flag</t>
  </si>
  <si>
    <t>XGF-RD4S_CH1_PALL</t>
  </si>
  <si>
    <t>Isolated temperature  input module: Channel 1 process alarm ultra lower limit flag</t>
  </si>
  <si>
    <t>XGF-RD4S_CH1_PAL</t>
  </si>
  <si>
    <t>Isolated temperature  input module: Channel 1 process alarm lower limit flag</t>
  </si>
  <si>
    <t>XGF-RD4S_CH1_PAH</t>
  </si>
  <si>
    <t>Isolated temperature  input module: Channel 1 process alarm upper limit flag</t>
  </si>
  <si>
    <t>XGF-RD4S_CH1_PAHH</t>
  </si>
  <si>
    <t>Isolated temperature  input module: Channel 1 process alarm ultra  upper limit flag</t>
  </si>
  <si>
    <t>XGF-RD4S_CH2_PALL</t>
  </si>
  <si>
    <t>Isolated temperature  input module: Channel 2 process alarm ultra lower limit flag</t>
  </si>
  <si>
    <t>XGF-RD4S_CH2_PAL</t>
  </si>
  <si>
    <t>Isolated temperature  input module: Channel 2 process alarm lower limit flag</t>
  </si>
  <si>
    <t>XGF-RD4S_CH2_PAH</t>
  </si>
  <si>
    <t>Isolated temperature  input module: Channel 2 process alarm upper limit flag</t>
  </si>
  <si>
    <t>XGF-RD4S_CH2_PAHH</t>
  </si>
  <si>
    <t>Isolated temperature  input module: Channel 2 process alarm ultra  upper limit flag</t>
  </si>
  <si>
    <t>XGF-RD4S_CH3_PALL</t>
  </si>
  <si>
    <t>Isolated temperature  input module: Channel 3 process alarm ultra lower limit flag</t>
  </si>
  <si>
    <t>XGF-RD4S_CH3_PAL</t>
  </si>
  <si>
    <t>Isolated temperature  input module: Channel 3 process alarm lower limit flag</t>
  </si>
  <si>
    <t>XGF-RD4S_CH3_PAH</t>
  </si>
  <si>
    <t>Isolated temperature  input module: Channel 3 process alarm upper limit flag</t>
  </si>
  <si>
    <t>XGF-RD4S_CH3_PAHH</t>
  </si>
  <si>
    <t>Isolated temperature  input module: Channel 3 process alarm ultra  upper limit flag</t>
  </si>
  <si>
    <t>XGF-RD4S_CH0_RAL</t>
  </si>
  <si>
    <t>Isolated temperature  input module: Channel 0 rate change alarm lower limit flag</t>
  </si>
  <si>
    <t>XGF-RD4S_CH0_RAH</t>
  </si>
  <si>
    <t>Isolated temperature  input module: Channel 0 rate change alarm upper limit flag</t>
  </si>
  <si>
    <t>XGF-RD4S_CH1_RAL</t>
  </si>
  <si>
    <t>Isolated temperature  input module: Channel 1 rate change alarm lower limit flag</t>
  </si>
  <si>
    <t>XGF-RD4S_CH1_RAH</t>
  </si>
  <si>
    <t>Isolated temperature  input module: Channel 1 rate change alarm upper limit flag</t>
  </si>
  <si>
    <t>XGF-RD4S_CH2_RAL</t>
  </si>
  <si>
    <t>Isolated temperature  input module: Channel 2 rate change alarm lower limit flag</t>
  </si>
  <si>
    <t>XGF-RD4S_CH2_RAH</t>
  </si>
  <si>
    <t>Isolated temperature  input module: Channel 2 rate change alarm upper limit flag</t>
  </si>
  <si>
    <t>XGF-RD4S_CH3_RAL</t>
  </si>
  <si>
    <t>Isolated temperature  input module: Channel 3 rate change alarm lower limit flag</t>
  </si>
  <si>
    <t>XGF-RD4S_CH3_RAH</t>
  </si>
  <si>
    <t>Isolated temperature  input module: Channel 3 rate change alarm upper limit flag</t>
  </si>
  <si>
    <t>XGF-RD4S_CH0_TEMP</t>
  </si>
  <si>
    <t>Isolated temperature  input module: Channel 0 temperature data</t>
  </si>
  <si>
    <t>XGF-RD4S_CH1_TEMP</t>
  </si>
  <si>
    <t>Isolated temperature  input module: Channel 1 temperature data</t>
  </si>
  <si>
    <t>XGF-RD4S_CH2_TEMP</t>
  </si>
  <si>
    <t>Isolated temperature  input module: Channel 2 temperature data</t>
  </si>
  <si>
    <t>XGF-RD4S_CH3_TEMP</t>
  </si>
  <si>
    <t>Isolated temperature  input module: Channel 3 temperature data</t>
  </si>
  <si>
    <t>XGF-RD4S_CH0_SCAL</t>
  </si>
  <si>
    <t>Isolated temperature  input module: Channel 0 scaling data</t>
  </si>
  <si>
    <t>XGF-RD4S_CH1_SCAL</t>
  </si>
  <si>
    <t>Isolated temperature  input module: Channel 1 scaling data</t>
  </si>
  <si>
    <t>XGF-RD4S_CH2_SCAL</t>
  </si>
  <si>
    <t>Isolated temperature  input module: Channel 2 scaling data</t>
  </si>
  <si>
    <t>XGF-RD4S_CH3_SCAL</t>
  </si>
  <si>
    <t>Isolated temperature  input module: Channel 3 scaling data</t>
  </si>
  <si>
    <t>XGF-RD4S_CH0_MIN</t>
  </si>
  <si>
    <t>Isolated temperature  input module: Channel 0 temperature Min. data</t>
  </si>
  <si>
    <t>XGF-RD4S_CH0_MAX</t>
  </si>
  <si>
    <t>Isolated temperature  input module: Channel 0 temperature Max. data</t>
  </si>
  <si>
    <t>XGF-RD4S_CH1_MIN</t>
  </si>
  <si>
    <t>Isolated temperature  input module: Channel 1 temperature Min. data</t>
  </si>
  <si>
    <t>XGF-RD4S_CH1_MAX</t>
  </si>
  <si>
    <t>Isolated temperature  input module: Channel 1 temperature Max. data</t>
  </si>
  <si>
    <t>XGF-RD4S_CH2_MIN</t>
  </si>
  <si>
    <t>Isolated temperature  input module: Channel 2 temperature Min. data</t>
  </si>
  <si>
    <t>XGF-RD4S_CH2_MAX</t>
  </si>
  <si>
    <t>Isolated temperature  input module: Channel 2 temperature Max. data</t>
  </si>
  <si>
    <t>XGF-RD4S_CH3_MIN</t>
  </si>
  <si>
    <t>Isolated temperature  input module: Channel 3 temperature Min. data</t>
  </si>
  <si>
    <t>XGF-RD4S_CH3_MAX</t>
  </si>
  <si>
    <t>Isolated temperature  input module: Channel 3 temperature Max. data</t>
  </si>
  <si>
    <t>XGF-RD4S_CH0_TIMEL</t>
  </si>
  <si>
    <t>Isolated temperature  input module: Channel 0 data upload time</t>
  </si>
  <si>
    <t>XGF-RD4S_CH0_TIMEH</t>
  </si>
  <si>
    <t>XGF-RD4S_CH1_TIMEL</t>
  </si>
  <si>
    <t>Isolated temperature  input module: Channel 1 data upload time</t>
  </si>
  <si>
    <t>XGF-RD4S_CH1_TIMEH</t>
  </si>
  <si>
    <t>XGF-RD4S_CH2_TIMEL</t>
  </si>
  <si>
    <t>Isolated temperature  input module: Channel 2 data upload time</t>
  </si>
  <si>
    <t>XGF-RD4S_CH2_TIMEH</t>
  </si>
  <si>
    <t>XGF-RD4S_CH3_TIMEL</t>
  </si>
  <si>
    <t>Isolated temperature  input module: Channel 3 data upload time</t>
  </si>
  <si>
    <t>XGF-RD4S_CH3_TIMEH</t>
  </si>
  <si>
    <t>XGF-RD4S_CH0_FINDEN</t>
  </si>
  <si>
    <t>Isolated temperature  input module: Channel 0 Max./Min. search enable/disable</t>
  </si>
  <si>
    <t>XGF-RD4S_CH1_FINDEN</t>
  </si>
  <si>
    <t>Isolated temperature  input module: Channel 1 Max./Min. search enable/disable</t>
  </si>
  <si>
    <t>XGF-RD4S_CH2_FINDEN</t>
  </si>
  <si>
    <t>Isolated temperature  input module: Channel 2 Max./Min. search enable/disable</t>
  </si>
  <si>
    <t>XGF-RD4S_CH3_FINDEN</t>
  </si>
  <si>
    <t>Isolated temperature  input module: Channel 3 Max./Min. search enable/disable</t>
  </si>
  <si>
    <t>XGF-RD4S_CH0_ALMEN</t>
  </si>
  <si>
    <t>Isolated temperature  input module: Channel 0 alarm(PVA/RCA) enable/disable</t>
  </si>
  <si>
    <t>XGF-RD4S_CH1_ALMEN</t>
  </si>
  <si>
    <t>Isolated temperature  input module: Channel 1 alarm(PVA/RCA) enable/disable</t>
  </si>
  <si>
    <t>XGF-RD4S_CH2_ALMEN</t>
  </si>
  <si>
    <t>Isolated temperature  input module: Channel 2 alarm(PVA/RCA) enable/disable</t>
  </si>
  <si>
    <t>XGF-RD4S_CH3_ALMEN</t>
  </si>
  <si>
    <t>Isolated temperature  input module: Channel 3 alarm(PVA/RCA) enable/disable</t>
  </si>
  <si>
    <t>XGF-TC4S_CH0_ADJERR</t>
  </si>
  <si>
    <t>XGF-TC4S_CH1_ADJERR</t>
  </si>
  <si>
    <t>XGF-TC4S_CH2_ADJERR</t>
  </si>
  <si>
    <t>XGF-TC4S_CH3_ADJERR</t>
  </si>
  <si>
    <t>XGF-TC4S_EEPROMERR</t>
  </si>
  <si>
    <t>XGF-TC4S_WDT_ERR</t>
  </si>
  <si>
    <t>XGF-TC4S_RDY</t>
  </si>
  <si>
    <t>XGF-TC4S_CH0_ACT</t>
  </si>
  <si>
    <t>XGF-TC4S_CH1_ACT</t>
  </si>
  <si>
    <t>XGF-TC4S_CH2_ACT</t>
  </si>
  <si>
    <t>XGF-TC4S_CH3_ACT</t>
  </si>
  <si>
    <t>XGF-TC4S_CH0_BOUT</t>
  </si>
  <si>
    <t>XGF-TC4S_CH1_BOUT</t>
  </si>
  <si>
    <t>XGF-TC4S_CH2_BOUT</t>
  </si>
  <si>
    <t>XGF-TC4S_CH3_BOUT</t>
  </si>
  <si>
    <t>XGF-TC4S_CH0_SETERR</t>
  </si>
  <si>
    <t>XGF-TC4S_CH1_SETERR</t>
  </si>
  <si>
    <t>XGF-TC4S_CH2_SETERR</t>
  </si>
  <si>
    <t>XGF-TC4S_CH3_SETERR</t>
  </si>
  <si>
    <t>XGF-TC4S_CH0_PALL</t>
  </si>
  <si>
    <t>XGF-TC4S_CH0_PAL</t>
  </si>
  <si>
    <t>XGF-TC4S_CH0_PAH</t>
  </si>
  <si>
    <t>XGF-TC4S_CH0_PAHH</t>
  </si>
  <si>
    <t>XGF-TC4S_CH1_PALL</t>
  </si>
  <si>
    <t>XGF-TC4S_CH1_PAL</t>
  </si>
  <si>
    <t>XGF-TC4S_CH1_PAH</t>
  </si>
  <si>
    <t>XGF-TC4S_CH1_PAHH</t>
  </si>
  <si>
    <t>XGF-TC4S_CH2_PALL</t>
  </si>
  <si>
    <t>XGF-TC4S_CH2_PAL</t>
  </si>
  <si>
    <t>XGF-TC4S_CH2_PAH</t>
  </si>
  <si>
    <t>XGF-TC4S_CH2_PAHH</t>
  </si>
  <si>
    <t>XGF-TC4S_CH3_PALL</t>
  </si>
  <si>
    <t>XGF-TC4S_CH3_PAL</t>
  </si>
  <si>
    <t>XGF-TC4S_CH3_PAH</t>
  </si>
  <si>
    <t>XGF-TC4S_CH3_PAHH</t>
  </si>
  <si>
    <t>XGF-TC4S_CH0_RAL</t>
  </si>
  <si>
    <t>XGF-TC4S_CH0_RAH</t>
  </si>
  <si>
    <t>XGF-TC4S_CH1_RAL</t>
  </si>
  <si>
    <t>XGF-TC4S_CH1_RAH</t>
  </si>
  <si>
    <t>XGF-TC4S_CH2_RAL</t>
  </si>
  <si>
    <t>XGF-TC4S_CH2_RAH</t>
  </si>
  <si>
    <t>XGF-TC4S_CH3_RAL</t>
  </si>
  <si>
    <t>XGF-TC4S_CH3_RAH</t>
  </si>
  <si>
    <t>XGF-TC4S_CH0_TEMP</t>
  </si>
  <si>
    <t>XGF-TC4S_CH1_TEMP</t>
  </si>
  <si>
    <t>XGF-TC4S_CH2_TEMP</t>
  </si>
  <si>
    <t>XGF-TC4S_CH3_TEMP</t>
  </si>
  <si>
    <t>XGF-TC4S_CH0_SCAL</t>
  </si>
  <si>
    <t>XGF-TC4S_CH1_SCAL</t>
  </si>
  <si>
    <t>XGF-TC4S_CH2_SCAL</t>
  </si>
  <si>
    <t>XGF-TC4S_CH3_SCAL</t>
  </si>
  <si>
    <t>XGF-TC4S_CH0_MIN</t>
  </si>
  <si>
    <t>XGF-TC4S_CH0_MAX</t>
  </si>
  <si>
    <t>XGF-TC4S_CH1_MIN</t>
  </si>
  <si>
    <t>XGF-TC4S_CH1_MAX</t>
  </si>
  <si>
    <t>XGF-TC4S_CH2_MIN</t>
  </si>
  <si>
    <t>XGF-TC4S_CH2_MAX</t>
  </si>
  <si>
    <t>XGF-TC4S_CH3_MIN</t>
  </si>
  <si>
    <t>XGF-TC4S_CH3_MAX</t>
  </si>
  <si>
    <t>XGF-TC4S_CH0_TIMEL</t>
  </si>
  <si>
    <t>XGF-TC4S_CH0_TIMEH</t>
  </si>
  <si>
    <t>XGF-TC4S_CH1_TIMEL</t>
  </si>
  <si>
    <t>XGF-TC4S_CH1_TIMEH</t>
  </si>
  <si>
    <t>XGF-TC4S_CH2_TIMEL</t>
  </si>
  <si>
    <t>XGF-TC4S_CH2_TIMEH</t>
  </si>
  <si>
    <t>XGF-TC4S_CH3_TIMEL</t>
  </si>
  <si>
    <t>XGF-TC4S_CH3_TIMEH</t>
  </si>
  <si>
    <t>XGF-TC4S_CH0_FINDEN</t>
  </si>
  <si>
    <t>XGF-TC4S_CH1_FINDEN</t>
  </si>
  <si>
    <t>XGF-TC4S_CH2_FINDEN</t>
  </si>
  <si>
    <t>XGF-TC4S_CH3_FINDEN</t>
  </si>
  <si>
    <t>XGF-TC4S_CH0_ALMEN</t>
  </si>
  <si>
    <t>XGF-TC4S_CH1_ALMEN</t>
  </si>
  <si>
    <t>XGF-TC4S_CH2_ALMEN</t>
  </si>
  <si>
    <t>XGF-TC4S_CH3_ALMEN</t>
  </si>
  <si>
    <t>XGF-TC4S_CH0_RJCDS</t>
  </si>
  <si>
    <t>Isolated temperature  input module: Channel 0 cold junction compensation enable/disable</t>
  </si>
  <si>
    <t>XGF-TC4S_CH1_RJCDS</t>
  </si>
  <si>
    <t>Isolated temperature  input module: Channel 1 cold junction compensation enable/disable</t>
  </si>
  <si>
    <t>XGF-TC4S_CH2_RJCDS</t>
  </si>
  <si>
    <t>Isolated temperature  input module: Channel 2 cold junction compensation enable/disable</t>
  </si>
  <si>
    <t>XGF-TC4S_CH3_RJCDS</t>
  </si>
  <si>
    <t>Isolated temperature  input module: Channel 3 cold junction compensation enable/disable</t>
  </si>
  <si>
    <t>XGF-TC4UD_CH0_ACT</t>
  </si>
  <si>
    <t>Temperature controller module: CH0 RUN</t>
  </si>
  <si>
    <t>XGF-TC4UD_CH1_ACT</t>
  </si>
  <si>
    <t>Temperature controller module: CH1 RUN</t>
  </si>
  <si>
    <t>XGF-TC4UD_CH2_ACT</t>
  </si>
  <si>
    <t>Temperature controller module: CH2 RUN</t>
  </si>
  <si>
    <t>XGF-TC4UD_CH3_ACT</t>
  </si>
  <si>
    <t>Temperature controller module: CH3 RUN</t>
  </si>
  <si>
    <t>XGF-TC4UD_CH0_BOUT</t>
  </si>
  <si>
    <t>Temperature controller module: Channel 0 disconnection flag</t>
  </si>
  <si>
    <t>XGF-TC4UD_CH1_BOUT</t>
  </si>
  <si>
    <t>Temperature controller module: Channel 1 disconnection flag</t>
  </si>
  <si>
    <t>XGF-TC4UD_CH2_BOUT</t>
  </si>
  <si>
    <t>Temperature controller module: Channel 2 disconnection flag</t>
  </si>
  <si>
    <t>XGF-TC4UD_CH3_BOUT</t>
  </si>
  <si>
    <t>Temperature controller module: Channel 3 disconnection flag</t>
  </si>
  <si>
    <t>XGF-TC4UD_CH0_ADCERR</t>
  </si>
  <si>
    <t>Temperature controller module: Channel 0 A/D conversion error</t>
  </si>
  <si>
    <t>XGF-TC4UD_CH1_ADCERR</t>
  </si>
  <si>
    <t>Temperature controller module: Channel 1 A/D conversion error</t>
  </si>
  <si>
    <t>XGF-TC4UD_CH2_ADCERR</t>
  </si>
  <si>
    <t>Temperature controller module: Channel 2 A/D conversion error</t>
  </si>
  <si>
    <t>XGF-TC4UD_CH3_ADCERR</t>
  </si>
  <si>
    <t>Temperature controller module: Channel 3 A/D conversion error</t>
  </si>
  <si>
    <t>XGF-TC4UD_CHECKSUMERR</t>
  </si>
  <si>
    <t>Temperature controller module: Module backup memory error</t>
  </si>
  <si>
    <t>XGF-TC4UD_ERR</t>
  </si>
  <si>
    <t>Temperature controller module: Module error</t>
  </si>
  <si>
    <t>XGF-TC4UD_RDY</t>
  </si>
  <si>
    <t>Temperature controller module: Module ready</t>
  </si>
  <si>
    <t>XGF-TC4UD_WR_ING</t>
  </si>
  <si>
    <t>Temperature controller module: Parameter writing</t>
  </si>
  <si>
    <t>XGF-TC4UD_RD_ING</t>
  </si>
  <si>
    <t>Temperature controller module: Parameter  reading</t>
  </si>
  <si>
    <t>XGF-TC4UD_CH0_ALINHH</t>
  </si>
  <si>
    <t>Temperature controller module: Channel 0  input alarm HH limit</t>
  </si>
  <si>
    <t>XGF-TC4UD_CH0_ALINH</t>
  </si>
  <si>
    <t>Temperature controller module: Channel 0  input alarm high limit</t>
  </si>
  <si>
    <t>XGF-TC4UD_CH0_ALINL</t>
  </si>
  <si>
    <t>Temperature controller module: Channel 0  input alarm lower limit</t>
  </si>
  <si>
    <t>XGF-TC4UD_CH0_ALINLL</t>
  </si>
  <si>
    <t>Temperature controller module: Channel 0  input alarm LL limit</t>
  </si>
  <si>
    <t>XGF-TC4UD_CH0_ALHOH</t>
  </si>
  <si>
    <t>Temperature controller module: Channel 0 heat output alarm upper limit</t>
  </si>
  <si>
    <t>XGF-TC4UD_CH0_ALHOL</t>
  </si>
  <si>
    <t>Temperature controller module: Channel 0 heat output alarm lower limit</t>
  </si>
  <si>
    <t>XGF-TC4UD_CH0_ALCOH</t>
  </si>
  <si>
    <t>Temperature controller module: Channel 0 cooling output alarm upper limit</t>
  </si>
  <si>
    <t>XGF-TC4UD_CH0_ALCOL</t>
  </si>
  <si>
    <t>Temperature controller module: Channel 0 cooling output alarm lower limit</t>
  </si>
  <si>
    <t>XGF-TC4UD_CH1_ALINHH</t>
  </si>
  <si>
    <t>Temperature controller module: Channel 1  input alarm HH limit</t>
  </si>
  <si>
    <t>XGF-TC4UD_CH1_ALINH</t>
  </si>
  <si>
    <t>Temperature controller module: Channel 1  input alarm high limit</t>
  </si>
  <si>
    <t>XGF-TC4UD_CH1_ALINL</t>
  </si>
  <si>
    <t>Temperature controller module: Channel 1  input alarm lower limit</t>
  </si>
  <si>
    <t>XGF-TC4UD_CH1_ALINLL</t>
  </si>
  <si>
    <t>Temperature controller module: Channel 1  input alarm LL limit</t>
  </si>
  <si>
    <t>XGF-TC4UD_CH1_ALHOH</t>
  </si>
  <si>
    <t>Temperature controller module: Channel 1 heat output alarm upper limit</t>
  </si>
  <si>
    <t>XGF-TC4UD_CH1_ALHOL</t>
  </si>
  <si>
    <t>Temperature controller module: Channel 1 heat output alarm lower limit</t>
  </si>
  <si>
    <t>XGF-TC4UD_CH1_ALCOH</t>
  </si>
  <si>
    <t>Temperature controller module: Channel 1 cooling output alarm upper limit</t>
  </si>
  <si>
    <t>XGF-TC4UD_CH1_ALCOL</t>
  </si>
  <si>
    <t>Temperature controller module: Channel 1 cooling output alarm lower limit</t>
  </si>
  <si>
    <t>XGF-TC4UD_CH2_ALINHH</t>
  </si>
  <si>
    <t>Temperature controller module: Channel 2  input alarm HH limit</t>
  </si>
  <si>
    <t>XGF-TC4UD_CH2_ALINH</t>
  </si>
  <si>
    <t>Temperature controller module: Channel 2  input alarm high limit</t>
  </si>
  <si>
    <t>XGF-TC4UD_CH2_ALINL</t>
  </si>
  <si>
    <t>Temperature controller module: Channel 2  input alarm lower limit</t>
  </si>
  <si>
    <t>XGF-TC4UD_CH2_ALINLL</t>
  </si>
  <si>
    <t>Temperature controller module: Channel 2  input alarm LL limit</t>
  </si>
  <si>
    <t>XGF-TC4UD_CH2_ALHOH</t>
  </si>
  <si>
    <t>Temperature controller module: Channel 2 heat output alarm upper limit</t>
  </si>
  <si>
    <t>XGF-TC4UD_CH2_ALHOL</t>
  </si>
  <si>
    <t>Temperature controller module: Channel 2 heat output alarm lower limit</t>
  </si>
  <si>
    <t>XGF-TC4UD_CH2_ALCOH</t>
  </si>
  <si>
    <t>Temperature controller module: Channel 2 cooling output alarm upper limit</t>
  </si>
  <si>
    <t>XGF-TC4UD_CH2_ALCOL</t>
  </si>
  <si>
    <t>Temperature controller module: Channel 2 cooling output alarm lower limit</t>
  </si>
  <si>
    <t>XGF-TC4UD_CH3_ALINHH</t>
  </si>
  <si>
    <t>Temperature controller module: Channel 3  input alarm HH limit</t>
  </si>
  <si>
    <t>XGF-TC4UD_CH3_ALINH</t>
  </si>
  <si>
    <t>Temperature controller module: Channel 3  input alarm high limit</t>
  </si>
  <si>
    <t>XGF-TC4UD_CH3_ALINL</t>
  </si>
  <si>
    <t>Temperature controller module: Channel 3  input alarm lower limit</t>
  </si>
  <si>
    <t>XGF-TC4UD_CH3_ALINLL</t>
  </si>
  <si>
    <t>Temperature controller module: Channel 3  input alarm LL limit</t>
  </si>
  <si>
    <t>XGF-TC4UD_CH3_ALHOH</t>
  </si>
  <si>
    <t>Temperature controller module: Channel 3 heat output alarm upper limit</t>
  </si>
  <si>
    <t>XGF-TC4UD_CH3_ALHOL</t>
  </si>
  <si>
    <t>Temperature controller module: Channel 3 heat output alarm lower limit</t>
  </si>
  <si>
    <t>XGF-TC4UD_CH3_ALCOH</t>
  </si>
  <si>
    <t>Temperature controller module: Channel 3 cooling output alarm upper limit</t>
  </si>
  <si>
    <t>XGF-TC4UD_CH3_ALCOL</t>
  </si>
  <si>
    <t>Temperature controller module: Channel 3 cooling output alarm lower limit</t>
  </si>
  <si>
    <t>XGF-TC4UD_CH0_PV</t>
  </si>
  <si>
    <t>Temperature controller module: Channel 0 Input value</t>
  </si>
  <si>
    <t>XGF-TC4UD_CH1_PV</t>
  </si>
  <si>
    <t>Temperature controller module: Channel 1 Input value</t>
  </si>
  <si>
    <t>XGF-TC4UD_CH2_PV</t>
  </si>
  <si>
    <t>Temperature controller module: Channel 2 Input value</t>
  </si>
  <si>
    <t>XGF-TC4UD_CH3_PV</t>
  </si>
  <si>
    <t>Temperature controller module: Channel 3 Input value</t>
  </si>
  <si>
    <t>XGF-TC4UD_CH0_HOUT</t>
  </si>
  <si>
    <t>Temperature controller module: Channel 0 heating output value</t>
  </si>
  <si>
    <t>XGF-TC4UD_CH1_HOUT</t>
  </si>
  <si>
    <t>Temperature controller module: Channel 1 heating output value</t>
  </si>
  <si>
    <t>XGF-TC4UD_CH2_HOUT</t>
  </si>
  <si>
    <t>Temperature controller module: Channel 2 heating output value</t>
  </si>
  <si>
    <t>XGF-TC4UD_CH3_HOUT</t>
  </si>
  <si>
    <t>Temperature controller module: Channel 3 heating output value</t>
  </si>
  <si>
    <t>XGF-TC4UD_CH0_COUT</t>
  </si>
  <si>
    <t>Temperature controller module: Channel 0 cooling output value</t>
  </si>
  <si>
    <t>XGF-TC4UD_CH1_COUT</t>
  </si>
  <si>
    <t>Temperature controller module: Channel 1 cooling output value</t>
  </si>
  <si>
    <t>XGF-TC4UD_CH2_COUT</t>
  </si>
  <si>
    <t>Temperature controller module: Channel 2 cooling output value</t>
  </si>
  <si>
    <t>XGF-TC4UD_CH3_COUT</t>
  </si>
  <si>
    <t>Temperature controller module: Channel 3 cooling output value</t>
  </si>
  <si>
    <t>XGF-TC4UD_CH0_RUN</t>
  </si>
  <si>
    <t>Temperature controller module: Channel 0 run command</t>
  </si>
  <si>
    <t>XGF-TC4UD_CH0_MAN</t>
  </si>
  <si>
    <t>Temperature controller module: Channel 0 manual mode command</t>
  </si>
  <si>
    <t>XGF-TC4UD_CH0_ATEN</t>
  </si>
  <si>
    <t>Temperature controller module: Channel 0 auto-tuning command</t>
  </si>
  <si>
    <t>XGF-TC4UD_CH0_EXIN</t>
  </si>
  <si>
    <t>Temperature controller module: Channel 0 external input enable command</t>
  </si>
  <si>
    <t>XGF-TC4UD_CH1_RUN</t>
  </si>
  <si>
    <t>Temperature controller module: Channel 1 run command</t>
  </si>
  <si>
    <t>XGF-TC4UD_CH1_MAN</t>
  </si>
  <si>
    <t>Temperature controller module: Channel 1 manual mode command</t>
  </si>
  <si>
    <t>XGF-TC4UD_CH1_ATEN</t>
  </si>
  <si>
    <t>Temperature controller module: Channel 1 auto-tuning command</t>
  </si>
  <si>
    <t>XGF-TC4UD_CH1_EXIN</t>
  </si>
  <si>
    <t>Temperature controller module: Channel 1 external input enable command</t>
  </si>
  <si>
    <t>XGF-TC4UD_CH2_RUN</t>
  </si>
  <si>
    <t>Temperature controller module: Channel 2 run command</t>
  </si>
  <si>
    <t>XGF-TC4UD_CH2_MAN</t>
  </si>
  <si>
    <t>Temperature controller module: Channel 2 manual mode command</t>
  </si>
  <si>
    <t>XGF-TC4UD_CH2_ATEN</t>
  </si>
  <si>
    <t>Temperature controller module: Channel 2 auto-tuning command</t>
  </si>
  <si>
    <t>XGF-TC4UD_CH2_EXIN</t>
  </si>
  <si>
    <t>Temperature controller module: Channel 2 external input enable command</t>
  </si>
  <si>
    <t>XGF-TC4UD_CH3_RUN</t>
  </si>
  <si>
    <t>Temperature controller module: Channel 3 run command</t>
  </si>
  <si>
    <t>XGF-TC4UD_CH3_MAN</t>
  </si>
  <si>
    <t>Temperature controller module: Channel 3 manual mode command</t>
  </si>
  <si>
    <t>XGF-TC4UD_CH3_ATEN</t>
  </si>
  <si>
    <t>Temperature controller module: Channel 3 auto-tuning command</t>
  </si>
  <si>
    <t>XGF-TC4UD_CH3_EXIN</t>
  </si>
  <si>
    <t>Temperature controller module: Channel 3 external input enable command</t>
  </si>
  <si>
    <t>XGF-TC4UD_CH0_EXINV</t>
  </si>
  <si>
    <t>Temperature controller module: Channel 0 external input data</t>
  </si>
  <si>
    <t>XGF-TC4UD_CH1_EXINV</t>
  </si>
  <si>
    <t>Temperature controller module: Channel 1 external input data</t>
  </si>
  <si>
    <t>XGF-TC4UD_CH2_EXINV</t>
  </si>
  <si>
    <t>Temperature controller module: Channel 2 external input data</t>
  </si>
  <si>
    <t>XGF-TC4UD_CH3_EXINV</t>
  </si>
  <si>
    <t>Temperature controller module: Channel 3 external input data</t>
  </si>
  <si>
    <t>XGF-TC4UD_CH0_CSET</t>
  </si>
  <si>
    <t>Temperature controller module: Channel 0 control set selection</t>
  </si>
  <si>
    <t>XGF-TC4UD_CH1_CSET</t>
  </si>
  <si>
    <t>Temperature controller module: Channel 1 control set selection</t>
  </si>
  <si>
    <t>XGF-TC4UD_CH2_CSET</t>
  </si>
  <si>
    <t>Temperature controller module: Channel 2 control set selection</t>
  </si>
  <si>
    <t>XGF-TC4UD_CH3_CSET</t>
  </si>
  <si>
    <t>Temperature controller module: Channel 3 control set selection</t>
  </si>
  <si>
    <t>XGF-TC4UD_WRITE</t>
  </si>
  <si>
    <t>Temperature controller module: Parameter write command</t>
  </si>
  <si>
    <t>XGF-TC4UD_READ</t>
  </si>
  <si>
    <t>Temperature controller module: Parameter  read command</t>
  </si>
  <si>
    <t>XGF-TC4RT_CH0_ACT</t>
  </si>
  <si>
    <t>XGF-TC4RT_CH1_ACT</t>
  </si>
  <si>
    <t>XGF-TC4RT_CH2_ACT</t>
  </si>
  <si>
    <t>XGF-TC4RT_CH3_ACT</t>
  </si>
  <si>
    <t>XGF-TC4RT_CH0_BOUT</t>
  </si>
  <si>
    <t>XGF-TC4RT_CH1_BOUT</t>
  </si>
  <si>
    <t>XGF-TC4RT_CH2_BOUT</t>
  </si>
  <si>
    <t>XGF-TC4RT_CH3_BOUT</t>
  </si>
  <si>
    <t>XGF-TC4RT_CH0_ADCERR</t>
  </si>
  <si>
    <t>XGF-TC4RT_CH1_ADCERR</t>
  </si>
  <si>
    <t>XGF-TC4RT_CH2_ADCERR</t>
  </si>
  <si>
    <t>XGF-TC4RT_CH3_ADCERR</t>
  </si>
  <si>
    <t>XGF-TC4RT_CHECKSUMERR</t>
  </si>
  <si>
    <t>XGF-TC4RT_ERR</t>
  </si>
  <si>
    <t>XGF-TC4RT_RDY</t>
  </si>
  <si>
    <t>XGF-TC4RT_WR_ING</t>
  </si>
  <si>
    <t>XGF-TC4RT_RD_ING</t>
  </si>
  <si>
    <t>XGF-TC4RT_CH0_ALINHH</t>
  </si>
  <si>
    <t>XGF-TC4RT_CH0_ALINH</t>
  </si>
  <si>
    <t>XGF-TC4RT_CH0_ALINL</t>
  </si>
  <si>
    <t>XGF-TC4RT_CH0_ALINLL</t>
  </si>
  <si>
    <t>XGF-TC4RT_CH0_ALHOH</t>
  </si>
  <si>
    <t>XGF-TC4RT_CH0_ALHOL</t>
  </si>
  <si>
    <t>XGF-TC4RT_CH0_ALCOH</t>
  </si>
  <si>
    <t>XGF-TC4RT_CH0_ALCOL</t>
  </si>
  <si>
    <t>XGF-TC4RT_CH1_ALINHH</t>
  </si>
  <si>
    <t>XGF-TC4RT_CH1_ALINH</t>
  </si>
  <si>
    <t>XGF-TC4RT_CH1_ALINL</t>
  </si>
  <si>
    <t>XGF-TC4RT_CH1_ALINLL</t>
  </si>
  <si>
    <t>XGF-TC4RT_CH1_ALHOH</t>
  </si>
  <si>
    <t>XGF-TC4RT_CH1_ALHOL</t>
  </si>
  <si>
    <t>XGF-TC4RT_CH1_ALCOH</t>
  </si>
  <si>
    <t>XGF-TC4RT_CH1_ALCOL</t>
  </si>
  <si>
    <t>XGF-TC4RT_CH2_ALINHH</t>
  </si>
  <si>
    <t>XGF-TC4RT_CH2_ALINH</t>
  </si>
  <si>
    <t>XGF-TC4RT_CH2_ALINL</t>
  </si>
  <si>
    <t>XGF-TC4RT_CH2_ALINLL</t>
  </si>
  <si>
    <t>XGF-TC4RT_CH2_ALHOH</t>
  </si>
  <si>
    <t>XGF-TC4RT_CH2_ALHOL</t>
  </si>
  <si>
    <t>XGF-TC4RT_CH2_ALCOH</t>
  </si>
  <si>
    <t>XGF-TC4RT_CH2_ALCOL</t>
  </si>
  <si>
    <t>XGF-TC4RT_CH3_ALINHH</t>
  </si>
  <si>
    <t>XGF-TC4RT_CH3_ALINH</t>
  </si>
  <si>
    <t>XGF-TC4RT_CH3_ALINL</t>
  </si>
  <si>
    <t>XGF-TC4RT_CH3_ALINLL</t>
  </si>
  <si>
    <t>XGF-TC4RT_CH3_ALHOH</t>
  </si>
  <si>
    <t>XGF-TC4RT_CH3_ALHOL</t>
  </si>
  <si>
    <t>XGF-TC4RT_CH3_ALCOH</t>
  </si>
  <si>
    <t>XGF-TC4RT_CH3_ALCOL</t>
  </si>
  <si>
    <t>XGF-TC4RT_CH0_PV</t>
  </si>
  <si>
    <t>XGF-TC4RT_CH1_PV</t>
  </si>
  <si>
    <t>XGF-TC4RT_CH2_PV</t>
  </si>
  <si>
    <t>XGF-TC4RT_CH3_PV</t>
  </si>
  <si>
    <t>XGF-TC4RT_CH0_HOUT</t>
  </si>
  <si>
    <t>XGF-TC4RT_CH1_HOUT</t>
  </si>
  <si>
    <t>XGF-TC4RT_CH2_HOUT</t>
  </si>
  <si>
    <t>XGF-TC4RT_CH3_HOUT</t>
  </si>
  <si>
    <t>XGF-TC4RT_CH0_COUT</t>
  </si>
  <si>
    <t>XGF-TC4RT_CH1_COUT</t>
  </si>
  <si>
    <t>XGF-TC4RT_CH2_COUT</t>
  </si>
  <si>
    <t>XGF-TC4RT_CH3_COUT</t>
  </si>
  <si>
    <t>XGF-TC4RT_CH0_RUN</t>
  </si>
  <si>
    <t>XGF-TC4RT_CH0_MAN</t>
  </si>
  <si>
    <t>XGF-TC4RT_CH0_ATEN</t>
  </si>
  <si>
    <t>XGF-TC4RT_CH0_EXIN</t>
  </si>
  <si>
    <t>XGF-TC4RT_CH1_RUN</t>
  </si>
  <si>
    <t>XGF-TC4RT_CH1_MAN</t>
  </si>
  <si>
    <t>XGF-TC4RT_CH1_ATEN</t>
  </si>
  <si>
    <t>XGF-TC4RT_CH1_EXIN</t>
  </si>
  <si>
    <t>XGF-TC4RT_CH2_RUN</t>
  </si>
  <si>
    <t>XGF-TC4RT_CH2_MAN</t>
  </si>
  <si>
    <t>XGF-TC4RT_CH2_ATEN</t>
  </si>
  <si>
    <t>XGF-TC4RT_CH2_EXIN</t>
  </si>
  <si>
    <t>XGF-TC4RT_CH3_RUN</t>
  </si>
  <si>
    <t>XGF-TC4RT_CH3_MAN</t>
  </si>
  <si>
    <t>XGF-TC4RT_CH3_ATEN</t>
  </si>
  <si>
    <t>XGF-TC4RT_CH3_EXIN</t>
  </si>
  <si>
    <t>XGF-TC4RT_CH0_EXINV</t>
  </si>
  <si>
    <t>XGF-TC4RT_CH1_EXINV</t>
  </si>
  <si>
    <t>XGF-TC4RT_CH2_EXINV</t>
  </si>
  <si>
    <t>XGF-TC4RT_CH3_EXINV</t>
  </si>
  <si>
    <t>XGF-TC4RT_CH0_CSET</t>
  </si>
  <si>
    <t>XGF-TC4RT_CH1_CSET</t>
  </si>
  <si>
    <t>XGF-TC4RT_CH2_CSET</t>
  </si>
  <si>
    <t>XGF-TC4RT_CH3_CSET</t>
  </si>
  <si>
    <t>XGF-TC4RT_WRITE</t>
  </si>
  <si>
    <t>XGF-TC4RT_READ</t>
  </si>
  <si>
    <t>XBF-AD04A</t>
    <phoneticPr fontId="1" type="noConversion"/>
  </si>
  <si>
    <t>XBF-AD04A_ERR</t>
  </si>
  <si>
    <t>XBF-AD04A_RDY</t>
  </si>
  <si>
    <t>XBF-AD04A_CH0_ACT</t>
  </si>
  <si>
    <t>XBF-AD04A_CH1_ACT</t>
  </si>
  <si>
    <t>XBF-AD04A_CH2_ACT</t>
  </si>
  <si>
    <t>XBF-AD04A_CH3_ACT</t>
  </si>
  <si>
    <t>XBF-AD04A_CH0_DATA</t>
  </si>
  <si>
    <t>XBF-AD04A_CH1_DATA</t>
  </si>
  <si>
    <t>XBF-AD04A_CH2_DATA</t>
  </si>
  <si>
    <t>XBF-AD04A_CH3_DATA</t>
  </si>
  <si>
    <t>XBF-AD04A_ERR_CLR</t>
  </si>
  <si>
    <t>XBF-AD04C_ERR</t>
  </si>
  <si>
    <t>XBF-AD04C_RDY</t>
  </si>
  <si>
    <t>XBF-AD04C_CH0_ACT</t>
  </si>
  <si>
    <t>XBF-AD04C_CH1_ACT</t>
  </si>
  <si>
    <t>XBF-AD04C_CH2_ACT</t>
  </si>
  <si>
    <t>XBF-AD04C_CH3_ACT</t>
  </si>
  <si>
    <t>XBF-AD04C_CH0_ERR</t>
  </si>
  <si>
    <t>Analog input module: Channel 0 error</t>
  </si>
  <si>
    <t>XBF-AD04C_CH1_ERR</t>
  </si>
  <si>
    <t>Analog input module: Channel 1 error</t>
  </si>
  <si>
    <t>XBF-AD04C_CH2_ERR</t>
  </si>
  <si>
    <t>Analog input module: Channel 2 error</t>
  </si>
  <si>
    <t>XBF-AD04C_CH3_ERR</t>
  </si>
  <si>
    <t>Analog input module: Channel 3 error</t>
  </si>
  <si>
    <t>XBF-AD04C_CH0_DATA</t>
  </si>
  <si>
    <t>XBF-AD04C_CH1_DATA</t>
  </si>
  <si>
    <t>XBF-AD04C_CH2_DATA</t>
  </si>
  <si>
    <t>XBF-AD04C_CH3_DATA</t>
  </si>
  <si>
    <t>XBF-AD04C_CH0_IDD</t>
  </si>
  <si>
    <t>XBF-AD04C_CH1_IDD</t>
  </si>
  <si>
    <t>XBF-AD04C_CH2_IDD</t>
  </si>
  <si>
    <t>XBF-AD04C_CH3_IDD</t>
  </si>
  <si>
    <t>XBF-AD04C_CH0_HOOR</t>
  </si>
  <si>
    <t>Analog input module: Channel 0 alarm upper limit</t>
  </si>
  <si>
    <t>XBF-AD04C_CH1_HOOR</t>
  </si>
  <si>
    <t>Analog input module: Channel 1 alarm upper limit</t>
  </si>
  <si>
    <t>XBF-AD04C_CH2_HOOR</t>
  </si>
  <si>
    <t>Analog input module: Channel 2 alarm upper limit</t>
  </si>
  <si>
    <t>XBF-AD04C_CH3_HOOR</t>
  </si>
  <si>
    <t>Analog input module: Channel 3 alarm upper limit</t>
  </si>
  <si>
    <t>XBF-AD04C_CH0_LOOR</t>
  </si>
  <si>
    <t>Analog input module: Channel 0 alarm lower limit</t>
  </si>
  <si>
    <t>XBF-AD04C_CH1_LOOR</t>
  </si>
  <si>
    <t>Analog input module: Channel 1 alarm lower limit</t>
  </si>
  <si>
    <t>XBF-AD04C_CH2_LOOR</t>
  </si>
  <si>
    <t>Analog input module: Channel 2 alarm lower limit</t>
  </si>
  <si>
    <t>XBF-AD04C_CH3_LOOR</t>
  </si>
  <si>
    <t>Analog input module: Channel 3 alarm lower limit</t>
  </si>
  <si>
    <t>XBF-AD04C_ERR_CLR</t>
  </si>
  <si>
    <t>XBF-AD08A_ERR</t>
  </si>
  <si>
    <t>XBF-AD08A_RDY</t>
  </si>
  <si>
    <t>XBF-AD08A_CH0_ACT</t>
  </si>
  <si>
    <t>XBF-AD08A_CH1_ACT</t>
  </si>
  <si>
    <t>XBF-AD08A_CH2_ACT</t>
  </si>
  <si>
    <t>XBF-AD08A_CH3_ACT</t>
  </si>
  <si>
    <t>XBF-AD08A_CH4_ACT</t>
  </si>
  <si>
    <t>XBF-AD08A_CH5_ACT</t>
  </si>
  <si>
    <t>XBF-AD08A_CH6_ACT</t>
  </si>
  <si>
    <t>XBF-AD08A_CH7_ACT</t>
  </si>
  <si>
    <t>XBF-AD08A_CH0_ERR</t>
  </si>
  <si>
    <t>XBF-AD08A_CH1_ERR</t>
  </si>
  <si>
    <t>XBF-AD08A_CH2_ERR</t>
  </si>
  <si>
    <t>01.A</t>
  </si>
  <si>
    <t>XBF-AD08A_CH3_ERR</t>
  </si>
  <si>
    <t>01.B</t>
  </si>
  <si>
    <t>XBF-AD08A_CH4_ERR</t>
  </si>
  <si>
    <t>01.C</t>
  </si>
  <si>
    <t>Analog input module: Channel 4 error</t>
  </si>
  <si>
    <t>XBF-AD08A_CH5_ERR</t>
  </si>
  <si>
    <t>01.D</t>
  </si>
  <si>
    <t>Analog input module: Channel 5 error</t>
  </si>
  <si>
    <t>XBF-AD08A_CH6_ERR</t>
  </si>
  <si>
    <t>01.E</t>
  </si>
  <si>
    <t>Analog input module: Channel 6 error</t>
  </si>
  <si>
    <t>XBF-AD08A_CH7_ERR</t>
  </si>
  <si>
    <t>01.F</t>
  </si>
  <si>
    <t>Analog input module: Channel 7 error</t>
  </si>
  <si>
    <t>XBF-AD08A_CH0_DATA</t>
  </si>
  <si>
    <t>Analog input module: Channel 0 output value</t>
  </si>
  <si>
    <t>XBF-AD08A_CH1_DATA</t>
  </si>
  <si>
    <t>Analog input module: Channel 1 output value</t>
  </si>
  <si>
    <t>XBF-AD08A_CH2_DATA</t>
  </si>
  <si>
    <t>Analog input module: Channel 2 output value</t>
  </si>
  <si>
    <t>XBF-AD08A_CH3_DATA</t>
  </si>
  <si>
    <t>Analog input module: Channel 3 output value</t>
  </si>
  <si>
    <t>XBF-AD08A_CH4_DATA</t>
  </si>
  <si>
    <t>Analog input module: Channel 4 output value</t>
  </si>
  <si>
    <t>XBF-AD08A_CH5_DATA</t>
  </si>
  <si>
    <t>Analog input module: Channel 5 output value</t>
  </si>
  <si>
    <t>XBF-AD08A_CH6_DATA</t>
  </si>
  <si>
    <t>Analog input module: Channel 6 output value</t>
  </si>
  <si>
    <t>XBF-AD08A_CH7_DATA</t>
  </si>
  <si>
    <t>Analog input module: Channel 7 output value</t>
  </si>
  <si>
    <t>XBF-AD08A_CH0_IDD</t>
  </si>
  <si>
    <t>Analog input module: Channel 0  disconnection flag</t>
  </si>
  <si>
    <t>XBF-AD08A_CH1_IDD</t>
  </si>
  <si>
    <t>Analog input module: Channel 1  disconnection flag</t>
  </si>
  <si>
    <t>XBF-AD08A_CH2_IDD</t>
  </si>
  <si>
    <t>Analog input module: Channel 2  disconnection flag</t>
  </si>
  <si>
    <t>XBF-AD08A_CH3_IDD</t>
  </si>
  <si>
    <t>Analog input module: Channel 3  disconnection flag</t>
  </si>
  <si>
    <t>XBF-AD08A_CH4_IDD</t>
  </si>
  <si>
    <t>Analog input module: Channel 4  disconnection flag</t>
  </si>
  <si>
    <t>XBF-AD08A_CH5_IDD</t>
  </si>
  <si>
    <t>Analog input module: Channel 5  disconnection flag</t>
  </si>
  <si>
    <t>XBF-AD08A_CH6_IDD</t>
  </si>
  <si>
    <t>Analog input module: Channel 6  disconnection flag</t>
  </si>
  <si>
    <t>XBF-AD08A_CH7_IDD</t>
  </si>
  <si>
    <t>Analog input module: Channel 7  disconnection flag</t>
  </si>
  <si>
    <t>XBF-AD08A_ERR_CLR</t>
  </si>
  <si>
    <t>XBF-DC04A_CH0_ERR</t>
  </si>
  <si>
    <t>XBF-DC04A_CH1_ERR</t>
  </si>
  <si>
    <t>XBF-DC04A_CH2_ERR</t>
  </si>
  <si>
    <t>XBF-DC04A_CH3_ERR</t>
  </si>
  <si>
    <t>XBF-DC04A_RDY</t>
  </si>
  <si>
    <t>XBF-DC04A_CH0_ACT</t>
  </si>
  <si>
    <t>XBF-DC04A_CH1_ACT</t>
  </si>
  <si>
    <t>XBF-DC04A_CH2_ACT</t>
  </si>
  <si>
    <t>XBF-DC04A_CH3_ACT</t>
  </si>
  <si>
    <t>XBF-DC04A_CH0_OUTEN</t>
  </si>
  <si>
    <t>XBF-DC04A_CH1_OUTEN</t>
  </si>
  <si>
    <t>XBF-DC04A_CH2_OUTEN</t>
  </si>
  <si>
    <t>XBF-DC04A_CH3_OUTEN</t>
  </si>
  <si>
    <t>XBF-DC04A_CH0_DATA</t>
  </si>
  <si>
    <t>XBF-DC04A_CH1_DATA</t>
  </si>
  <si>
    <t>XBF-DC04A_CH2_DATA</t>
  </si>
  <si>
    <t>XBF-DC04A_CH3_DATA</t>
  </si>
  <si>
    <t>XBF-DC04B_CH0_ERR</t>
  </si>
  <si>
    <t>XBF-DC04B_CH1_ERR</t>
  </si>
  <si>
    <t>XBF-DC04B_CH2_ERR</t>
  </si>
  <si>
    <t>XBF-DC04B_CH3_ERR</t>
  </si>
  <si>
    <t>XBF-DC04B_RDY</t>
  </si>
  <si>
    <t>XBF-DC04B_CH0_ACT</t>
  </si>
  <si>
    <t>XBF-DC04B_CH1_ACT</t>
  </si>
  <si>
    <t>XBF-DC04B_CH2_ACT</t>
  </si>
  <si>
    <t>XBF-DC04B_CH3_ACT</t>
  </si>
  <si>
    <t>XBF-DC04B_CH0_OUTEN</t>
  </si>
  <si>
    <t>XBF-DC04B_CH1_OUTEN</t>
  </si>
  <si>
    <t>XBF-DC04B_CH2_OUTEN</t>
  </si>
  <si>
    <t>XBF-DC04B_CH3_OUTEN</t>
  </si>
  <si>
    <t>XBF-DC04B_CH0_DATA</t>
  </si>
  <si>
    <t>XBF-DC04B_CH1_DATA</t>
  </si>
  <si>
    <t>XBF-DC04B_CH2_DATA</t>
  </si>
  <si>
    <t>XBF-DC04B_CH3_DATA</t>
  </si>
  <si>
    <t>XBF-DC04C_CH0_ERR</t>
  </si>
  <si>
    <t>XBF-DC04C_CH1_ERR</t>
  </si>
  <si>
    <t>XBF-DC04C_CH2_ERR</t>
  </si>
  <si>
    <t>XBF-DC04C_CH3_ERR</t>
  </si>
  <si>
    <t>XBF-DC04C_RDY</t>
  </si>
  <si>
    <t>Analog output module: Module ready</t>
  </si>
  <si>
    <t>XBF-DC04C_CH0_ACT</t>
  </si>
  <si>
    <t>XBF-DC04C_CH1_ACT</t>
  </si>
  <si>
    <t>XBF-DC04C_CH2_ACT</t>
  </si>
  <si>
    <t>XBF-DC04C_CH3_ACT</t>
  </si>
  <si>
    <t>XBF-DC04C_CH0_INTP</t>
  </si>
  <si>
    <t>Analog Output module: Channel 0 interpolation output status</t>
  </si>
  <si>
    <t>XBF-DC04C_CH1_INTP</t>
  </si>
  <si>
    <t>Analog Output module: Channel 1 interpolation output status</t>
  </si>
  <si>
    <t>XBF-DC04C_CH2_INTP</t>
  </si>
  <si>
    <t>Analog output module: Channel 2 interpolation output status</t>
  </si>
  <si>
    <t>XBF-DC04C_CH3_INTP</t>
  </si>
  <si>
    <t>Analog output module: Channel 3 interpolation output status</t>
  </si>
  <si>
    <t>XBF-DC04C_CH0_ODD</t>
  </si>
  <si>
    <t>Analog output module: Channel 0 output disconnection flag</t>
  </si>
  <si>
    <t>XBF-DC04C_CH1_ODD</t>
  </si>
  <si>
    <t>Analog output module: Channel 1 output disconnection flag</t>
  </si>
  <si>
    <t>XBF-DC04C_CH2_ODD</t>
  </si>
  <si>
    <t>Analog output module: Channel 2 output disconnection flag</t>
  </si>
  <si>
    <t>XBF-DC04C_CH3_ODD</t>
  </si>
  <si>
    <t>Analog output module: Channel 3 output disconnection flag</t>
  </si>
  <si>
    <t>XBF-DC04C_CH0_OUTEN</t>
  </si>
  <si>
    <t>XBF-DC04C_CH1_OUTEN</t>
  </si>
  <si>
    <t>XBF-DC04C_CH2_OUTEN</t>
  </si>
  <si>
    <t>XBF-DC04C_CH3_OUTEN</t>
  </si>
  <si>
    <t>XBF-DC04C_CH0_DATA</t>
  </si>
  <si>
    <t>XBF-DC04C_CH1_DATA</t>
  </si>
  <si>
    <t>XBF-DC04C_CH2_DATA</t>
  </si>
  <si>
    <t>XBF-DC04C_CH3_DATA</t>
  </si>
  <si>
    <t>XBF-DV04A_CH0_ERR</t>
  </si>
  <si>
    <t>XBF-DV04A_CH1_ERR</t>
  </si>
  <si>
    <t>XBF-DV04A_CH2_ERR</t>
  </si>
  <si>
    <t>XBF-DV04A_CH3_ERR</t>
  </si>
  <si>
    <t>XBF-DV04A_RDY</t>
  </si>
  <si>
    <t>XBF-DV04A_CH0_ACT</t>
  </si>
  <si>
    <t>XBF-DV04A_CH1_ACT</t>
  </si>
  <si>
    <t>XBF-DV04A_CH2_ACT</t>
  </si>
  <si>
    <t>XBF-DV04A_CH3_ACT</t>
  </si>
  <si>
    <t>XBF-DV04A_CH0_OUTEN</t>
  </si>
  <si>
    <t>XBF-DV04A_CH1_OUTEN</t>
  </si>
  <si>
    <t>XBF-DV04A_CH2_OUTEN</t>
  </si>
  <si>
    <t>XBF-DV04A_CH3_OUTEN</t>
  </si>
  <si>
    <t>XBF-DV04A_CH0_DATA</t>
  </si>
  <si>
    <t>XBF-DV04A_CH1_DATA</t>
  </si>
  <si>
    <t>XBF-DV04A_CH2_DATA</t>
  </si>
  <si>
    <t>XBF-DV04A_CH3_DATA</t>
  </si>
  <si>
    <t>XBF-DV04C_CH0_ERR</t>
  </si>
  <si>
    <t>XBF-DV04C_CH1_ERR</t>
  </si>
  <si>
    <t>XBF-DV04C_CH2_ERR</t>
  </si>
  <si>
    <t>XBF-DV04C_CH3_ERR</t>
  </si>
  <si>
    <t>XBF-DV04C_RDY</t>
  </si>
  <si>
    <t>XBF-DV04C_CH0_ACT</t>
  </si>
  <si>
    <t>XBF-DV04C_CH1_ACT</t>
  </si>
  <si>
    <t>XBF-DV04C_CH2_ACT</t>
  </si>
  <si>
    <t>XBF-DV04C_CH3_ACT</t>
  </si>
  <si>
    <t>XBF-DV04C_CH0_INTP</t>
  </si>
  <si>
    <t>XBF-DV04C_CH1_INTP</t>
  </si>
  <si>
    <t>XBF-DV04C_CH2_INTP</t>
  </si>
  <si>
    <t>XBF-DV04C_CH3_INTP</t>
  </si>
  <si>
    <t>XBF-DV04C_CH0_OUTEN</t>
  </si>
  <si>
    <t>XBF-DV04C_CH1_OUTEN</t>
  </si>
  <si>
    <t>XBF-DV04C_CH2_OUTEN</t>
  </si>
  <si>
    <t>XBF-DV04C_CH3_OUTEN</t>
  </si>
  <si>
    <t>XBF-DV04C_CH0_DATA</t>
  </si>
  <si>
    <t>XBF-DV04C_CH1_DATA</t>
  </si>
  <si>
    <t>XBF-DV04C_CH2_DATA</t>
  </si>
  <si>
    <t>XBF-DV04C_CH3_DATA</t>
  </si>
  <si>
    <t>XBF-HD02A_CH0_DN</t>
  </si>
  <si>
    <t>XBF-HD02A_CH0_EXTPRE</t>
  </si>
  <si>
    <t>XBF-HD02A_CH0_CRY</t>
  </si>
  <si>
    <t>XBF-HD02A_CH0_BRW</t>
  </si>
  <si>
    <t>XBF-HD02A_CH0_AUXING</t>
  </si>
  <si>
    <t>XBF-HD02A_CH0_CMPOUT0</t>
  </si>
  <si>
    <t>XBF-HD02A_CH0_CMPOUT1</t>
  </si>
  <si>
    <t>XBF-HD02A_CH0_ERR</t>
  </si>
  <si>
    <t>XBF-HD02A_RDY</t>
  </si>
  <si>
    <t>XBF-HD02A_CH1_DN</t>
  </si>
  <si>
    <t>XBF-HD02A_CH1_EXTPRE</t>
  </si>
  <si>
    <t>XBF-HD02A_CH1_CRY</t>
  </si>
  <si>
    <t>XBF-HD02A_CH1_BRW</t>
  </si>
  <si>
    <t>XBF-HD02A_CH1_AUXING</t>
  </si>
  <si>
    <t>XBF-HD02A_CH1_CMPOUT0</t>
  </si>
  <si>
    <t>XBF-HD02A_CH1_CMPOUT1</t>
  </si>
  <si>
    <t>XBF-HD02A_CH1_ERR</t>
  </si>
  <si>
    <t>XBF-HD02A_CH0_CNT_LV</t>
  </si>
  <si>
    <t>XBF-HD02A_CH0_CNT_HV</t>
  </si>
  <si>
    <t>XBF-HD02A_CH0_LTH_LV</t>
  </si>
  <si>
    <t>XBF-HD02A_CH0_LTH_HV</t>
  </si>
  <si>
    <t>XBF-HD02A_CH0_RNG_LV</t>
  </si>
  <si>
    <t>XBF-HD02A_CH0_RNG_HV</t>
  </si>
  <si>
    <t>XBF-HD02A_CH0_FRQ_LV</t>
  </si>
  <si>
    <t>XBF-HD02A_CH0_FRQ_HV</t>
  </si>
  <si>
    <t>XBF-HD02A_CH0_RPU_LV</t>
  </si>
  <si>
    <t>XBF-HD02A_CH0_RPU_HV</t>
  </si>
  <si>
    <t>XBF-HD02A_CH1_CNT_LV</t>
  </si>
  <si>
    <t>XBF-HD02A_CH1_CNT_HV</t>
  </si>
  <si>
    <t>XBF-HD02A_CH1_LTH_LV</t>
  </si>
  <si>
    <t>XBF-HD02A_CH1_LTH_HV</t>
  </si>
  <si>
    <t>XBF-HD02A_CH1_RNG_LV</t>
  </si>
  <si>
    <t>XBF-HD02A_CH1_RNG_HV</t>
  </si>
  <si>
    <t>XBF-HD02A_CH1_FRQ_LV</t>
  </si>
  <si>
    <t>XBF-HD02A_CH1_FRQ_HV</t>
  </si>
  <si>
    <t>XBF-HD02A_CH1_RPU_LV</t>
  </si>
  <si>
    <t>XBF-HD02A_CH1_RPU_HV</t>
  </si>
  <si>
    <t>XBF-HD02A_CH0_CNTEN</t>
  </si>
  <si>
    <t>XBF-HD02A_CH0_PREEN</t>
  </si>
  <si>
    <t>XBF-HD02A_CH0_DWNCNT</t>
  </si>
  <si>
    <t>XBF-HD02A_CH0_CMPEN</t>
  </si>
  <si>
    <t>XBF-HD02A_CH0_OUTEN</t>
  </si>
  <si>
    <t>XBF-HD02A_CH0_EQ0RST</t>
  </si>
  <si>
    <t>XBF-HD02A_CH0_EQ1RST</t>
  </si>
  <si>
    <t>XBF-HD02A_CH0_CRYBRW_RST</t>
  </si>
  <si>
    <t>XBF-HD02A_CH0_EXTPST_EN</t>
  </si>
  <si>
    <t>XBF-HD02A_CH0_EXTAUX_EN</t>
  </si>
  <si>
    <t>XBF-HD02A_CH0_EXTPST_RST</t>
  </si>
  <si>
    <t>XBF-HD02A_CH1_CNTEN</t>
  </si>
  <si>
    <t>XBF-HD02A_CH1_PREEN</t>
  </si>
  <si>
    <t>XBF-HD02A_CH1_DWNCNT</t>
  </si>
  <si>
    <t>High Speed Counter Module: Channel 1 auxiliary function enable command(Edge level)</t>
  </si>
  <si>
    <t>XBF-HD02A_CH1_CMPEN</t>
  </si>
  <si>
    <t>XBF-HD02A_CH1_OUTEN</t>
  </si>
  <si>
    <t>XBF-HD02A_CH1_EQ0RST</t>
  </si>
  <si>
    <t>XBF-HD02A_CH1_EQ1RST</t>
  </si>
  <si>
    <t>High Speed Counter Module: Channel 1 compare output 1 equal reset command (Edge)</t>
  </si>
  <si>
    <t>XBF-HD02A_CH1_CRYBRW_RST</t>
  </si>
  <si>
    <t>XBF-HD02A_CH1_EXTPST_EN</t>
  </si>
  <si>
    <t>XBF-HD02A_CH1_EXTAUX_EN</t>
  </si>
  <si>
    <t>XBF-HD02A_CH1_EXTPST_RST</t>
  </si>
  <si>
    <t>XBF-HO02A_CH0_DN</t>
  </si>
  <si>
    <t>XBF-HO02A_CH0_EXTPRE</t>
  </si>
  <si>
    <t>XBF-HO02A_CH0_CRY</t>
  </si>
  <si>
    <t>XBF-HO02A_CH0_BRW</t>
  </si>
  <si>
    <t>XBF-HO02A_CH0_AUXING</t>
  </si>
  <si>
    <t>XBF-HO02A_CH0_CMPOUT0</t>
  </si>
  <si>
    <t>XBF-HO02A_CH0_CMPOUT1</t>
  </si>
  <si>
    <t>XBF-HO02A_CH0_ERR</t>
  </si>
  <si>
    <t>XBF-HO02A_RDY</t>
  </si>
  <si>
    <t>XBF-HO02A_CH1_DN</t>
  </si>
  <si>
    <t>XBF-HO02A_CH1_EXTPRE</t>
  </si>
  <si>
    <t>XBF-HO02A_CH1_CRY</t>
  </si>
  <si>
    <t>XBF-HO02A_CH1_BRW</t>
  </si>
  <si>
    <t>XBF-HO02A_CH1_AUXING</t>
  </si>
  <si>
    <t>XBF-HO02A_CH1_CMPOUT0</t>
  </si>
  <si>
    <t>XBF-HO02A_CH1_CMPOUT1</t>
  </si>
  <si>
    <t>XBF-HO02A_CH1_ERR</t>
  </si>
  <si>
    <t>XBF-HO02A_CH0_CNT_LV</t>
  </si>
  <si>
    <t>XBF-HO02A_CH0_CNT_HV</t>
  </si>
  <si>
    <t>XBF-HO02A_CH0_LTH_LV</t>
  </si>
  <si>
    <t>XBF-HO02A_CH0_LTH_HV</t>
  </si>
  <si>
    <t>XBF-HO02A_CH0_RNG_LV</t>
  </si>
  <si>
    <t>XBF-HO02A_CH0_RNG_HV</t>
  </si>
  <si>
    <t>XBF-HO02A_CH0_FRQ_LV</t>
  </si>
  <si>
    <t>XBF-HO02A_CH0_FRQ_HV</t>
  </si>
  <si>
    <t>XBF-HO02A_CH0_RPU_LV</t>
  </si>
  <si>
    <t>XBF-HO02A_CH0_RPU_HV</t>
  </si>
  <si>
    <t>XBF-HO02A_CH1_CNT_LV</t>
  </si>
  <si>
    <t>XBF-HO02A_CH1_CNT_HV</t>
  </si>
  <si>
    <t>XBF-HO02A_CH1_LTH_LV</t>
  </si>
  <si>
    <t>XBF-HO02A_CH1_LTH_HV</t>
  </si>
  <si>
    <t>XBF-HO02A_CH1_RNG_LV</t>
  </si>
  <si>
    <t>XBF-HO02A_CH1_RNG_HV</t>
  </si>
  <si>
    <t>XBF-HO02A_CH1_FRQ_LV</t>
  </si>
  <si>
    <t>XBF-HO02A_CH1_FRQ_HV</t>
  </si>
  <si>
    <t>XBF-HO02A_CH1_RPU_LV</t>
  </si>
  <si>
    <t>XBF-HO02A_CH1_RPU_HV</t>
  </si>
  <si>
    <t>XBF-HO02A_CH0_CNTEN</t>
  </si>
  <si>
    <t>XBF-HO02A_CH0_PREEN</t>
  </si>
  <si>
    <t>XBF-HO02A_CH0_DWNCNT</t>
  </si>
  <si>
    <t>XBF-HO02A_CH0_CMPEN</t>
  </si>
  <si>
    <t>XBF-HO02A_CH0_OUTEN</t>
  </si>
  <si>
    <t>XBF-HO02A_CH0_EQ0RST</t>
  </si>
  <si>
    <t>XBF-HO02A_CH0_EQ1RST</t>
  </si>
  <si>
    <t>XBF-HO02A_CH0_CRYBRW_RST</t>
  </si>
  <si>
    <t>XBF-HO02A_CH0_EXTPST_EN</t>
  </si>
  <si>
    <t>XBF-HO02A_CH0_EXTAUX_EN</t>
  </si>
  <si>
    <t>XBF-HO02A_CH0_EXTPST_RST</t>
  </si>
  <si>
    <t>XBF-HO02A_CH1_CNTEN</t>
  </si>
  <si>
    <t>XBF-HO02A_CH1_PREEN</t>
  </si>
  <si>
    <t>XBF-HO02A_CH1_DWNCNT</t>
  </si>
  <si>
    <t>XBF-HO02A_CH1_CMPEN</t>
  </si>
  <si>
    <t>XBF-HO02A_CH1_OUTEN</t>
  </si>
  <si>
    <t>XBF-HO02A_CH1_EQ0RST</t>
  </si>
  <si>
    <t>XBF-HO02A_CH1_EQ1RST</t>
  </si>
  <si>
    <t>XBF-HO02A_CH1_CRYBRW_RST</t>
  </si>
  <si>
    <t>XBF-HO02A_CH1_EXTPST_EN</t>
  </si>
  <si>
    <t>XBF-HO02A_CH1_EXTAUX_EN</t>
  </si>
  <si>
    <t>XBF-HO02A_CH1_EXTPST_RST</t>
  </si>
  <si>
    <t>XBF-RD01A_ERR</t>
  </si>
  <si>
    <t>Temperature  input module : Module error</t>
  </si>
  <si>
    <t>XBF-RD01A_RDY</t>
  </si>
  <si>
    <t>Temperature  input module : Module ready</t>
  </si>
  <si>
    <t>XBF-RD01A_CH0_ACT</t>
  </si>
  <si>
    <t>Temperature  input module : Channel 0 RUN</t>
  </si>
  <si>
    <t>XBF-RD01A_CH0_BOUT</t>
  </si>
  <si>
    <t>Temperature  input module : Channel 0 disconnection</t>
  </si>
  <si>
    <t>XBF-RD01A_CH0_TEMP</t>
  </si>
  <si>
    <t>Temperature  input module : Channel 0 temperature data</t>
  </si>
  <si>
    <t>XBF-RD01A_CH0_SCAL</t>
  </si>
  <si>
    <t>Temperature  input module : Channel 0 scaling data</t>
  </si>
  <si>
    <t>XBF-RD04A_ERR</t>
  </si>
  <si>
    <t>XBF-RD04A_RDY</t>
  </si>
  <si>
    <t>XBF-RD04A_CH0_ACT</t>
  </si>
  <si>
    <t>XBF-RD04A_CH1_ACT</t>
  </si>
  <si>
    <t>Temperature  input module : Channel 1 RUN</t>
  </si>
  <si>
    <t>XBF-RD04A_CH2_ACT</t>
  </si>
  <si>
    <t>Temperature  input module : Channel 2 RUN</t>
  </si>
  <si>
    <t>XBF-RD04A_CH3_ACT</t>
  </si>
  <si>
    <t>Temperature  input module : Channel 3 RUN</t>
  </si>
  <si>
    <t>XBF-RD04A_CH0_BOUT</t>
  </si>
  <si>
    <t>XBF-RD04A_CH1_BOUT</t>
  </si>
  <si>
    <t>Temperature  input module : Channel 1 disconnection</t>
  </si>
  <si>
    <t>XBF-RD04A_CH2_BOUT</t>
  </si>
  <si>
    <t>Temperature  input module : Channel 2 disconnection</t>
  </si>
  <si>
    <t>XBF-RD04A_CH3_BOUT</t>
  </si>
  <si>
    <t>Temperature  input module : Channel 3 disconnection</t>
  </si>
  <si>
    <t>XBF-RD04A_CH0_TEMP</t>
  </si>
  <si>
    <t>XBF-RD04A_CH1_TEMP</t>
  </si>
  <si>
    <t>Temperature  input module : Channel 1 temperature data</t>
  </si>
  <si>
    <t>XBF-RD04A_CH2_TEMP</t>
  </si>
  <si>
    <t>Temperature  input module : Channel 2 temperature data</t>
  </si>
  <si>
    <t>XBF-RD04A_CH3_TEMP</t>
  </si>
  <si>
    <t>Temperature  input module : Channel 3 temperature data</t>
  </si>
  <si>
    <t>XBF-RD04A_CH0_SCAL</t>
  </si>
  <si>
    <t>XBF-RD04A_CH1_SCAL</t>
  </si>
  <si>
    <t>Temperature  input module : Channel 1 scaling data</t>
  </si>
  <si>
    <t>XBF-RD04A_CH2_SCAL</t>
  </si>
  <si>
    <t>Temperature  input module : Channel 2 scaling data</t>
  </si>
  <si>
    <t>XBF-RD04A_CH3_SCAL</t>
  </si>
  <si>
    <t>Temperature  input module : Channel 3 scaling data</t>
  </si>
  <si>
    <t>XBF-TC04S_CH0_ADJERR</t>
  </si>
  <si>
    <t>Temperature input module : Channel 0 offset/gain error flag</t>
  </si>
  <si>
    <t>XBF-TC04S_CH1_ADJERR</t>
  </si>
  <si>
    <t>Temperature input module : Channel 1 offset/gain error flag</t>
  </si>
  <si>
    <t>XBF-TC04S_CH2_ADJERR</t>
  </si>
  <si>
    <t>Temperature input module : Channel 2 offset/gain error flag</t>
  </si>
  <si>
    <t>XBF-TC04S_CH3_ADJERR</t>
  </si>
  <si>
    <t>Temperature input module : Channel 3 offset/gain error flag</t>
  </si>
  <si>
    <t>XBF-TC04S_EXT_PWR_ERR</t>
  </si>
  <si>
    <t>Temperature input module : External power error</t>
  </si>
  <si>
    <t>XBF-TC04S_EEPROMERR</t>
  </si>
  <si>
    <t>Temperature input module : Offset/gain backup error flag</t>
  </si>
  <si>
    <t>XBF-TC04S_WDT_ERR</t>
  </si>
  <si>
    <t>Temperature input module: H/W error Flag</t>
  </si>
  <si>
    <t>XBF-TC04S_RDY</t>
  </si>
  <si>
    <t>Temperature input module : Module ready</t>
  </si>
  <si>
    <t>XBF-TC04S_CH0_ACT</t>
  </si>
  <si>
    <t>Temperature input module : Channel 0 RUN</t>
  </si>
  <si>
    <t>XBF-TC04S_CH1_ACT</t>
  </si>
  <si>
    <t>Temperature input module : Channel 1 RUN</t>
  </si>
  <si>
    <t>XBF-TC04S_CH2_ACT</t>
  </si>
  <si>
    <t>Temperature input module : Channel 2 RUN</t>
  </si>
  <si>
    <t>XBF-TC04S_CH3_ACT</t>
  </si>
  <si>
    <t>Temperature input module : Channel 3 RUN</t>
  </si>
  <si>
    <t>XBF-TC04S_CH0_BOUT</t>
  </si>
  <si>
    <t>Temperature input module : Channel 0 disconnection</t>
  </si>
  <si>
    <t>XBF-TC04S_CH1_BOUT</t>
  </si>
  <si>
    <t>Temperature input module : Channel 1 disconnection</t>
  </si>
  <si>
    <t>XBF-TC04S_CH2_BOUT</t>
  </si>
  <si>
    <t>Temperature input module : Channel 2 disconnection</t>
  </si>
  <si>
    <t>XBF-TC04S_CH3_BOUT</t>
  </si>
  <si>
    <t>Temperature input module : Channel 3 disconnection</t>
  </si>
  <si>
    <t>XBF-TC04S_CH0_SETERR</t>
  </si>
  <si>
    <t>Temperature input module : Channel 0 error code</t>
  </si>
  <si>
    <t>XBF-TC04S_CH1_SETERR</t>
  </si>
  <si>
    <t>Temperature input module : Channel 1 error code</t>
  </si>
  <si>
    <t>XBF-TC04S_CH2_SETERR</t>
  </si>
  <si>
    <t>Temperature input module : Channel 2 error code</t>
  </si>
  <si>
    <t>XBF-TC04S_CH3_SETERR</t>
  </si>
  <si>
    <t>Temperature input module : Channel 3 error code</t>
  </si>
  <si>
    <t>XBF-TC04S_CH0_TEMP</t>
  </si>
  <si>
    <t>Temperature input module : Channel 0 temperature data</t>
  </si>
  <si>
    <t>XBF-TC04S_CH1_TEMP</t>
  </si>
  <si>
    <t>Temperature input module : Channel 1 temperature data</t>
  </si>
  <si>
    <t>XBF-TC04S_CH2_TEMP</t>
  </si>
  <si>
    <t>Temperature input module : Channel 2 temperature data</t>
  </si>
  <si>
    <t>XBF-TC04S_CH3_TEMP</t>
  </si>
  <si>
    <t>Temperature input module : Channel 3 temperature data</t>
  </si>
  <si>
    <t>XBF-TC04S_CH0_SCAL</t>
  </si>
  <si>
    <t>Temperature input module : Channel 0 scaling data</t>
  </si>
  <si>
    <t>XBF-TC04S_CH1_SCAL</t>
  </si>
  <si>
    <t>Temperature input module : Channel 1 scaling data</t>
  </si>
  <si>
    <t>XBF-TC04S_CH2_SCAL</t>
  </si>
  <si>
    <t>Temperature input module : Channel 2 scaling data</t>
  </si>
  <si>
    <t>XBF-TC04S_CH3_SCAL</t>
  </si>
  <si>
    <t>Temperature input module : Channel 3 scaling data</t>
  </si>
  <si>
    <t>XBF-TC04S_CH0_MIN</t>
  </si>
  <si>
    <t>Temperature input module : Channel 0 Min. data</t>
  </si>
  <si>
    <t>XBF-TC04S_CH0_MAX</t>
  </si>
  <si>
    <t>Temperature input module : Channel 0 Max. data</t>
  </si>
  <si>
    <t>XBF-TC04S_CH1_MIN</t>
  </si>
  <si>
    <t>Temperature input module : Channel 1 Min. data</t>
  </si>
  <si>
    <t>XBF-TC04S_CH1_MAX</t>
  </si>
  <si>
    <t>Temperature input module : Channel 1 Max. data</t>
  </si>
  <si>
    <t>XBF-TC04S_CH2_MIN</t>
  </si>
  <si>
    <t>Temperature input module : Channel 2 Min. data</t>
  </si>
  <si>
    <t>XBF-TC04S_CH2_MAX</t>
  </si>
  <si>
    <t>Temperature input module : Channel 2 Max. data</t>
  </si>
  <si>
    <t>XBF-TC04S_CH3_MIN</t>
  </si>
  <si>
    <t>Temperature input module : Channel 3 Min. data</t>
  </si>
  <si>
    <t>XBF-TC04S_CH3_MAX</t>
  </si>
  <si>
    <t>Temperature input module : Channel 3 Max. data</t>
  </si>
  <si>
    <t>XBF-TC04S_CH0_FINDEN</t>
  </si>
  <si>
    <t>Temperature  input module : Channel 0 Max./Min. search enable/disable</t>
  </si>
  <si>
    <t>XBF-TC04S_CH1_FINDEN</t>
  </si>
  <si>
    <t>Temperature  input module : Channel 1 Max./Min. search enable/disable</t>
  </si>
  <si>
    <t>XBF-TC04S_CH2_FINDEN</t>
  </si>
  <si>
    <t>Temperature  input module : Channel 2 Max./Min. search enable/disable</t>
  </si>
  <si>
    <t>XBF-TC04S_CH3_FINDEN</t>
  </si>
  <si>
    <t>Temperature  input module : Channel 3 Max./Min. search enable/disable</t>
  </si>
  <si>
    <t>XBF-TC04S_CH0_RJCDS</t>
  </si>
  <si>
    <t>Temperature  input module : Channel 0 cold junction compensation enable/disable</t>
  </si>
  <si>
    <t>XBF-TC04S_CH1_RJCDS</t>
  </si>
  <si>
    <t>Temperature  input module : Channel 1 cold junction compensation enable/disable</t>
  </si>
  <si>
    <t>XBF-TC04S_CH2_RJCDS</t>
  </si>
  <si>
    <t>Temperature  input module : Channel 2 cold junction compensation enable/disable</t>
  </si>
  <si>
    <t>XBF-TC04S_CH3_RJCDS</t>
  </si>
  <si>
    <t>Temperature  input module : Channel 3 cold junction compensation enable/disable</t>
  </si>
  <si>
    <t>XBF-TC04B_CH0_ADJERR</t>
  </si>
  <si>
    <t>Temperature  input module : Channel 0 offset/gain error flag</t>
  </si>
  <si>
    <t>XBF-TC04B_CH1_ADJERR</t>
  </si>
  <si>
    <t>Temperature  input module : Channel 1 offset/gain error flag</t>
  </si>
  <si>
    <t>XBF-TC04B_CH2_ADJERR</t>
  </si>
  <si>
    <t>Temperature  input module : Channel 2 offset/gain error flag</t>
  </si>
  <si>
    <t>XBF-TC04B_CH3_ADJERR</t>
  </si>
  <si>
    <t>Temperature  input module : Channel 3 offset/gain error flag</t>
  </si>
  <si>
    <t>XBF-TC04B_EXT_PWR_ERR</t>
  </si>
  <si>
    <t>Temperature  input module : External power error</t>
  </si>
  <si>
    <t>XBF-TC04B_EEPROMERR</t>
  </si>
  <si>
    <t>Temperature  input module : Offset/gain backup error flag</t>
  </si>
  <si>
    <t>XBF-TC04B_WDT_ERR</t>
  </si>
  <si>
    <t>Temperature  input module: H/W error Flag</t>
  </si>
  <si>
    <t>XBF-TC04B_RDY</t>
  </si>
  <si>
    <t>XBF-TC04B_CH0_ACT</t>
  </si>
  <si>
    <t>XBF-TC04B_CH1_ACT</t>
  </si>
  <si>
    <t>XBF-TC04B_CH2_ACT</t>
  </si>
  <si>
    <t>XBF-TC04B_CH3_ACT</t>
  </si>
  <si>
    <t>XBF-TC04B_CH0_BOUT</t>
  </si>
  <si>
    <t>XBF-TC04B_CH1_BOUT</t>
  </si>
  <si>
    <t>XBF-TC04B_CH2_BOUT</t>
  </si>
  <si>
    <t>XBF-TC04B_CH3_BOUT</t>
  </si>
  <si>
    <t>XBF-TC04B_CH0_SETERR</t>
  </si>
  <si>
    <t>Temperature  input module : Channel 0 error code</t>
  </si>
  <si>
    <t>XBF-TC04B_CH1_SETERR</t>
  </si>
  <si>
    <t>Temperature  input module : Channel 1 error code</t>
  </si>
  <si>
    <t>XBF-TC04B_CH2_SETERR</t>
  </si>
  <si>
    <t>Temperature  input module : Channel 2 error code</t>
  </si>
  <si>
    <t>XBF-TC04B_CH3_SETERR</t>
  </si>
  <si>
    <t>Temperature  input module : Channel 3 error code</t>
  </si>
  <si>
    <t>XBF-TC04B_CH0_TEMP</t>
  </si>
  <si>
    <t>XBF-TC04B_CH1_TEMP</t>
  </si>
  <si>
    <t>XBF-TC04B_CH2_TEMP</t>
  </si>
  <si>
    <t>XBF-TC04B_CH3_TEMP</t>
  </si>
  <si>
    <t>XBF-TC04B_CH0_SCAL</t>
  </si>
  <si>
    <t>XBF-TC04B_CH1_SCAL</t>
  </si>
  <si>
    <t>XBF-TC04B_CH2_SCAL</t>
  </si>
  <si>
    <t>XBF-TC04B_CH3_SCAL</t>
  </si>
  <si>
    <t>XBF-TC04B_CH0_MIN</t>
  </si>
  <si>
    <t>Temperature  input module : Channel 0 Min. data</t>
  </si>
  <si>
    <t>XBF-TC04B_CH0_MAX</t>
  </si>
  <si>
    <t>Temperature  input module : Channel 0 Max. data</t>
  </si>
  <si>
    <t>XBF-TC04B_CH1_MIN</t>
  </si>
  <si>
    <t>Temperature  input module : Channel 1 Min. data</t>
  </si>
  <si>
    <t>XBF-TC04B_CH1_MAX</t>
  </si>
  <si>
    <t>Temperature  input module : Channel 1 Max. data</t>
  </si>
  <si>
    <t>XBF-TC04B_CH2_MIN</t>
  </si>
  <si>
    <t>Temperature  input module : Channel 2 Min. data</t>
  </si>
  <si>
    <t>XBF-TC04B_CH2_MAX</t>
  </si>
  <si>
    <t>Temperature  input module : Channel 2 Max. data</t>
  </si>
  <si>
    <t>XBF-TC04B_CH3_MIN</t>
  </si>
  <si>
    <t>Temperature  input module : Channel 3 Min. data</t>
  </si>
  <si>
    <t>XBF-TC04B_CH3_MAX</t>
  </si>
  <si>
    <t>Temperature  input module : Channel 3 Max. data</t>
  </si>
  <si>
    <t>XBF-TC04B_CH0_FINDEN</t>
  </si>
  <si>
    <t>XBF-TC04B_CH1_FINDEN</t>
  </si>
  <si>
    <t>XBF-TC04B_CH2_FINDEN</t>
  </si>
  <si>
    <t>XBF-TC04B_CH3_FINDEN</t>
  </si>
  <si>
    <t>XBF-TC04B_CH0_RJCDS</t>
  </si>
  <si>
    <t>XBF-TC04B_CH1_RJCDS</t>
  </si>
  <si>
    <t>XBF-TC04B_CH2_RJCDS</t>
  </si>
  <si>
    <t>XBF-TC04B_CH3_RJCDS</t>
  </si>
  <si>
    <t>XBF-LD02S_ERR</t>
  </si>
  <si>
    <t>Loadcell input module Module error</t>
  </si>
  <si>
    <t>XBF-LD02S_RDY</t>
  </si>
  <si>
    <t>Loadcell input module Module ready</t>
  </si>
  <si>
    <t>XBF-LD02S_CH0_RUN</t>
  </si>
  <si>
    <t>Loadcell input module CH0 RUN</t>
  </si>
  <si>
    <t>XBF-LD02S_CH1_RUN</t>
  </si>
  <si>
    <t>Loadcell input module CH1 RUN</t>
  </si>
  <si>
    <t>XBF-LD02S_CH0_CALMOD</t>
  </si>
  <si>
    <t>Loadcell input module Channel 0  calibration status</t>
  </si>
  <si>
    <t>XBF-LD02S_CH1_CALMOD</t>
  </si>
  <si>
    <t>Loadcell input module Channel 1  calibration status</t>
  </si>
  <si>
    <t>XBF-LD02S_CH0_ERR</t>
  </si>
  <si>
    <t>Loadcell input module Channel 0 error</t>
  </si>
  <si>
    <t>XBF-LD02S_CH1_ERR</t>
  </si>
  <si>
    <t>Loadcell input module Channel 1 error</t>
  </si>
  <si>
    <t>XBF-LD02S_CH0_STBL</t>
  </si>
  <si>
    <t>Loadcell input module Channel 0  stable status</t>
  </si>
  <si>
    <t>XBF-LD02S_CH1_STBL</t>
  </si>
  <si>
    <t>Loadcell input module Channel 1  stable status</t>
  </si>
  <si>
    <t>XBF-LD02S_CH0_ZERO</t>
  </si>
  <si>
    <t>Loadcell input module Channel 0  zero status</t>
  </si>
  <si>
    <t>XBF-LD02S_CH1_ZERO</t>
  </si>
  <si>
    <t>Loadcell input module Channel 1  zero status</t>
  </si>
  <si>
    <t>XBF-LD02S_CH0_COMPLETE</t>
  </si>
  <si>
    <t>Loadcell input module Channel 0 weighing complete status</t>
  </si>
  <si>
    <t>XBF-LD02S_CH1_COMPLETE</t>
  </si>
  <si>
    <t>Loadcell input module Channel 1 weighing complete status</t>
  </si>
  <si>
    <t>XBF-LD02S_CH0_SP1</t>
  </si>
  <si>
    <t>Loadcell input module Channel 0 step1 status</t>
  </si>
  <si>
    <t>XBF-LD02S_CH0_SP2</t>
  </si>
  <si>
    <t>Loadcell input module Channel 0 step2 status</t>
  </si>
  <si>
    <t>XBF-LD02S_CH0_SP3</t>
  </si>
  <si>
    <t>Loadcell input module Channel 0 step3 status</t>
  </si>
  <si>
    <t>XBF-LD02S_CH0_UNDER</t>
  </si>
  <si>
    <t>Loadcell input module Channel 0 lack status</t>
  </si>
  <si>
    <t>XBF-LD02S_CH0_OVER</t>
  </si>
  <si>
    <t>Loadcell input module Channel 0 over status</t>
  </si>
  <si>
    <t>XBF-LD02S_CH1_SP1</t>
  </si>
  <si>
    <t>Loadcell input module Channel 1 step1 status</t>
  </si>
  <si>
    <t>XBF-LD02S_CH1_SP2</t>
  </si>
  <si>
    <t>Loadcell input module Channel 1 step2 status</t>
  </si>
  <si>
    <t>XBF-LD02S_CH1_SP3</t>
  </si>
  <si>
    <t>Loadcell input module Channel 1 step3 status</t>
  </si>
  <si>
    <t>XBF-LD02S_CH1_UNDER</t>
  </si>
  <si>
    <t>Loadcell input module Channel 1 lack status</t>
  </si>
  <si>
    <t>XBF-LD02S_CH1_OVER</t>
  </si>
  <si>
    <t>Loadcell input module Channel 1 over status</t>
  </si>
  <si>
    <t>XBF-LD02S_CH0_ZCALEND</t>
  </si>
  <si>
    <t>Loadcell input module Channel 0  zero calibration status</t>
  </si>
  <si>
    <t>XBF-LD02S_CH1_ZCALEND</t>
  </si>
  <si>
    <t>Loadcell input module Channel 1  zero calibration status</t>
  </si>
  <si>
    <t>XBF-LD02S_CH0_SCALEND</t>
  </si>
  <si>
    <t>Loadcell input module Channel 0 span calibration status</t>
  </si>
  <si>
    <t>XBF-LD02S_CH1_SCALEND</t>
  </si>
  <si>
    <t>Loadcell input module Channel 1 span calibration status</t>
  </si>
  <si>
    <t>XBF-LD02S_CH0_CALEND</t>
  </si>
  <si>
    <t>Loadcell input module Channel 0 save complete flag</t>
  </si>
  <si>
    <t>XBF-LD02S_CH1_CALEND</t>
  </si>
  <si>
    <t>Loadcell input module Channel 1 save complete flag</t>
  </si>
  <si>
    <t>XBF-LD02S_CH0_EQUCALEND</t>
  </si>
  <si>
    <t>Loadcell input module Channel 0 equivalent calibration status</t>
  </si>
  <si>
    <t>XBF-LD02S_CH1_EQUCALEND</t>
  </si>
  <si>
    <t>Loadcell input module Channel 1 equivalent calibration status</t>
  </si>
  <si>
    <t>XBF-LD02S_CH0_ZSET</t>
  </si>
  <si>
    <t>Loadcell input module Channel 0 zero setting status</t>
  </si>
  <si>
    <t>XBF-LD02S_CH1_ZSET</t>
  </si>
  <si>
    <t>Loadcell input module Channel 1 zero setting status</t>
  </si>
  <si>
    <t>XBF-LD02S_CH0_ZRST</t>
  </si>
  <si>
    <t>Loadcell input module Channel 0 zero reset status</t>
  </si>
  <si>
    <t>XBF-LD02S_CH1_ZRST</t>
  </si>
  <si>
    <t>Loadcell input module Channel 1 zero reset status</t>
  </si>
  <si>
    <t>XBF-LD02S_CH0_TSET</t>
  </si>
  <si>
    <t>Loadcell input module Channel 0 tare setting status</t>
  </si>
  <si>
    <t>XBF-LD02S_CH1_TSET</t>
  </si>
  <si>
    <t>Loadcell input module Channel 1 tare setting status</t>
  </si>
  <si>
    <t>XBF-LD02S_CH0_WEIGHTHLD</t>
  </si>
  <si>
    <t>Loadcell input module Channel 0 output hold status</t>
  </si>
  <si>
    <t>XBF-LD02S_CH1_WEIGHTHLD</t>
  </si>
  <si>
    <t>Loadcell input module Channel 1 output hold status</t>
  </si>
  <si>
    <t>XBF-LD02S_CH0_MINMAXHLD</t>
  </si>
  <si>
    <t>Loadcell input module Channel 0 Min./Max. hold status</t>
  </si>
  <si>
    <t>XBF-LD02S_CH1_MINMAXHLD</t>
  </si>
  <si>
    <t>Loadcell input module Channel 1 Min./Max. hold status</t>
  </si>
  <si>
    <t>XBF-LD02S_CH0_NEARZERO</t>
  </si>
  <si>
    <t>Loadcell input module Channel 0 near zero status</t>
  </si>
  <si>
    <t>XBF-LD02S_CH1_NEARZERO</t>
  </si>
  <si>
    <t>Loadcell input module Channel 1 near zero status</t>
  </si>
  <si>
    <t>XBF-LD02S_CH0_GRSMINUS</t>
  </si>
  <si>
    <t>Loadcell input module Channel 0 gross weight negative status</t>
  </si>
  <si>
    <t>XBF-LD02S_CH1_GRSMINUS</t>
  </si>
  <si>
    <t>Loadcell input module Channel 1 gross weight negative status</t>
  </si>
  <si>
    <t>XBF-LD02S_CH0_NETMINUS</t>
  </si>
  <si>
    <t>Loadcell input module Channel 0 net weight negative status</t>
  </si>
  <si>
    <t>XBF-LD02S_CH1_NETMINUS</t>
  </si>
  <si>
    <t>Loadcell input module Channel 1 net weight negative status</t>
  </si>
  <si>
    <t>XBF-LD02S_CH0_HOOR</t>
  </si>
  <si>
    <t>Loadcell input module Channel 0 upper alarm</t>
  </si>
  <si>
    <t>XBF-LD02S_CH1_HOOR</t>
  </si>
  <si>
    <t>Loadcell input module Channel 1 upper alarm</t>
  </si>
  <si>
    <t>XBF-LD02S_CH0_LOOR</t>
  </si>
  <si>
    <t>Loadcell input module Channel 0 lower alarm</t>
  </si>
  <si>
    <t>XBF-LD02S_CH1_LOOR</t>
  </si>
  <si>
    <t>Loadcell input module Channel 1 lower alarm</t>
  </si>
  <si>
    <t>XBF-LD02S_CH0_HHOORSTAT</t>
  </si>
  <si>
    <t>Loadcell input module Channel 0 high high status</t>
  </si>
  <si>
    <t>XBF-LD02S_CH0_HOORSTAT</t>
  </si>
  <si>
    <t>Loadcell input module Channel 0 high status</t>
  </si>
  <si>
    <t>XBF-LD02S_CH0_LOORSTAT</t>
  </si>
  <si>
    <t>Loadcell input module Channel 0 low status</t>
  </si>
  <si>
    <t>XBF-LD02S_CH0_LLOORSTAT</t>
  </si>
  <si>
    <t>Loadcell input module Channel 0 low  low status</t>
  </si>
  <si>
    <t>XBF-LD02S_CH1_HHOORSTAT</t>
  </si>
  <si>
    <t>Loadcell input module Channel 1 high high status</t>
  </si>
  <si>
    <t>XBF-LD02S_CH1_HOORSTAT</t>
  </si>
  <si>
    <t>Loadcell input module Channel 1 high status</t>
  </si>
  <si>
    <t>XBF-LD02S_CH1_LOORSTAT</t>
  </si>
  <si>
    <t>Loadcell input module Channel 1 low status</t>
  </si>
  <si>
    <t>XBF-LD02S_CH1_LLOORSTAT</t>
  </si>
  <si>
    <t>Loadcell input module Channel 1 low  low status</t>
  </si>
  <si>
    <t>XBF-LD02S_CH0_GWDATA_L</t>
  </si>
  <si>
    <t>Loadcell input module Channel 0 gross weight data(Lower)</t>
  </si>
  <si>
    <t>XBF-LD02S_CH0_GWDATA_H</t>
  </si>
  <si>
    <t>Loadcell input module Channel 0 gross weight data(Upper)</t>
  </si>
  <si>
    <t>XBF-LD02S_CH1_GWDATA_L</t>
  </si>
  <si>
    <t>Loadcell input module Channel 1 gross weight data(Lower)</t>
  </si>
  <si>
    <t>XBF-LD02S_CH1_GWDATA_H</t>
  </si>
  <si>
    <t>Loadcell input module Channel 1 gross weight data(Upper)</t>
  </si>
  <si>
    <t>XBF-LD02S_CH0_TAREDATA_L</t>
  </si>
  <si>
    <t>Loadcell input module Channel 0 tare weight data(Lower)</t>
  </si>
  <si>
    <t>XBF-LD02S_CH0_TAREDATA_H</t>
  </si>
  <si>
    <t>Loadcell input module Channel 0 tare weight data(Upper)</t>
  </si>
  <si>
    <t>XBF-LD02S_CH1_TAREDATA_L</t>
  </si>
  <si>
    <t>Loadcell input module Channel 1 tare weight data(Lower)</t>
  </si>
  <si>
    <t>XBF-LD02S_CH1_TAREDATA_H</t>
  </si>
  <si>
    <t>Loadcell input module Channel 1 tare weight data(Upper)</t>
  </si>
  <si>
    <t>XBF-LD02S_CH0_NETDATA_L</t>
  </si>
  <si>
    <t>Loadcell input module Channel 0 net weight data(Lower)</t>
  </si>
  <si>
    <t>XBF-LD02S_CH0_NETDATA_H</t>
  </si>
  <si>
    <t>Loadcell input module Channel 0 net weight data(Upper)</t>
  </si>
  <si>
    <t>XBF-LD02S_CH1_NETDATA_L</t>
  </si>
  <si>
    <t>Loadcell input module Channel 1 net weight data(Lower)</t>
  </si>
  <si>
    <t>XBF-LD02S_CH1_NETDATA_H</t>
  </si>
  <si>
    <t>Loadcell input module Channel 1 net weight data(Upper)</t>
  </si>
  <si>
    <t>XBF-LD02S_CH0_GWMAX_L</t>
  </si>
  <si>
    <t>Loadcell input module Channel 0 gross weight max. data(Lower)</t>
  </si>
  <si>
    <t>XBF-LD02S_CH0_GWMAX_H</t>
  </si>
  <si>
    <t>Loadcell input module Channel 0 gross weight max. data(Upper)</t>
  </si>
  <si>
    <t>XBF-LD02S_CH0_GWMIN_L</t>
  </si>
  <si>
    <t>Loadcell input module Channel 0 gross weight Min. data(Lower)</t>
  </si>
  <si>
    <t>XBF-LD02S_CH0_GWMIN_H</t>
  </si>
  <si>
    <t>Loadcell input module Channel 0 gross weight Min. data(Upper)</t>
  </si>
  <si>
    <t>XBF-LD02S_CH1_GWMAX_L</t>
  </si>
  <si>
    <t>Loadcell input module Channel 1 gross weight max. data(Lower)</t>
  </si>
  <si>
    <t>XBF-LD02S_CH1_GWMAX_H</t>
  </si>
  <si>
    <t>Loadcell input module Channel 1 gross weight max. data(Upper)</t>
  </si>
  <si>
    <t>XBF-LD02S_CH1_GWMIN_L</t>
  </si>
  <si>
    <t>Loadcell input module Channel 1 gross weight Min. data(Lower)</t>
  </si>
  <si>
    <t>XBF-LD02S_CH1_GWMIN_H</t>
  </si>
  <si>
    <t>Loadcell input module Channel 1 gross weight Min. data(Upper)</t>
  </si>
  <si>
    <t>XBF-LD02S_CH0_CUR_FFVAL</t>
  </si>
  <si>
    <t>Loadcell input module Channel 0 free fall data</t>
  </si>
  <si>
    <t>XBF-LD02S_CH1_CUR_FFVAL</t>
  </si>
  <si>
    <t>Loadcell input module Channel 1 free fall data</t>
  </si>
  <si>
    <t>XBF-LD02S_ECODE</t>
  </si>
  <si>
    <t>Loadcell input module Error code</t>
  </si>
  <si>
    <t>XBF-LD02S_CH0_CAL1REQ</t>
  </si>
  <si>
    <t>Loadcell input module Channel 0 1 point calibration request</t>
  </si>
  <si>
    <t>XBF-LD02S_CH1_CAL1REQ</t>
  </si>
  <si>
    <t>Loadcell input module Channel 1 1 point calibration request</t>
  </si>
  <si>
    <t>XBF-LD02S_CH0_CAL2REQ</t>
  </si>
  <si>
    <t>Loadcell input module Channel 0 2 point calibration request</t>
  </si>
  <si>
    <t>XBF-LD02S_CH1_CAL2REQ</t>
  </si>
  <si>
    <t>Loadcell input module Channel 1 2 point calibration request</t>
  </si>
  <si>
    <t>XBF-LD02S_CH0_EQUCALREQ</t>
  </si>
  <si>
    <t>Loadcell input module  Channel 0 equivalent calibration request</t>
  </si>
  <si>
    <t>XBF-LD02S_CH1_EQUCALREQ</t>
  </si>
  <si>
    <t>Loadcell input module  Channel 1 equivalent calibration request</t>
  </si>
  <si>
    <t>XBF-LD02S_CH0_ZCALREQ</t>
  </si>
  <si>
    <t>Loadcell input module Channel 0 zero calibration request</t>
  </si>
  <si>
    <t>XBF-LD02S_CH1_ZCALREQ</t>
  </si>
  <si>
    <t>Loadcell input module Channel 1 zero calibration request</t>
  </si>
  <si>
    <t>XBF-LD02S_CH0_SCALREQ</t>
  </si>
  <si>
    <t>Loadcell input module Channel 0 span calibration request</t>
  </si>
  <si>
    <t>XBF-LD02S_CH1_SCALREQ</t>
  </si>
  <si>
    <t>Loadcell input module Channel 1 span calibration request</t>
  </si>
  <si>
    <t>XBF-LD02S_CH0_CALSTORE</t>
  </si>
  <si>
    <t>Loadcell input module Channel 0 save request</t>
  </si>
  <si>
    <t>XBF-LD02S_CH1_CALSTORE</t>
  </si>
  <si>
    <t>Loadcell input module Channel 1 save request</t>
  </si>
  <si>
    <t>XBF-LD02S_CH0_ZSETREQ</t>
  </si>
  <si>
    <t>Loadcell input module Channel 0 zero setting request</t>
  </si>
  <si>
    <t>XBF-LD02S_CH1_ZSETREQ</t>
  </si>
  <si>
    <t>Loadcell input module Channel 1 zero setting request</t>
  </si>
  <si>
    <t>XBF-LD02S_CH0_ZRSTREQ</t>
  </si>
  <si>
    <t>Loadcell input module Channel 0 zero reset request</t>
  </si>
  <si>
    <t>XBF-LD02S_CH1_ZRSTREQ</t>
  </si>
  <si>
    <t>Loadcell input module Channel 1 zero reset request</t>
  </si>
  <si>
    <t>XBF-LD02S_CH0_TAREREQ</t>
  </si>
  <si>
    <t>Loadcell input module Channel 0 tare setting</t>
  </si>
  <si>
    <t>XBF-LD02S_CH1_TAREREQ</t>
  </si>
  <si>
    <t>Loadcell input module Channel 1 tare setting</t>
  </si>
  <si>
    <t>XBF-LD02S_CH0_HOLDREQ</t>
  </si>
  <si>
    <t>Loadcell input module Channel 0 output hold request</t>
  </si>
  <si>
    <t>XBF-LD02S_CH1_HOLDREQ</t>
  </si>
  <si>
    <t>Loadcell input module Channel 1 output hold request</t>
  </si>
  <si>
    <t>XBF-LD02S_CH0_MAXMINREQ</t>
  </si>
  <si>
    <t>Loadcell input module Channel 0 Min./Max. hold  request</t>
  </si>
  <si>
    <t>XBF-LD02S_CH1_MAXMINREQ</t>
  </si>
  <si>
    <t>Loadcell input module Channel 1 Min./Max. hold  request</t>
  </si>
  <si>
    <t>XBF-LD02S_CH0_SEQREQ</t>
  </si>
  <si>
    <t>Loadcell input module Channel 0 sequential control request</t>
  </si>
  <si>
    <t>XBF-LD02S_CH1_SEQREQ</t>
  </si>
  <si>
    <t>Loadcell input module Channel 1 sequential control request</t>
  </si>
  <si>
    <t>XBF-LD02S_CH0_TARERSTREQ</t>
  </si>
  <si>
    <t>Loadcell input module Channel 0 tare release request</t>
  </si>
  <si>
    <t>XBF-LD02S_CH1_TARERSTREQ</t>
  </si>
  <si>
    <t>Loadcell input module Channel 1 tare release request</t>
  </si>
  <si>
    <t>GEL-AV8C_ERR</t>
  </si>
  <si>
    <t>GEL-AV8C_RDY</t>
  </si>
  <si>
    <t>GEL-AV8C_CH0_ACT</t>
  </si>
  <si>
    <t>GEL-AV8C_CH1_ACT</t>
  </si>
  <si>
    <t>GEL-AV8C_CH2_ACT</t>
  </si>
  <si>
    <t>GEL-AV8C_CH3_ACT</t>
  </si>
  <si>
    <t>GEL-AV8C_CH4_ACT</t>
  </si>
  <si>
    <t>GEL-AV8C_CH5_ACT</t>
  </si>
  <si>
    <t>GEL-AV8C_CH6_ACT</t>
  </si>
  <si>
    <t>GEL-AV8C_CH7_ACT</t>
  </si>
  <si>
    <t>GEL-AV8C_CH0_DATA</t>
  </si>
  <si>
    <t>GEL-AV8C_CH1_DATA</t>
  </si>
  <si>
    <t>GEL-AV8C_CH2_DATA</t>
  </si>
  <si>
    <t>GEL-AV8C_CH3_DATA</t>
  </si>
  <si>
    <t>GEL-AV8C_CH4_DATA</t>
  </si>
  <si>
    <t>GEL-AV8C_CH5_DATA</t>
  </si>
  <si>
    <t>GEL-AV8C_CH6_DATA</t>
  </si>
  <si>
    <t>GEL-AV8C_CH7_DATA</t>
  </si>
  <si>
    <t>GEL-AV8C_CH0_IDD</t>
  </si>
  <si>
    <t>GEL-AV8C_CH1_IDD</t>
  </si>
  <si>
    <t>GEL-AV8C_CH2_IDD</t>
  </si>
  <si>
    <t>GEL-AV8C_CH3_IDD</t>
  </si>
  <si>
    <t>GEL-AV8C_CH4_IDD</t>
  </si>
  <si>
    <t>GEL-AV8C_CH5_IDD</t>
  </si>
  <si>
    <t>GEL-AV8C_CH6_IDD</t>
  </si>
  <si>
    <t>GEL-AV8C_CH7_IDD</t>
  </si>
  <si>
    <t>GEL-AV8C_CH0_HOOR</t>
  </si>
  <si>
    <t>GEL-AV8C_CH1_HOOR</t>
  </si>
  <si>
    <t>GEL-AV8C_CH2_HOOR</t>
  </si>
  <si>
    <t>GEL-AV8C_CH3_HOOR</t>
  </si>
  <si>
    <t>GEL-AV8C_CH4_HOOR</t>
  </si>
  <si>
    <t>Analog input module: Channel 4 alarm upper limit</t>
  </si>
  <si>
    <t>GEL-AV8C_CH5_HOOR</t>
  </si>
  <si>
    <t>Analog input module: Channel 5 alarm upper limit</t>
  </si>
  <si>
    <t>GEL-AV8C_CH6_HOOR</t>
  </si>
  <si>
    <t>Analog input module: Channel 6 alarm upper limit</t>
  </si>
  <si>
    <t>GEL-AV8C_CH7_HOOR</t>
  </si>
  <si>
    <t>Analog input module: Channel 7 alarm upper limit</t>
  </si>
  <si>
    <t>GEL-AV8C_CH0_LOOR</t>
  </si>
  <si>
    <t>GEL-AV8C_CH1_LOOR</t>
  </si>
  <si>
    <t>GEL-AV8C_CH2_LOOR</t>
  </si>
  <si>
    <t>GEL-AV8C_CH3_LOOR</t>
  </si>
  <si>
    <t>GEL-AV8C_CH4_LOOR</t>
  </si>
  <si>
    <t>Analog input module: Channel 4 alarm lower limit</t>
  </si>
  <si>
    <t>GEL-AV8C_CH5_LOOR</t>
  </si>
  <si>
    <t>Analog input module: Channel 5 alarm lower limit</t>
  </si>
  <si>
    <t>GEL-AV8C_CH6_LOOR</t>
  </si>
  <si>
    <t>Analog input module: Channel 6 alarm lower limit</t>
  </si>
  <si>
    <t>GEL-AV8C_CH7_LOOR</t>
  </si>
  <si>
    <t>Analog input module: Channel 7 alarm lower limit</t>
  </si>
  <si>
    <t>GEL-AV8C_ERR_CLR</t>
  </si>
  <si>
    <t>GEL-AC8C_ERR</t>
  </si>
  <si>
    <t>GEL-AC8C_RDY</t>
  </si>
  <si>
    <t>GEL-AC8C_CH0_ACT</t>
  </si>
  <si>
    <t>GEL-AC8C_CH1_ACT</t>
  </si>
  <si>
    <t>GEL-AC8C_CH2_ACT</t>
  </si>
  <si>
    <t>GEL-AC8C_CH3_ACT</t>
  </si>
  <si>
    <t>GEL-AC8C_CH4_ACT</t>
  </si>
  <si>
    <t>GEL-AC8C_CH5_ACT</t>
  </si>
  <si>
    <t>GEL-AC8C_CH6_ACT</t>
  </si>
  <si>
    <t>GEL-AC8C_CH7_ACT</t>
  </si>
  <si>
    <t>GEL-AC8C_CH0_DATA</t>
  </si>
  <si>
    <t>GEL-AC8C_CH1_DATA</t>
  </si>
  <si>
    <t>GEL-AC8C_CH2_DATA</t>
  </si>
  <si>
    <t>GEL-AC8C_CH3_DATA</t>
  </si>
  <si>
    <t>GEL-AC8C_CH4_DATA</t>
  </si>
  <si>
    <t>GEL-AC8C_CH5_DATA</t>
  </si>
  <si>
    <t>GEL-AC8C_CH6_DATA</t>
  </si>
  <si>
    <t>GEL-AC8C_CH7_DATA</t>
  </si>
  <si>
    <t>GEL-AC8C_CH0_IDD</t>
  </si>
  <si>
    <t>GEL-AC8C_CH1_IDD</t>
  </si>
  <si>
    <t>GEL-AC8C_CH2_IDD</t>
  </si>
  <si>
    <t>GEL-AC8C_CH3_IDD</t>
  </si>
  <si>
    <t>GEL-AC8C_CH4_IDD</t>
  </si>
  <si>
    <t>GEL-AC8C_CH5_IDD</t>
  </si>
  <si>
    <t>GEL-AC8C_CH6_IDD</t>
  </si>
  <si>
    <t>GEL-AC8C_CH7_IDD</t>
  </si>
  <si>
    <t>GEL-AC8C_CH0_HOOR</t>
  </si>
  <si>
    <t>GEL-AC8C_CH1_HOOR</t>
  </si>
  <si>
    <t>GEL-AC8C_CH2_HOOR</t>
  </si>
  <si>
    <t>GEL-AC8C_CH3_HOOR</t>
  </si>
  <si>
    <t>GEL-AC8C_CH4_HOOR</t>
  </si>
  <si>
    <t>GEL-AC8C_CH5_HOOR</t>
  </si>
  <si>
    <t>GEL-AC8C_CH6_HOOR</t>
  </si>
  <si>
    <t>GEL-AC8C_CH7_HOOR</t>
  </si>
  <si>
    <t>GEL-AC8C_CH0_LOOR</t>
  </si>
  <si>
    <t>GEL-AC8C_CH1_LOOR</t>
  </si>
  <si>
    <t>GEL-AC8C_CH2_LOOR</t>
  </si>
  <si>
    <t>GEL-AC8C_CH3_LOOR</t>
  </si>
  <si>
    <t>GEL-AC8C_CH4_LOOR</t>
  </si>
  <si>
    <t>GEL-AC8C_CH5_LOOR</t>
  </si>
  <si>
    <t>GEL-AC8C_CH6_LOOR</t>
  </si>
  <si>
    <t>GEL-AC8C_CH7_LOOR</t>
  </si>
  <si>
    <t>GEL-AC8C_ERR_CLR</t>
  </si>
  <si>
    <t>GEL-DV4C_CH0_ERR</t>
  </si>
  <si>
    <t>GEL-DV4C_CH1_ERR</t>
  </si>
  <si>
    <t>GEL-DV4C_CH2_ERR</t>
  </si>
  <si>
    <t>GEL-DV4C_CH3_ERR</t>
  </si>
  <si>
    <t>GEL-DV4C_RDY</t>
  </si>
  <si>
    <t>GEL-DV4C_CH0_ACT</t>
  </si>
  <si>
    <t>GEL-DV4C_CH1_ACT</t>
  </si>
  <si>
    <t>GEL-DV4C_CH2_ACT</t>
  </si>
  <si>
    <t>GEL-DV4C_CH3_ACT</t>
  </si>
  <si>
    <t>GEL-DV4C_CH0_OUTEN</t>
  </si>
  <si>
    <t>GEL-DV4C_CH1_OUTEN</t>
  </si>
  <si>
    <t>GEL-DV4C_CH2_OUTEN</t>
  </si>
  <si>
    <t>GEL-DV4C_CH3_OUTEN</t>
  </si>
  <si>
    <t>GEL-DV4C_CH0_DATA</t>
  </si>
  <si>
    <t>GEL-DV4C_CH1_DATA</t>
  </si>
  <si>
    <t>GEL-DV4C_CH2_DATA</t>
  </si>
  <si>
    <t>GEL-DV4C_CH3_DATA</t>
  </si>
  <si>
    <t>GEL-DC4C_CH0_ERR</t>
  </si>
  <si>
    <t>GEL-DC4C_CH1_ERR</t>
  </si>
  <si>
    <t>GEL-DC4C_CH2_ERR</t>
  </si>
  <si>
    <t>GEL-DC4C_CH3_ERR</t>
  </si>
  <si>
    <t>GEL-DC4C_RDY</t>
  </si>
  <si>
    <t>GEL-DC4C_CH0_ACT</t>
  </si>
  <si>
    <t>GEL-DC4C_CH1_ACT</t>
  </si>
  <si>
    <t>GEL-DC4C_CH2_ACT</t>
  </si>
  <si>
    <t>GEL-DC4C_CH3_ACT</t>
  </si>
  <si>
    <t>GEL-DC4C_CH0_OUTEN</t>
  </si>
  <si>
    <t>GEL-DC4C_CH1_OUTEN</t>
  </si>
  <si>
    <t>GEL-DC4C_CH2_OUTEN</t>
  </si>
  <si>
    <t>GEL-DC4C_CH3_OUTEN</t>
  </si>
  <si>
    <t>GEL-DC4C_CH0_DATA</t>
  </si>
  <si>
    <t>GEL-DC4C_CH1_DATA</t>
  </si>
  <si>
    <t>GEL-DC4C_CH2_DATA</t>
  </si>
  <si>
    <t>GEL-DC4C_CH3_DATA</t>
  </si>
  <si>
    <t>Digital Input</t>
    <phoneticPr fontId="1" type="noConversion"/>
  </si>
  <si>
    <t>Digital Output</t>
    <phoneticPr fontId="1" type="noConversion"/>
  </si>
  <si>
    <t>Input CNT</t>
    <phoneticPr fontId="1" type="noConversion"/>
  </si>
  <si>
    <t>Output CNT</t>
    <phoneticPr fontId="1" type="noConversion"/>
  </si>
  <si>
    <t>I/O CNT</t>
    <phoneticPr fontId="1" type="noConversion"/>
  </si>
  <si>
    <t>Product+In/Out</t>
    <phoneticPr fontId="1" type="noConversion"/>
  </si>
  <si>
    <t>Total Count</t>
    <phoneticPr fontId="1" type="noConversion"/>
  </si>
  <si>
    <t>Type</t>
    <phoneticPr fontId="1" type="noConversion"/>
  </si>
  <si>
    <t>ROW</t>
    <phoneticPr fontId="1" type="noConversion"/>
  </si>
  <si>
    <t>All data map'!$F$1552:$J$1571</t>
  </si>
  <si>
    <t>All data map'!$F$</t>
    <phoneticPr fontId="1" type="noConversion"/>
  </si>
  <si>
    <t>:$J$</t>
    <phoneticPr fontId="1" type="noConversion"/>
  </si>
  <si>
    <t>All data map'!$F$3:$J$3</t>
  </si>
  <si>
    <t>All data map'!$F$4:$J$4</t>
  </si>
  <si>
    <t>All data map'!$F$5:$J$5</t>
  </si>
  <si>
    <t>All data map'!$F$6:$J$6</t>
  </si>
  <si>
    <t>All data map'!$F$7:$J$7</t>
  </si>
  <si>
    <t>All data map'!$F$10:$J$10</t>
  </si>
  <si>
    <t>All data map'!$F$13:$J$13</t>
  </si>
  <si>
    <t>All data map'!$F$14:$J$14</t>
  </si>
  <si>
    <t>All data map'!$F$15:$J$15</t>
  </si>
  <si>
    <t>All data map'!$F$16:$J$16</t>
  </si>
  <si>
    <t>All data map'!$F$17:$J$17</t>
  </si>
  <si>
    <t>All data map'!$F$18:$J$18</t>
  </si>
  <si>
    <t>All data map'!$F$19:$J$19</t>
  </si>
  <si>
    <t>All data map'!$F$20:$J$20</t>
  </si>
  <si>
    <t>All data map'!$F$21:$J$21</t>
  </si>
  <si>
    <t>All data map'!$F$22:$J$22</t>
  </si>
  <si>
    <t>All data map'!$F$23:$J$23</t>
  </si>
  <si>
    <t>All data map'!$F$24:$J$24</t>
  </si>
  <si>
    <t>All data map'!$F$25:$J$25</t>
  </si>
  <si>
    <t>All data map'!$F$26:$J$27</t>
  </si>
  <si>
    <t>All data map'!$F$28:$J$70</t>
  </si>
  <si>
    <t>All data map'!$F$71:$J$113</t>
  </si>
  <si>
    <t>All data map'!$F$114:$J$154</t>
  </si>
  <si>
    <t>All data map'!$F$155:$J$197</t>
  </si>
  <si>
    <t>All data map'!$F$198:$J$281</t>
  </si>
  <si>
    <t>All data map'!$F$282:$J$325</t>
  </si>
  <si>
    <t>All data map'!$F$327:$J$367</t>
  </si>
  <si>
    <t>All data map'!$F$368:$J$389</t>
  </si>
  <si>
    <t>All data map'!$F$390:$J$423</t>
  </si>
  <si>
    <t>All data map'!$F$424:$J$445</t>
  </si>
  <si>
    <t>All data map'!$F$446:$J$479</t>
  </si>
  <si>
    <t>All data map'!$F$480:$J$501</t>
  </si>
  <si>
    <t>All data map'!$F$502:$J$523</t>
  </si>
  <si>
    <t>All data map'!$F$524:$J$557</t>
  </si>
  <si>
    <t>All data map'!$F$558:$J$584</t>
  </si>
  <si>
    <t>All data map'!$F$585:$J$646</t>
  </si>
  <si>
    <t>All data map'!$F$647:$J$708</t>
  </si>
  <si>
    <t>All data map'!$F$709:$J$838</t>
  </si>
  <si>
    <t>All data map'!$F$839:$J$914</t>
  </si>
  <si>
    <t>All data map'!$F$915:$J$990</t>
  </si>
  <si>
    <t>All data map'!$F$991:$J$1070</t>
  </si>
  <si>
    <t>All data map'!$F$1071:$J$1185</t>
  </si>
  <si>
    <t>All data map'!$F$1186:$J$1272</t>
  </si>
  <si>
    <t>All data map'!$F$1273:$J$1359</t>
  </si>
  <si>
    <t>All data map'!$F$1359:$J$1359</t>
  </si>
  <si>
    <t>All data map'!$F$1360:$J$1360</t>
  </si>
  <si>
    <t>All data map'!$F$1361:$J$1361</t>
  </si>
  <si>
    <t>All data map'!$F$1362:$J$1362</t>
  </si>
  <si>
    <t>All data map'!$F$1363:$J$1363</t>
  </si>
  <si>
    <t>All data map'!$F$1364:$J$1364</t>
  </si>
  <si>
    <t>All data map'!$F$1365:$J$1365</t>
  </si>
  <si>
    <t>All data map'!$F$1366:$J$1366</t>
  </si>
  <si>
    <t>All data map'!$F$1367:$J$1367</t>
  </si>
  <si>
    <t>All data map'!$F$1368:$J$1368</t>
  </si>
  <si>
    <t>All data map'!$F$1369:$J$1369</t>
  </si>
  <si>
    <t>All data map'!$F$1370:$J$1370</t>
  </si>
  <si>
    <t>All data map'!$F$1371:$J$1371</t>
  </si>
  <si>
    <t>All data map'!$F$1372:$J$1372</t>
  </si>
  <si>
    <t>All data map'!$F$1373:$J$1373</t>
  </si>
  <si>
    <t>All data map'!$F$1374:$J$1375</t>
  </si>
  <si>
    <t>All data map'!$F$1376:$J$1377</t>
  </si>
  <si>
    <t>All data map'!$F$1378:$J$1388</t>
  </si>
  <si>
    <t>All data map'!$F$1389:$J$1423</t>
  </si>
  <si>
    <t>All data map'!$F$1424:$J$1454</t>
  </si>
  <si>
    <t>All data map'!$F$1455:$J$1471</t>
  </si>
  <si>
    <t>All data map'!$F$1472:$J$1488</t>
  </si>
  <si>
    <t>All data map'!$F$1489:$J$1505</t>
  </si>
  <si>
    <t>All data map'!$F$1506:$J$1526</t>
  </si>
  <si>
    <t>All data map'!$F$1527:$J$1551</t>
  </si>
  <si>
    <t>All data map'!$F$1572:$J$1591</t>
  </si>
  <si>
    <t>All data map'!$F$1592:$J$1605</t>
  </si>
  <si>
    <t>All data map'!$F$1606:$J$1651</t>
  </si>
  <si>
    <t>All data map'!$F$1652:$J$1697</t>
  </si>
  <si>
    <t>All data map'!$F$1698:$J$1806</t>
  </si>
  <si>
    <t>All data map'!$F$1807:$J$1867</t>
  </si>
  <si>
    <t>All data map'!$F$1868:$J$1928</t>
  </si>
  <si>
    <t>All data map'!$F$1929:$J$1929</t>
  </si>
  <si>
    <t>All data map'!$F$1930:$J$1930</t>
  </si>
  <si>
    <t>All data map'!$F$1931:$J$1931</t>
  </si>
  <si>
    <t>All data map'!$F$1932:$J$1933</t>
  </si>
  <si>
    <t>All data map'!$F$1934:$J$1976</t>
  </si>
  <si>
    <t>All data map'!$F$1977:$J$2019</t>
  </si>
  <si>
    <t>All data map'!$F$2020:$J$2041</t>
  </si>
  <si>
    <t>All data map'!$F$2042:$J$2063</t>
  </si>
  <si>
    <t>ADDR</t>
    <phoneticPr fontId="1" type="noConversion"/>
  </si>
  <si>
    <t>Product</t>
    <phoneticPr fontId="1" type="noConversion"/>
  </si>
  <si>
    <t>'All data map'!$F$3:$J$3</t>
  </si>
  <si>
    <t>'All data map'!$F$4:$J$4</t>
  </si>
  <si>
    <t>'All data map'!$F$5:$J$5</t>
  </si>
  <si>
    <t>'All data map'!$F$6:$J$6</t>
  </si>
  <si>
    <t>'All data map'!$F$7:$J$7</t>
  </si>
  <si>
    <t>'All data map'!$F$8:$J$9</t>
  </si>
  <si>
    <t>'All data map'!$F$10:$J$10</t>
  </si>
  <si>
    <t>'All data map'!$F$11:$J$12</t>
  </si>
  <si>
    <t>'All data map'!$F$13:$J$13</t>
  </si>
  <si>
    <t>'All data map'!$F$14:$J$14</t>
  </si>
  <si>
    <t>'All data map'!$F$15:$J$15</t>
  </si>
  <si>
    <t>'All data map'!$F$16:$J$16</t>
  </si>
  <si>
    <t>'All data map'!$F$17:$J$17</t>
  </si>
  <si>
    <t>'All data map'!$F$18:$J$18</t>
  </si>
  <si>
    <t>'All data map'!$F$19:$J$19</t>
  </si>
  <si>
    <t>'All data map'!$F$20:$J$20</t>
  </si>
  <si>
    <t>'All data map'!$F$21:$J$21</t>
  </si>
  <si>
    <t>'All data map'!$F$22:$J$22</t>
  </si>
  <si>
    <t>'All data map'!$F$23:$J$23</t>
  </si>
  <si>
    <t>'All data map'!$F$24:$J$24</t>
  </si>
  <si>
    <t>'All data map'!$F$25:$J$25</t>
  </si>
  <si>
    <t>'All data map'!$F$26:$J$27</t>
  </si>
  <si>
    <t>'All data map'!$F$28:$J$70</t>
  </si>
  <si>
    <t>'All data map'!$F$71:$J$113</t>
  </si>
  <si>
    <t>'All data map'!$F$114:$J$154</t>
  </si>
  <si>
    <t>'All data map'!$F$155:$J$197</t>
  </si>
  <si>
    <t>'All data map'!$F$198:$J$281</t>
  </si>
  <si>
    <t>'All data map'!$F$282:$J$325</t>
  </si>
  <si>
    <t>'All data map'!$F$327:$J$367</t>
  </si>
  <si>
    <t>'All data map'!$F$368:$J$389</t>
  </si>
  <si>
    <t>'All data map'!$F$390:$J$423</t>
  </si>
  <si>
    <t>'All data map'!$F$424:$J$445</t>
  </si>
  <si>
    <t>'All data map'!$F$446:$J$479</t>
  </si>
  <si>
    <t>'All data map'!$F$480:$J$501</t>
  </si>
  <si>
    <t>'All data map'!$F$502:$J$523</t>
  </si>
  <si>
    <t>'All data map'!$F$524:$J$557</t>
  </si>
  <si>
    <t>'All data map'!$F$558:$J$584</t>
  </si>
  <si>
    <t>'All data map'!$F$585:$J$646</t>
  </si>
  <si>
    <t>'All data map'!$F$647:$J$708</t>
  </si>
  <si>
    <t>'All data map'!$F$709:$J$838</t>
  </si>
  <si>
    <t>'All data map'!$F$839:$J$914</t>
  </si>
  <si>
    <t>'All data map'!$F$915:$J$990</t>
  </si>
  <si>
    <t>'All data map'!$F$991:$J$1070</t>
  </si>
  <si>
    <t>'All data map'!$F$1071:$J$1185</t>
  </si>
  <si>
    <t>'All data map'!$F$1186:$J$1272</t>
  </si>
  <si>
    <t>'All data map'!$F$1273:$J$1359</t>
  </si>
  <si>
    <t>'All data map'!$F$1360:$J$1360</t>
  </si>
  <si>
    <t>'All data map'!$F$1361:$J$1361</t>
  </si>
  <si>
    <t>'All data map'!$F$1362:$J$1362</t>
  </si>
  <si>
    <t>'All data map'!$F$1363:$J$1363</t>
  </si>
  <si>
    <t>'All data map'!$F$1364:$J$1364</t>
  </si>
  <si>
    <t>'All data map'!$F$1365:$J$1365</t>
  </si>
  <si>
    <t>'All data map'!$F$1366:$J$1366</t>
  </si>
  <si>
    <t>'All data map'!$F$1367:$J$1367</t>
  </si>
  <si>
    <t>'All data map'!$F$1368:$J$1368</t>
  </si>
  <si>
    <t>'All data map'!$F$1369:$J$1369</t>
  </si>
  <si>
    <t>'All data map'!$F$1370:$J$1370</t>
  </si>
  <si>
    <t>'All data map'!$F$1371:$J$1371</t>
  </si>
  <si>
    <t>'All data map'!$F$1372:$J$1372</t>
  </si>
  <si>
    <t>'All data map'!$F$1373:$J$1373</t>
  </si>
  <si>
    <t>'All data map'!$F$1374:$J$1375</t>
  </si>
  <si>
    <t>'All data map'!$F$1376:$J$1377</t>
  </si>
  <si>
    <t>'All data map'!$F$1378:$J$1388</t>
  </si>
  <si>
    <t>'All data map'!$F$1389:$J$1423</t>
  </si>
  <si>
    <t>'All data map'!$F$1424:$J$1454</t>
  </si>
  <si>
    <t>'All data map'!$F$1455:$J$1471</t>
  </si>
  <si>
    <t>'All data map'!$F$1472:$J$1488</t>
  </si>
  <si>
    <t>'All data map'!$F$1489:$J$1505</t>
  </si>
  <si>
    <t>'All data map'!$F$1506:$J$1526</t>
  </si>
  <si>
    <t>'All data map'!$F$1527:$J$1551</t>
  </si>
  <si>
    <t>'All data map'!$F$1552:$J$1571</t>
  </si>
  <si>
    <t>'All data map'!$F$1572:$J$1591</t>
  </si>
  <si>
    <t>'All data map'!$F$1592:$J$1605</t>
  </si>
  <si>
    <t>'All data map'!$F$1606:$J$1651</t>
  </si>
  <si>
    <t>'All data map'!$F$1652:$J$1697</t>
  </si>
  <si>
    <t>'All data map'!$F$1698:$J$1806</t>
  </si>
  <si>
    <t>'All data map'!$F$1807:$J$1867</t>
  </si>
  <si>
    <t>'All data map'!$F$1868:$J$1928</t>
  </si>
  <si>
    <t>'All data map'!$F$1929:$J$1929</t>
  </si>
  <si>
    <t>'All data map'!$F$1930:$J$1930</t>
  </si>
  <si>
    <t>'All data map'!$F$1931:$J$1931</t>
  </si>
  <si>
    <t>'All data map'!$F$1932:$J$1933</t>
  </si>
  <si>
    <t>'All data map'!$F$1934:$J$1976</t>
  </si>
  <si>
    <t>'All data map'!$F$1977:$J$2019</t>
  </si>
  <si>
    <t>'All data map'!$F$2020:$J$2041</t>
  </si>
  <si>
    <t>'All data map'!$F$2042:$J$2063</t>
  </si>
  <si>
    <t>IF($G$14="XBF-AD08A",ADDR!#REF!,0)</t>
    <phoneticPr fontId="1" type="noConversion"/>
  </si>
  <si>
    <t>IF($G$14="</t>
    <phoneticPr fontId="1" type="noConversion"/>
  </si>
  <si>
    <t>",</t>
    <phoneticPr fontId="1" type="noConversion"/>
  </si>
  <si>
    <t>,0)</t>
    <phoneticPr fontId="1" type="noConversion"/>
  </si>
  <si>
    <t xml:space="preserve">IF($G$14="XBE-DC08A",'All data map'!$F$1360:$J$1360, </t>
  </si>
  <si>
    <t xml:space="preserve">IF($G$14="XBE-DC16A",'All data map'!$F$1361:$J$1361, </t>
  </si>
  <si>
    <t xml:space="preserve">IF($G$14="XBE-DC16B",'All data map'!$F$1362:$J$1362, </t>
  </si>
  <si>
    <t xml:space="preserve">IF($G$14="XBE-DC32A",'All data map'!$F$1363:$J$1363, </t>
  </si>
  <si>
    <t xml:space="preserve">IF($G$14="XBE-AC08A",'All data map'!$F$1364:$J$1364, </t>
  </si>
  <si>
    <t xml:space="preserve">IF($G$14="XBE-TP08A",'All data map'!$F$1366:$J$1366, </t>
  </si>
  <si>
    <t xml:space="preserve">IF($G$14="XBE-TN16A",'All data map'!$F$1367:$J$1367, </t>
  </si>
  <si>
    <t xml:space="preserve">IF($G$14="XBE-TP16A",'All data map'!$F$1368:$J$1368, </t>
  </si>
  <si>
    <t xml:space="preserve">IF($G$14="XBE-TP32A",'All data map'!$F$1370:$J$1370, </t>
  </si>
  <si>
    <t xml:space="preserve">IF($G$14="XBE-RY08A",'All data map'!$F$1371:$J$1371, </t>
  </si>
  <si>
    <t xml:space="preserve">IF($G$14="XBE-RY08B",'All data map'!$F$1372:$J$1372, </t>
  </si>
  <si>
    <t xml:space="preserve">IF($G$14="XBE-RY16A",'All data map'!$F$1373:$J$1373, </t>
  </si>
  <si>
    <t xml:space="preserve">IF($G$14="XBE-DR16A",'All data map'!$F$1374:$J$1375, </t>
  </si>
  <si>
    <t xml:space="preserve">IF($G$14="XBE-DN32A",'All data map'!$F$1376:$J$1377, </t>
  </si>
  <si>
    <t xml:space="preserve">IF($G$14="XBF-AD04A",'All data map'!$F$1378:$J$1388, </t>
  </si>
  <si>
    <t xml:space="preserve">IF($G$14="XBF-AD08A",'All data map'!$F$1389:$J$1423, </t>
  </si>
  <si>
    <t xml:space="preserve">IF($G$14="XBF-AD04C",'All data map'!$F$1424:$J$1454, </t>
  </si>
  <si>
    <t xml:space="preserve">IF($G$14="XBF-DV04A",'All data map'!$F$1455:$J$1471, </t>
  </si>
  <si>
    <t xml:space="preserve">IF($G$14="XBF-DC04A",'All data map'!$F$1472:$J$1488, </t>
  </si>
  <si>
    <t xml:space="preserve">IF($G$14="XBF-DC04B",'All data map'!$F$1489:$J$1505, </t>
  </si>
  <si>
    <t xml:space="preserve">IF($G$14="XBF-DV04C",'All data map'!$F$1506:$J$1526, </t>
  </si>
  <si>
    <t xml:space="preserve">IF($G$14="XBF-DC04C",'All data map'!$F$1527:$J$1551, </t>
  </si>
  <si>
    <t xml:space="preserve">IF($G$14="XBF-AH04A",'All data map'!$F$1552:$J$1571, </t>
  </si>
  <si>
    <t xml:space="preserve">IF($G$14="XBF-RD04A",'All data map'!$F$1572:$J$1591, </t>
  </si>
  <si>
    <t xml:space="preserve">IF($G$14="XBF-RD01A",'All data map'!$F$1592:$J$1605, </t>
  </si>
  <si>
    <t xml:space="preserve">IF($G$14="XBF-TC04B",'All data map'!$F$1606:$J$1651, </t>
  </si>
  <si>
    <t xml:space="preserve">IF($G$14="XBF-TC04S",'All data map'!$F$1652:$J$1697, </t>
  </si>
  <si>
    <t xml:space="preserve">IF($G$14="XBF-LD02S",'All data map'!$F$1698:$J$1806, </t>
  </si>
  <si>
    <t xml:space="preserve">IF($G$14="XBF-HO02A",'All data map'!$F$1807:$J$1867, </t>
  </si>
  <si>
    <t xml:space="preserve">IF($G$14="XBF-HD02A",'All data map'!$F$1868:$J$1928, </t>
  </si>
  <si>
    <t xml:space="preserve">IF($G$14="XBE-TN32A",'All data map'!$F$1369:$J$1369, </t>
    <phoneticPr fontId="1" type="noConversion"/>
  </si>
  <si>
    <t xml:space="preserve">IF($G$14="XBE-TN08A",'All data map'!$F$1365:$J$1365, </t>
    <phoneticPr fontId="1" type="noConversion"/>
  </si>
  <si>
    <t>IF($G$14="GEL-D24C",'All data map'!$F$1929:$J$1929,</t>
    <phoneticPr fontId="1" type="noConversion"/>
  </si>
  <si>
    <t>IF($G$14="GEL-RY2C",'All data map'!$F$1930:$J$1930,</t>
    <phoneticPr fontId="1" type="noConversion"/>
  </si>
  <si>
    <t>IF($G$14="GEL-TR4C1",'All data map'!$F$1931:$J$1931,</t>
    <phoneticPr fontId="1" type="noConversion"/>
  </si>
  <si>
    <t>IF($G$14="GEL-DT4C1",'All data map'!$F$1932:$J$1933,</t>
    <phoneticPr fontId="1" type="noConversion"/>
  </si>
  <si>
    <t>IF($G$14="GEL-AC8C",'All data map'!$F$1934:$J$1976,</t>
    <phoneticPr fontId="1" type="noConversion"/>
  </si>
  <si>
    <t>IF($G$14="GEL-AV8C",'All data map'!$F$1977:$J$2019,</t>
    <phoneticPr fontId="1" type="noConversion"/>
  </si>
  <si>
    <t>IF($G$14="GEL-DC4C",'All data map'!$F$2020:$J$2041,</t>
    <phoneticPr fontId="1" type="noConversion"/>
  </si>
  <si>
    <t>IF($G$14="GEL-DV4C",'All data map'!$F$2042:$J$2063,</t>
    <phoneticPr fontId="1" type="noConversion"/>
  </si>
  <si>
    <t xml:space="preserve">IF($G$14="XGI-D21A",'All data map'!$F$3:$J$3, </t>
  </si>
  <si>
    <t xml:space="preserve">IF($G$14="XGI-D22A",'All data map'!$F$4:$J$4, </t>
  </si>
  <si>
    <t xml:space="preserve">IF($G$14="XGI-D22B",'All data map'!$F$5:$J$5, </t>
  </si>
  <si>
    <t xml:space="preserve">IF($G$14="XGI-D24A",'All data map'!$F$6:$J$6, </t>
  </si>
  <si>
    <t xml:space="preserve">IF($G$14="XGI-D24B",'All data map'!$F$7:$J$7, </t>
  </si>
  <si>
    <t xml:space="preserve">IF($G$14="XGI-D28A",'All data map'!$F$8:$J$9, </t>
  </si>
  <si>
    <t xml:space="preserve">IF($G$14="XGI-A12A",'All data map'!$F$10:$J$10, </t>
  </si>
  <si>
    <t xml:space="preserve">IF($G$14="XGI-A21A",'All data map'!$F$11:$J$12, </t>
  </si>
  <si>
    <t xml:space="preserve">IF($G$14="XGI-D21D",'All data map'!$F$13:$J$13, </t>
  </si>
  <si>
    <t xml:space="preserve">IF($G$14="XGQ-RY1A",'All data map'!$F$14:$J$14, </t>
  </si>
  <si>
    <t xml:space="preserve">IF($G$14="XGQ-RY2A",'All data map'!$F$15:$J$15, </t>
  </si>
  <si>
    <t xml:space="preserve">IF($G$14="XGQ-RY2B",'All data map'!$F$16:$J$16, </t>
  </si>
  <si>
    <t xml:space="preserve">IF($G$14="XGQ-TR1C",'All data map'!$F$17:$J$17, </t>
  </si>
  <si>
    <t xml:space="preserve">IF($G$14="XGQ-TR2A",'All data map'!$F$18:$J$18, </t>
  </si>
  <si>
    <t xml:space="preserve">IF($G$14="XGQ-TR2B",'All data map'!$F$19:$J$19, </t>
  </si>
  <si>
    <t xml:space="preserve">IF($G$14="XGQ-TR4A",'All data map'!$F$20:$J$20, </t>
  </si>
  <si>
    <t xml:space="preserve">IF($G$14="XGQ-TR4B",'All data map'!$F$21:$J$21, </t>
  </si>
  <si>
    <t xml:space="preserve">IF($G$14="XGQ-TR8A",'All data map'!$F$22:$J$22, </t>
  </si>
  <si>
    <t xml:space="preserve">IF($G$14="XGQ-TR8B",'All data map'!$F$23:$J$23, </t>
  </si>
  <si>
    <t xml:space="preserve">IF($G$14="XGQ-SS2A",'All data map'!$F$24:$J$24, </t>
  </si>
  <si>
    <t xml:space="preserve">IF($G$14="XGQ-RY1D",'All data map'!$F$25:$J$25, </t>
  </si>
  <si>
    <t xml:space="preserve">IF($G$14="XGH-DT4A",'All data map'!$F$26:$J$27, </t>
  </si>
  <si>
    <t xml:space="preserve">IF($G$14="XGF-AV8A",'All data map'!$F$28:$J$70, </t>
  </si>
  <si>
    <t xml:space="preserve">IF($G$14="XGF-AC8A",'All data map'!$F$71:$J$113, </t>
  </si>
  <si>
    <t xml:space="preserve">IF($G$14="XGF-AD4S",'All data map'!$F$114:$J$154, </t>
  </si>
  <si>
    <t xml:space="preserve">IF($G$14="XGF-AD8A",'All data map'!$F$155:$J$197, </t>
  </si>
  <si>
    <t xml:space="preserve">IF($G$14="XGF-AD16A",'All data map'!$F$198:$J$281, </t>
  </si>
  <si>
    <t xml:space="preserve">IF($G$14="XGF-AC4H",'All data map'!$F$282:$J$325, </t>
  </si>
  <si>
    <t xml:space="preserve">IF($G$14="XGF-AW4S",'All data map'!$F$327:$J$367, </t>
  </si>
  <si>
    <t xml:space="preserve">IF($G$14="XGF-DV4A",'All data map'!$F$368:$J$389, </t>
  </si>
  <si>
    <t xml:space="preserve">IF($G$14="XGF-DV8A",'All data map'!$F$390:$J$423, </t>
  </si>
  <si>
    <t xml:space="preserve">IF($G$14="XGF-DC4A",'All data map'!$F$424:$J$445, </t>
  </si>
  <si>
    <t xml:space="preserve">IF($G$14="XGF-DC8A",'All data map'!$F$446:$J$479, </t>
  </si>
  <si>
    <t xml:space="preserve">IF($G$14="XGF-DV4S",'All data map'!$F$480:$J$501, </t>
  </si>
  <si>
    <t xml:space="preserve">IF($G$14="XGF-DC4S",'All data map'!$F$502:$J$523, </t>
  </si>
  <si>
    <t xml:space="preserve">IF($G$14="XGF-DC4H",'All data map'!$F$524:$J$557, </t>
  </si>
  <si>
    <t xml:space="preserve">IF($G$14="XGF-AH6A",'All data map'!$F$558:$J$584, </t>
  </si>
  <si>
    <t xml:space="preserve">IF($G$14="XGF-HO2A",'All data map'!$F$585:$J$646, </t>
  </si>
  <si>
    <t xml:space="preserve">IF($G$14="XGF-HD2A",'All data map'!$F$647:$J$708, </t>
  </si>
  <si>
    <t xml:space="preserve">IF($G$14="XGF-HO8A",'All data map'!$F$709:$J$838, </t>
  </si>
  <si>
    <t xml:space="preserve">IF($G$14="XGF-RD4A",'All data map'!$F$839:$J$914, </t>
  </si>
  <si>
    <t xml:space="preserve">IF($G$14="XGF-RD4S",'All data map'!$F$915:$J$990, </t>
  </si>
  <si>
    <t xml:space="preserve">IF($G$14="XGF-TC4S",'All data map'!$F$991:$J$1070, </t>
  </si>
  <si>
    <t xml:space="preserve">IF($G$14="XGF-RD8A",'All data map'!$F$1071:$J$1185, </t>
  </si>
  <si>
    <t xml:space="preserve">IF($G$14="XGF-TC4UD",'All data map'!$F$1186:$J$1272, </t>
  </si>
  <si>
    <t xml:space="preserve">IF($G$14="XGF-TC4RT",'All data map'!$F$1273:$J$1359, </t>
  </si>
  <si>
    <t xml:space="preserve"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</t>
  </si>
  <si>
    <t xml:space="preserve">IF($G$14="XGF-RD4S",'All data map'!$F$915:$J$990, IF($G$14="XGF-TC4S",'All data map'!$F$991:$J$1070, IF($G$14="XGF-RD8A",'All data map'!$F$1071:$J$1185, IF($G$14="XGF-TC4UD",'All data map'!$F$1186:$J$1272, IF($G$14="XGF-TC4RT",'All data map'!$F$1273:$J$1359, </t>
  </si>
  <si>
    <t xml:space="preserve"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IF($G$14="XGF-RD4S",'All data map'!$F$915:$J$990, IF($G$14="XGF-TC4S",'All data map'!$F$991:$J$1070, IF($G$14="XGF-RD8A",'All data map'!$F$1071:$J$1185, IF($G$14="XGF-TC4UD",'All data map'!$F$1186:$J$1272, IF($G$14="XGF-TC4RT",'All data map'!$F$1273:$J$1359, </t>
  </si>
  <si>
    <t>IF($G$14="GEL-D24C",'All data map'!$F$1929:$J$1929,IF($G$14="GEL-RY2C",'All data map'!$F$1930:$J$1930,IF($G$14="GEL-TR4C1",'All data map'!$F$1931:$J$1931,IF($G$14="GEL-DT4C1",'All data map'!$F$1932:$J$1933,IF($G$14="GEL-AC8C",'All data map'!$F$1934:$J$1976,IF($G$14="GEL-AV8C",'All data map'!$F$1977:$J$2019,IF($G$14="GEL-DC4C",'All data map'!$F$2020:$J$2041,IF($G$14="GEL-DV4C",'All data map'!$F$2042:$J$2063,</t>
    <phoneticPr fontId="1" type="noConversion"/>
  </si>
  <si>
    <t>IF($G$14="XBE-DC08A",'All data map'!$F$1360:$J$1360, IF($G$14="XBE-DC16A",'All data map'!$F$1361:$J$1361, IF($G$14="XBE-DC16B",'All data map'!$F$1362:$J$1362, IF($G$14="XBE-DC32A",'All data map'!$F$1363:$J$1363, IF($G$14="XBE-AC08A",'All data map'!$F$1364:$J$1364, IF($G$14="XBE-TN08A",'All data map'!$F$1365:$J$1365, IF($G$14="XBE-TP08A",'All data map'!$F$1366:$J$1366, IF($G$14="XBE-TN16A",'All data map'!$F$1367:$J$1367, IF($G$14="XBE-TP16A",'All data map'!$F$1368:$J$1368, IF($G$14="XBE-TN32A",'All data map'!$F$1369:$J$1369, IF($G$14="XBE-TP32A",'All data map'!$F$1370:$J$1370, IF($G$14="XBE-RY08A",'All data map'!$F$1371:$J$1371, IF($G$14="XBE-RY08B",'All data map'!$F$1372:$J$1372, IF($G$14="XBE-RY16A",'All data map'!$F$1373:$J$1373, IF($G$14="XBE-DR16A",'All data map'!$F$1374:$J$1375, IF($G$14="XBE-DN32A",'All data map'!$F$1376:$J$1377, IF($G$14="XBF-AD04A",'All data map'!$F$1378:$J$1388, IF($G$14="XBF-AD08A",'All data map'!$F$1389:$J$1423, IF($G$14="XBF-AD04C",'All data map'!$F$1424:$J$1454, IF($G$14="XBF-DV04A",'All data map'!$F$1455:$J$1471, IF($G$14="XBF-DC04A",'All data map'!$F$1472:$J$1488, IF($G$14="XBF-DC04B",'All data map'!$F$1489:$J$1505, IF($G$14="XBF-DV04C",'All data map'!$F$1506:$J$1526, IF($G$14="XBF-DC04C",'All data map'!$F$1527:$J$1551, IF($G$14="XBF-AH04A",'All data map'!$F$1552:$J$1571, IF($G$14="XBF-RD04A",'All data map'!$F$1572:$J$1591, IF($G$14="XBF-RD01A",'All data map'!$F$1592:$J$1605, IF($G$14="XBF-TC04B",'All data map'!$F$1606:$J$1651, IF($G$14="XBF-TC04S",'All data map'!$F$1652:$J$1697, IF($G$14="XBF-LD02S",'All data map'!$F$1698:$J$1806, IF($G$14="XBF-HO02A",'All data map'!$F$1807:$J$1867, IF($G$14="XBF-HD02A",'All data map'!$F$1868:$J$1928,</t>
    <phoneticPr fontId="1" type="noConversion"/>
  </si>
  <si>
    <t>)</t>
    <phoneticPr fontId="1" type="noConversion"/>
  </si>
  <si>
    <t>))))))))))))))))))))))))))))))))))))))))))))))))))))))))))))))))))))))))))))))))))))))</t>
  </si>
  <si>
    <t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IF($G$14="XGF-RD4S",'All data map'!$F$915:$J$990, IF($G$14="XGF-TC4S",'All data map'!$F$991:$J$1070, IF($G$14="XGF-RD8A",'All data map'!$F$1071:$J$1185, IF($G$14="XGF-TC4UD",'All data map'!$F$1186:$J$1272, IF($G$14="XGF-TC4RT",'All data map'!$F$1273:$J$1359, IF($G$14="XBE-DC08A",'All data map'!$F$1360:$J$1360, IF($G$14="XBE-DC16A",'All data map'!$F$1361:$J$1361, IF($G$14="XBE-DC16B",'All data map'!$F$1362:$J$1362, IF($G$14="XBE-DC32A",'All data map'!$F$1363:$J$1363, IF($G$14="XBE-AC08A",'All data map'!$F$1364:$J$1364, IF($G$14="XBE-TN08A",'All data map'!$F$1365:$J$1365, IF($G$14="XBE-TP08A",'All data map'!$F$1366:$J$1366, IF($G$14="XBE-TN16A",'All data map'!$F$1367:$J$1367, IF($G$14="XBE-TP16A",'All data map'!$F$1368:$J$1368, IF($G$14="XBE-TN32A",'All data map'!$F$1369:$J$1369, IF($G$14="XBE-TP32A",'All data map'!$F$1370:$J$1370, IF($G$14="XBE-RY08A",'All data map'!$F$1371:$J$1371, IF($G$14="XBE-RY08B",'All data map'!$F$1372:$J$1372, IF($G$14="XBE-RY16A",'All data map'!$F$1373:$J$1373, IF($G$14="XBE-DR16A",'All data map'!$F$1374:$J$1375, IF($G$14="XBE-DN32A",'All data map'!$F$1376:$J$1377, IF($G$14="XBF-AD04A",'All data map'!$F$1378:$J$1388, IF($G$14="XBF-AD08A",'All data map'!$F$1389:$J$1423, IF($G$14="XBF-AD04C",'All data map'!$F$1424:$J$1454, IF($G$14="XBF-DV04A",'All data map'!$F$1455:$J$1471, IF($G$14="XBF-DC04A",'All data map'!$F$1472:$J$1488, IF($G$14="XBF-DC04B",'All data map'!$F$1489:$J$1505, IF($G$14="XBF-DV04C",'All data map'!$F$1506:$J$1526, IF($G$14="XBF-DC04C",'All data map'!$F$1527:$J$1551, IF($G$14="XBF-AH04A",'All data map'!$F$1552:$J$1571, IF($G$14="XBF-RD04A",'All data map'!$F$1572:$J$1591, IF($G$14="XBF-RD01A",'All data map'!$F$1592:$J$1605, IF($G$14="XBF-TC04B",'All data map'!$F$1606:$J$1651, IF($G$14="XBF-TC04S",'All data map'!$F$1652:$J$1697, IF($G$14="XBF-LD02S",'All data map'!$F$1698:$J$1806, IF($G$14="XBF-HO02A",'All data map'!$F$1807:$J$1867, IF($G$14="XBF-HD02A",'All data map'!$F$1868:$J$1928,IF($G$14="GEL-D24C",'All data map'!$F$1929:$J$1929,IF($G$14="GEL-RY2C",'All data map'!$F$1930:$J$1930,IF($G$14="GEL-TR4C1",'All data map'!$F$1931:$J$1931,IF($G$14="GEL-DT4C1",'All data map'!$F$1932:$J$1933,IF($G$14="GEL-AC8C",'All data map'!$F$1934:$J$1976,IF($G$14="GEL-AV8C",'All data map'!$F$1977:$J$2019,IF($G$14="GEL-DC4C",'All data map'!$F$2020:$J$2041,IF($G$14="GEL-DV4C",'All data map'!$F$2042:$J$2063,))))))))))))))))))))))))))))))))))))))))))))))))))))))))))))))))))))))))))))))))))))))</t>
  </si>
  <si>
    <t>86개</t>
    <phoneticPr fontId="1" type="noConversion"/>
  </si>
  <si>
    <t>8개</t>
    <phoneticPr fontId="1" type="noConversion"/>
  </si>
  <si>
    <t>32개</t>
    <phoneticPr fontId="1" type="noConversion"/>
  </si>
  <si>
    <t>46개</t>
    <phoneticPr fontId="1" type="noConversion"/>
  </si>
  <si>
    <t>))))))))))))))))))))))))))))))))))))))))))))))</t>
  </si>
  <si>
    <t>))))))))))))))))))))))))))))))))</t>
  </si>
  <si>
    <t>))))))))</t>
  </si>
  <si>
    <t>IF($G$14="XBE-DC08A",'All data map'!$F$1360:$J$1360, IF($G$14="XBE-DC16A",'All data map'!$F$1361:$J$1361, IF($G$14="XBE-DC16B",'All data map'!$F$1362:$J$1362, IF($G$14="XBE-DC32A",'All data map'!$F$1363:$J$1363, IF($G$14="XBE-AC08A",'All data map'!$F$1364:$J$1364, IF($G$14="XBE-TN08A",'All data map'!$F$1365:$J$1365, IF($G$14="XBE-TP08A",'All data map'!$F$1366:$J$1366, IF($G$14="XBE-TN16A",'All data map'!$F$1367:$J$1367, IF($G$14="XBE-TP16A",'All data map'!$F$1368:$J$1368, IF($G$14="XBE-TN32A",'All data map'!$F$1369:$J$1369, IF($G$14="XBE-TP32A",'All data map'!$F$1370:$J$1370, IF($G$14="XBE-RY08A",'All data map'!$F$1371:$J$1371, IF($G$14="XBE-RY08B",'All data map'!$F$1372:$J$1372, IF($G$14="XBE-RY16A",'All data map'!$F$1373:$J$1373, IF($G$14="XBE-DR16A",'All data map'!$F$1374:$J$1375, IF($G$14="XBE-DN32A",'All data map'!$F$1376:$J$1377, IF($G$14="XBF-AD04A",'All data map'!$F$1378:$J$1388, IF($G$14="XBF-AD08A",'All data map'!$F$1389:$J$1423, IF($G$14="XBF-AD04C",'All data map'!$F$1424:$J$1454, IF($G$14="XBF-DV04A",'All data map'!$F$1455:$J$1471, IF($G$14="XBF-DC04A",'All data map'!$F$1472:$J$1488, IF($G$14="XBF-DC04B",'All data map'!$F$1489:$J$1505, IF($G$14="XBF-DV04C",'All data map'!$F$1506:$J$1526, IF($G$14="XBF-DC04C",'All data map'!$F$1527:$J$1551, IF($G$14="XBF-AH04A",'All data map'!$F$1552:$J$1571, IF($G$14="XBF-RD04A",'All data map'!$F$1572:$J$1591, IF($G$14="XBF-RD01A",'All data map'!$F$1592:$J$1605, IF($G$14="XBF-TC04B",'All data map'!$F$1606:$J$1651, IF($G$14="XBF-TC04S",'All data map'!$F$1652:$J$1697, IF($G$14="XBF-LD02S",'All data map'!$F$1698:$J$1806, IF($G$14="XBF-HO02A",'All data map'!$F$1807:$J$1867, IF($G$14="XBF-HD02A",'All data map'!$F$1868:$J$1928,))))))))))))))))))))))))))))))))</t>
  </si>
  <si>
    <t>IF($G$14="GEL-D24C",'All data map'!$F$1929:$J$1929,IF($G$14="GEL-RY2C",'All data map'!$F$1930:$J$1930,IF($G$14="GEL-TR4C1",'All data map'!$F$1931:$J$1931,IF($G$14="GEL-DT4C1",'All data map'!$F$1932:$J$1933,IF($G$14="GEL-AC8C",'All data map'!$F$1934:$J$1976,IF($G$14="GEL-AV8C",'All data map'!$F$1977:$J$2019,IF($G$14="GEL-DC4C",'All data map'!$F$2020:$J$2041,IF($G$14="GEL-DV4C",'All data map'!$F$2042:$J$2063,))))))))</t>
  </si>
  <si>
    <t>Expansion_Driver</t>
  </si>
  <si>
    <t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IF($G$14="XGF-RD4S",'All data map'!$F$915:$J$990, IF($G$14="XGF-TC4S",'All data map'!$F$991:$J$1070, IF($G$14="XGF-RD8A",'All data map'!$F$1071:$J$1185, IF($G$14="XGF-TC4UD",'All data map'!$F$1186:$J$1272, IF($G$14="XGF-TC4RT",'All data map'!$F$1273:$J$1359, ))))))))))))))))))))))))))))))))))))))))))))))</t>
    <phoneticPr fontId="1" type="noConversion"/>
  </si>
  <si>
    <t>XGF-HO2A_CH0_AUGEN</t>
  </si>
  <si>
    <t>XGF-HO2A_CH1_AUGEN</t>
  </si>
  <si>
    <t>XGF-HD2A_CH0_AUGEN</t>
  </si>
  <si>
    <t>XGF-HD2A_CH1_AUGEN</t>
  </si>
  <si>
    <t>XGF-HO8A_CH0_AUGEN</t>
  </si>
  <si>
    <t>XGF-HO8A_CH1_AUGEN</t>
  </si>
  <si>
    <t>XGF-HO8A_CH2_AUGEN</t>
  </si>
  <si>
    <t>XGF-HO8A_CH3_AUGEN</t>
  </si>
  <si>
    <t>XGF-HO8A_CH4_AUGEN</t>
  </si>
  <si>
    <t>XGF-HO8A_CH5_AUGEN</t>
  </si>
  <si>
    <t>XGF-HO8A_CH6_AUGEN</t>
  </si>
  <si>
    <t>XGF-HO8A_CH7_AUGEN</t>
  </si>
  <si>
    <t>XBF-HO02A_CH0_AUGEN</t>
  </si>
  <si>
    <t>XBF-HO02A_CH1_AUGEN</t>
  </si>
  <si>
    <t>XBF-HD02A_CH0_AUGEN</t>
  </si>
  <si>
    <t>XBF-HD02A_CH1_AUGEN</t>
  </si>
  <si>
    <t>XGL-DBDx</t>
    <phoneticPr fontId="1" type="noConversion"/>
  </si>
  <si>
    <t>RUN LED (Green)</t>
  </si>
  <si>
    <t>RELAY LED (Green)</t>
  </si>
  <si>
    <t>LINK1 LED (Yellow)</t>
  </si>
  <si>
    <t>LINK2 LED (Green)</t>
  </si>
  <si>
    <t>LINK2 LED (Yellow)</t>
  </si>
  <si>
    <t>RUN LED (Red)</t>
  </si>
  <si>
    <t>RMS LED (Green)</t>
  </si>
  <si>
    <t>RMS LED (Red)</t>
  </si>
  <si>
    <t>RNS LED (Green)</t>
  </si>
  <si>
    <t>RNS LED (Red)</t>
  </si>
  <si>
    <t>LINK/ACT1 LED (Green)</t>
  </si>
  <si>
    <t>LINK/ACT1 LED (Yellow)</t>
  </si>
  <si>
    <t>LINK/ACT2 LED (Green)</t>
  </si>
  <si>
    <t>LINK/ACT2 LED (Yellow)</t>
  </si>
  <si>
    <t>XEL-BSSRx</t>
    <phoneticPr fontId="1" type="noConversion"/>
  </si>
  <si>
    <t>STATUS LED (Green)</t>
  </si>
  <si>
    <t>STATUS LED (Red)</t>
  </si>
  <si>
    <t>PORT1 LED (Green)</t>
  </si>
  <si>
    <t>PORT1 LED (Red)</t>
  </si>
  <si>
    <t>PORT2 LED (Green)</t>
  </si>
  <si>
    <t>PORT2 LED (Red)</t>
  </si>
  <si>
    <t>LATCH LED (Green)</t>
  </si>
  <si>
    <t>LATCH LED (Red)</t>
  </si>
  <si>
    <t>Bit 0 -1</t>
    <phoneticPr fontId="1" type="noConversion"/>
  </si>
  <si>
    <t xml:space="preserve">    RUN LED (Green)</t>
    <phoneticPr fontId="1" type="noConversion"/>
  </si>
  <si>
    <t xml:space="preserve">    RING LED (Green)</t>
    <phoneticPr fontId="1" type="noConversion"/>
  </si>
  <si>
    <t xml:space="preserve">    RELAY LED (Green)</t>
    <phoneticPr fontId="1" type="noConversion"/>
  </si>
  <si>
    <t xml:space="preserve">    CHK LED (Green)</t>
    <phoneticPr fontId="1" type="noConversion"/>
  </si>
  <si>
    <t xml:space="preserve">    FAULT LED (Red)</t>
    <phoneticPr fontId="1" type="noConversion"/>
  </si>
  <si>
    <t xml:space="preserve">    ERR LED (Red)</t>
    <phoneticPr fontId="1" type="noConversion"/>
  </si>
  <si>
    <t>LINK1 LED (Green)</t>
    <phoneticPr fontId="1" type="noConversion"/>
  </si>
  <si>
    <t>Bit 2-3</t>
    <phoneticPr fontId="1" type="noConversion"/>
  </si>
  <si>
    <t>Bit 4-5</t>
    <phoneticPr fontId="1" type="noConversion"/>
  </si>
  <si>
    <t>Bit 6-7</t>
    <phoneticPr fontId="1" type="noConversion"/>
  </si>
  <si>
    <t>Bit 8-9</t>
    <phoneticPr fontId="1" type="noConversion"/>
  </si>
  <si>
    <t>Bit 10 – 11</t>
    <phoneticPr fontId="1" type="noConversion"/>
  </si>
  <si>
    <t xml:space="preserve">Bit 12 - 13    </t>
    <phoneticPr fontId="1" type="noConversion"/>
  </si>
  <si>
    <t xml:space="preserve">Bit 14 -15    </t>
    <phoneticPr fontId="1" type="noConversion"/>
  </si>
  <si>
    <t xml:space="preserve">Bit 16 – 17    </t>
    <phoneticPr fontId="1" type="noConversion"/>
  </si>
  <si>
    <t xml:space="preserve">Bit 18 – 19    </t>
    <phoneticPr fontId="1" type="noConversion"/>
  </si>
  <si>
    <t xml:space="preserve">Bit 20 - 31    </t>
    <phoneticPr fontId="1" type="noConversion"/>
  </si>
  <si>
    <t xml:space="preserve">Bit 0 -1    </t>
    <phoneticPr fontId="1" type="noConversion"/>
  </si>
  <si>
    <t xml:space="preserve">Bit 2-3    </t>
    <phoneticPr fontId="1" type="noConversion"/>
  </si>
  <si>
    <t xml:space="preserve">Bit 4-5    </t>
    <phoneticPr fontId="1" type="noConversion"/>
  </si>
  <si>
    <t xml:space="preserve">Bit 6-7    </t>
    <phoneticPr fontId="1" type="noConversion"/>
  </si>
  <si>
    <t xml:space="preserve">Bit 8-9    </t>
    <phoneticPr fontId="1" type="noConversion"/>
  </si>
  <si>
    <t xml:space="preserve">Bit 10 – 11    </t>
    <phoneticPr fontId="1" type="noConversion"/>
  </si>
  <si>
    <t xml:space="preserve">Bit 12 – 13    </t>
    <phoneticPr fontId="1" type="noConversion"/>
  </si>
  <si>
    <t xml:space="preserve">Bit 20 – 21    </t>
    <phoneticPr fontId="1" type="noConversion"/>
  </si>
  <si>
    <t xml:space="preserve">Bit 22 -23    </t>
    <phoneticPr fontId="1" type="noConversion"/>
  </si>
  <si>
    <t xml:space="preserve">Bit 24 – 31    </t>
    <phoneticPr fontId="1" type="noConversion"/>
  </si>
  <si>
    <t xml:space="preserve">Bit 16 – 31    </t>
    <phoneticPr fontId="1" type="noConversion"/>
  </si>
  <si>
    <t>Status</t>
  </si>
  <si>
    <t>Data: 0 -&gt; Off</t>
  </si>
  <si>
    <t>Data: 1 -&gt; On</t>
  </si>
  <si>
    <t>Data: 2 -&gt; Blink</t>
  </si>
  <si>
    <t>Data: 3 -&gt; Reserved</t>
  </si>
  <si>
    <t>All data map'!$F$2066:$J$2076</t>
    <phoneticPr fontId="1" type="noConversion"/>
  </si>
  <si>
    <t>XGB</t>
    <phoneticPr fontId="1" type="noConversion"/>
  </si>
  <si>
    <t>XGL</t>
    <phoneticPr fontId="1" type="noConversion"/>
  </si>
  <si>
    <t>SIO</t>
    <phoneticPr fontId="1" type="noConversion"/>
  </si>
  <si>
    <t>All data map'!$F$2077:$J$2089</t>
    <phoneticPr fontId="1" type="noConversion"/>
  </si>
  <si>
    <t>All data map'!$F$2089:$J$2098</t>
    <phoneticPr fontId="1" type="noConversion"/>
  </si>
  <si>
    <t>IF($G$14="Header",All data map'!$F$2066:$J$2076,</t>
    <phoneticPr fontId="1" type="noConversion"/>
  </si>
  <si>
    <t>IF($G$14="Header",All data map'!$F$2077:$J$2089,</t>
    <phoneticPr fontId="1" type="noConversion"/>
  </si>
  <si>
    <t>IF($G$14="Header",All data map'!$F$2089:$J$2098,</t>
    <phoneticPr fontId="1" type="noConversion"/>
  </si>
  <si>
    <t>Input/Output</t>
    <phoneticPr fontId="1" type="noConversion"/>
  </si>
  <si>
    <t>All data map'!$F$2066:$J$2076</t>
  </si>
  <si>
    <t>All data map'!$F$2077:$J$2089</t>
  </si>
  <si>
    <t>All data map'!$F$2090:$J$2098</t>
  </si>
  <si>
    <t>Bit 0 -1    STATUS LED (Green)</t>
  </si>
  <si>
    <t>Bit 2-3    STATUS LED (Red)</t>
  </si>
  <si>
    <t>Bit 4-5    PORT1 LED (Green)</t>
  </si>
  <si>
    <t>Bit 6-7    PORT1 LED (Red)</t>
  </si>
  <si>
    <t>Bit 8-9    PORT2 LED (Green)</t>
  </si>
  <si>
    <t>Bit 10 – 11    PORT2 LED (Red)</t>
  </si>
  <si>
    <t>Bit 12 - 13    LATCH LED (Green)</t>
  </si>
  <si>
    <t>Bit 14 -15    LATCH LED (Red)</t>
  </si>
  <si>
    <t>Bit 16 – 31    Reserved</t>
  </si>
  <si>
    <t>All data map'!$F$9:$J$9</t>
  </si>
  <si>
    <t>All data map'!$F$12:$J$12</t>
  </si>
  <si>
    <t>All data map'!$F$11:$J$11</t>
  </si>
  <si>
    <t>All data map'!$F$8:$J$8</t>
    <phoneticPr fontId="1" type="noConversion"/>
  </si>
  <si>
    <t>BIT/WORD</t>
    <phoneticPr fontId="1" type="noConversion"/>
  </si>
  <si>
    <t>WORD(16BIT) Offset</t>
    <phoneticPr fontId="1" type="noConversion"/>
  </si>
  <si>
    <t xml:space="preserve">Bit 0 -1    </t>
  </si>
  <si>
    <t xml:space="preserve">Bit 2-3    </t>
  </si>
  <si>
    <t xml:space="preserve">Bit 4-5    </t>
  </si>
  <si>
    <t xml:space="preserve">Bit 6-7    </t>
  </si>
  <si>
    <t xml:space="preserve">Bit 8-9    </t>
  </si>
  <si>
    <t xml:space="preserve">Bit 10 – 11    </t>
  </si>
  <si>
    <t xml:space="preserve">Bit 12 - 13    </t>
  </si>
  <si>
    <t xml:space="preserve">Bit 14 -15    </t>
  </si>
  <si>
    <t xml:space="preserve">Bit 16 – 31    </t>
  </si>
  <si>
    <t>LATCH LED (Red)</t>
    <phoneticPr fontId="1" type="noConversion"/>
  </si>
  <si>
    <t>Reserved</t>
    <phoneticPr fontId="1" type="noConversion"/>
  </si>
  <si>
    <t>RUN LED (Green)</t>
    <phoneticPr fontId="1" type="noConversion"/>
  </si>
  <si>
    <t>RUN LED (Red)</t>
    <phoneticPr fontId="1" type="noConversion"/>
  </si>
  <si>
    <t>Digital Input 2Byte</t>
  </si>
  <si>
    <t>Digital Input 2Byte</t>
    <phoneticPr fontId="1" type="noConversion"/>
  </si>
  <si>
    <t>Digital Output 2Byte</t>
  </si>
  <si>
    <t>Digital Output 2Byte</t>
    <phoneticPr fontId="1" type="noConversion"/>
  </si>
  <si>
    <t>Digital Input 4Byte</t>
    <phoneticPr fontId="1" type="noConversion"/>
  </si>
  <si>
    <t>Digital Input 8Byte</t>
    <phoneticPr fontId="1" type="noConversion"/>
  </si>
  <si>
    <t>Digital Output 4Byte</t>
    <phoneticPr fontId="1" type="noConversion"/>
  </si>
  <si>
    <t>Digital Output 8Byte</t>
    <phoneticPr fontId="1" type="noConversion"/>
  </si>
  <si>
    <t>Modbus Addr. Map (HEX)</t>
    <phoneticPr fontId="1" type="noConversion"/>
  </si>
  <si>
    <t>Aligning data on memory 
in side of LS PLC</t>
    <phoneticPr fontId="1" type="noConversion"/>
  </si>
  <si>
    <t>Input
Refresh</t>
    <phoneticPr fontId="1" type="noConversion"/>
  </si>
  <si>
    <t>Output
Refresh</t>
    <phoneticPr fontId="1" type="noConversion"/>
  </si>
  <si>
    <t>Refresh Data
[Byte]</t>
    <phoneticPr fontId="1" type="noConversion"/>
  </si>
  <si>
    <t>Total Refresh 
Data size [Byte]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</si>
</sst>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0" tint="-0.499984740745262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rgb="FF00B050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b/>
      <sz val="10"/>
      <color theme="0"/>
      <name val="맑은 고딕"/>
      <family val="2"/>
      <scheme val="minor"/>
    </font>
    <font>
      <sz val="10"/>
      <name val="맑은 고딕"/>
      <family val="2"/>
      <scheme val="minor"/>
    </font>
    <font>
      <i/>
      <sz val="8"/>
      <color theme="0" tint="-0.499984740745262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b/>
      <sz val="14"/>
      <color theme="1"/>
      <name val="맑은 고딕"/>
      <scheme val="minor"/>
    </font>
    <font>
      <b/>
      <sz val="12"/>
      <color theme="1"/>
      <name val="맑은 고딕"/>
      <scheme val="minor"/>
    </font>
    <font>
      <b/>
      <sz val="10"/>
      <color theme="1"/>
      <name val="맑은 고딕"/>
      <scheme val="minor"/>
    </font>
    <font>
      <sz val="9"/>
      <color theme="1"/>
      <name val="Arial"/>
      <family val="2"/>
    </font>
    <font>
      <b/>
      <sz val="11"/>
      <color theme="1"/>
      <name val="맑은 고딕"/>
      <family val="2"/>
      <charset val="129"/>
      <scheme val="minor"/>
    </font>
    <font>
      <b/>
      <sz val="9"/>
      <color rgb="FF000000"/>
      <name val="Arial"/>
      <family val="2"/>
    </font>
    <font>
      <b/>
      <sz val="10"/>
      <color rgb="FF00B050"/>
      <name val="맑은 고딕"/>
      <family val="2"/>
      <scheme val="minor"/>
    </font>
    <font>
      <b/>
      <sz val="8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</cellStyleXfs>
  <cellXfs count="182">
    <xf numFmtId="0" fontId="0" fillId="0" borderId="0" xfId="0">
      <alignment vertical="center"/>
    </xf>
    <xf numFmtId="0" fontId="2" fillId="2" borderId="1" xfId="0" applyFont="1" applyFill="1" applyBorder="1" applyAlignment="1">
      <alignment horizontal="justify" vertical="center"/>
    </xf>
    <xf numFmtId="0" fontId="2" fillId="2" borderId="1" xfId="0" applyFont="1" applyFill="1" applyBorder="1" applyAlignment="1">
      <alignment horizontal="justify" vertical="center" wrapText="1"/>
    </xf>
    <xf numFmtId="49" fontId="2" fillId="3" borderId="1" xfId="0" applyNumberFormat="1" applyFont="1" applyFill="1" applyBorder="1" applyAlignment="1">
      <alignment horizontal="justify" vertical="center"/>
    </xf>
    <xf numFmtId="176" fontId="2" fillId="3" borderId="1" xfId="0" applyNumberFormat="1" applyFont="1" applyFill="1" applyBorder="1" applyAlignment="1">
      <alignment horizontal="justify" vertical="center" wrapText="1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quotePrefix="1" applyFont="1">
      <alignment vertical="center"/>
    </xf>
    <xf numFmtId="0" fontId="3" fillId="6" borderId="0" xfId="0" applyFont="1" applyFill="1">
      <alignment vertical="center"/>
    </xf>
    <xf numFmtId="0" fontId="8" fillId="6" borderId="6" xfId="0" applyFont="1" applyFill="1" applyBorder="1" applyAlignment="1">
      <alignment horizontal="left" vertical="center"/>
    </xf>
    <xf numFmtId="0" fontId="0" fillId="7" borderId="0" xfId="0" applyFill="1">
      <alignment vertical="center"/>
    </xf>
    <xf numFmtId="49" fontId="2" fillId="8" borderId="1" xfId="0" applyNumberFormat="1" applyFont="1" applyFill="1" applyBorder="1" applyAlignment="1">
      <alignment horizontal="justify" vertical="center"/>
    </xf>
    <xf numFmtId="49" fontId="2" fillId="8" borderId="1" xfId="0" applyNumberFormat="1" applyFont="1" applyFill="1" applyBorder="1">
      <alignment vertical="center"/>
    </xf>
    <xf numFmtId="176" fontId="2" fillId="8" borderId="1" xfId="0" applyNumberFormat="1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9" fillId="11" borderId="2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1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8" xfId="0" applyFont="1" applyBorder="1" applyAlignment="1">
      <alignment horizontal="right" vertical="center"/>
    </xf>
    <xf numFmtId="0" fontId="5" fillId="0" borderId="29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5" fillId="8" borderId="7" xfId="0" applyFont="1" applyFill="1" applyBorder="1" applyAlignment="1">
      <alignment horizontal="right" vertical="center"/>
    </xf>
    <xf numFmtId="0" fontId="5" fillId="8" borderId="9" xfId="0" applyFont="1" applyFill="1" applyBorder="1" applyAlignment="1">
      <alignment horizontal="left" vertical="center"/>
    </xf>
    <xf numFmtId="0" fontId="5" fillId="8" borderId="8" xfId="0" applyFont="1" applyFill="1" applyBorder="1" applyAlignment="1">
      <alignment horizontal="left" vertical="center"/>
    </xf>
    <xf numFmtId="0" fontId="5" fillId="0" borderId="35" xfId="0" applyFont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justify" vertical="center" wrapText="1"/>
    </xf>
    <xf numFmtId="176" fontId="2" fillId="13" borderId="1" xfId="0" applyNumberFormat="1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41" fontId="3" fillId="2" borderId="39" xfId="1" applyFont="1" applyFill="1" applyBorder="1" applyAlignment="1">
      <alignment horizontal="center" vertical="center"/>
    </xf>
    <xf numFmtId="176" fontId="2" fillId="5" borderId="1" xfId="0" quotePrefix="1" applyNumberFormat="1" applyFont="1" applyFill="1" applyBorder="1" applyAlignment="1">
      <alignment horizontal="justify" vertical="center" wrapText="1"/>
    </xf>
    <xf numFmtId="49" fontId="0" fillId="0" borderId="1" xfId="0" applyNumberFormat="1" applyBorder="1">
      <alignment vertical="center"/>
    </xf>
    <xf numFmtId="49" fontId="3" fillId="0" borderId="0" xfId="0" applyNumberFormat="1" applyFont="1">
      <alignment vertical="center"/>
    </xf>
    <xf numFmtId="0" fontId="0" fillId="0" borderId="0" xfId="0" quotePrefix="1">
      <alignment vertical="center"/>
    </xf>
    <xf numFmtId="49" fontId="3" fillId="0" borderId="0" xfId="0" quotePrefix="1" applyNumberFormat="1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8" xfId="0" applyBorder="1">
      <alignment vertical="center"/>
    </xf>
    <xf numFmtId="0" fontId="0" fillId="14" borderId="0" xfId="0" applyFill="1">
      <alignment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176" fontId="2" fillId="8" borderId="40" xfId="0" applyNumberFormat="1" applyFont="1" applyFill="1" applyBorder="1" applyAlignment="1">
      <alignment horizontal="center" vertical="center" wrapText="1"/>
    </xf>
    <xf numFmtId="176" fontId="2" fillId="8" borderId="6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49" fontId="2" fillId="5" borderId="4" xfId="0" applyNumberFormat="1" applyFont="1" applyFill="1" applyBorder="1" applyAlignment="1">
      <alignment horizontal="center" vertical="center"/>
    </xf>
    <xf numFmtId="49" fontId="2" fillId="13" borderId="4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9" fontId="17" fillId="4" borderId="32" xfId="0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17" fillId="8" borderId="36" xfId="0" applyFont="1" applyFill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>
      <alignment vertical="center"/>
    </xf>
    <xf numFmtId="49" fontId="5" fillId="0" borderId="0" xfId="0" quotePrefix="1" applyNumberFormat="1" applyFont="1">
      <alignment vertical="center"/>
    </xf>
    <xf numFmtId="0" fontId="5" fillId="0" borderId="32" xfId="0" applyFont="1" applyBorder="1" applyAlignment="1">
      <alignment horizontal="center" vertical="center"/>
    </xf>
    <xf numFmtId="49" fontId="5" fillId="4" borderId="32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21" fillId="0" borderId="0" xfId="0" quotePrefix="1" applyFont="1">
      <alignment vertical="center"/>
    </xf>
    <xf numFmtId="0" fontId="3" fillId="0" borderId="0" xfId="0" quotePrefix="1" applyFont="1">
      <alignment vertical="center"/>
    </xf>
    <xf numFmtId="0" fontId="5" fillId="0" borderId="0" xfId="0" quotePrefix="1" applyFont="1">
      <alignment vertical="center"/>
    </xf>
    <xf numFmtId="0" fontId="0" fillId="0" borderId="6" xfId="0" quotePrefix="1" applyBorder="1">
      <alignment vertical="center"/>
    </xf>
    <xf numFmtId="0" fontId="0" fillId="0" borderId="0" xfId="0" quotePrefix="1" applyAlignment="1">
      <alignment horizontal="center" vertical="center"/>
    </xf>
    <xf numFmtId="0" fontId="17" fillId="15" borderId="39" xfId="0" applyFont="1" applyFill="1" applyBorder="1" applyAlignment="1">
      <alignment horizontal="center" vertical="center"/>
    </xf>
    <xf numFmtId="0" fontId="5" fillId="15" borderId="3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8" borderId="50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right" vertical="center"/>
    </xf>
    <xf numFmtId="0" fontId="5" fillId="5" borderId="51" xfId="0" applyFont="1" applyFill="1" applyBorder="1" applyAlignment="1">
      <alignment horizontal="left" vertical="center"/>
    </xf>
    <xf numFmtId="0" fontId="5" fillId="5" borderId="52" xfId="0" applyFont="1" applyFill="1" applyBorder="1" applyAlignment="1">
      <alignment horizontal="right" vertical="center"/>
    </xf>
    <xf numFmtId="0" fontId="5" fillId="5" borderId="19" xfId="0" applyFont="1" applyFill="1" applyBorder="1" applyAlignment="1">
      <alignment horizontal="left" vertical="center"/>
    </xf>
    <xf numFmtId="0" fontId="5" fillId="12" borderId="20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6" fillId="15" borderId="42" xfId="0" applyFont="1" applyFill="1" applyBorder="1" applyAlignment="1">
      <alignment horizontal="center" vertical="center"/>
    </xf>
    <xf numFmtId="0" fontId="16" fillId="15" borderId="41" xfId="0" applyFont="1" applyFill="1" applyBorder="1" applyAlignment="1">
      <alignment horizontal="center" vertical="center"/>
    </xf>
    <xf numFmtId="0" fontId="16" fillId="15" borderId="34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/>
    </xf>
    <xf numFmtId="0" fontId="20" fillId="2" borderId="34" xfId="0" applyFont="1" applyFill="1" applyBorder="1" applyAlignment="1">
      <alignment horizontal="center" vertical="center"/>
    </xf>
    <xf numFmtId="0" fontId="20" fillId="2" borderId="4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4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21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/>
    </xf>
    <xf numFmtId="0" fontId="8" fillId="9" borderId="21" xfId="0" applyFont="1" applyFill="1" applyBorder="1" applyAlignment="1">
      <alignment horizontal="center" vertical="center"/>
    </xf>
    <xf numFmtId="0" fontId="8" fillId="9" borderId="22" xfId="0" applyFont="1" applyFill="1" applyBorder="1" applyAlignment="1">
      <alignment horizontal="center" vertical="center"/>
    </xf>
    <xf numFmtId="0" fontId="5" fillId="10" borderId="46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</cellXfs>
  <cellStyles count="3">
    <cellStyle name="쉼표 [0]" xfId="1" builtinId="6"/>
    <cellStyle name="쉼표 [0] 2" xfId="2" xr:uid="{F4C83D69-07A6-429E-A7F1-89174DCD63F9}"/>
    <cellStyle name="표준" xfId="0" builtinId="0"/>
  </cellStyles>
  <dxfs count="7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4" tint="0.80001220740379042"/>
          </stop>
          <stop position="0.5">
            <color theme="0"/>
          </stop>
          <stop position="1">
            <color theme="4" tint="0.80001220740379042"/>
          </stop>
        </gradientFill>
      </fill>
    </dxf>
    <dxf>
      <fill>
        <gradientFill degree="90">
          <stop position="0">
            <color theme="7" tint="0.80001220740379042"/>
          </stop>
          <stop position="0.5">
            <color theme="0"/>
          </stop>
          <stop position="1">
            <color theme="7" tint="0.80001220740379042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4" tint="0.80001220740379042"/>
          </stop>
          <stop position="0.5">
            <color theme="0"/>
          </stop>
          <stop position="1">
            <color theme="4" tint="0.80001220740379042"/>
          </stop>
        </gradientFill>
      </fill>
    </dxf>
    <dxf>
      <fill>
        <gradientFill degree="90">
          <stop position="0">
            <color theme="7" tint="0.80001220740379042"/>
          </stop>
          <stop position="0.5">
            <color theme="0"/>
          </stop>
          <stop position="1">
            <color theme="7" tint="0.80001220740379042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 degree="90">
          <stop position="0">
            <color theme="4" tint="0.80001220740379042"/>
          </stop>
          <stop position="0.5">
            <color theme="0"/>
          </stop>
          <stop position="1">
            <color theme="4" tint="0.80001220740379042"/>
          </stop>
        </gradientFill>
      </fill>
    </dxf>
    <dxf>
      <fill>
        <gradientFill degree="90">
          <stop position="0">
            <color theme="7" tint="0.80001220740379042"/>
          </stop>
          <stop position="0.5">
            <color theme="0"/>
          </stop>
          <stop position="1">
            <color theme="7" tint="0.80001220740379042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142752</xdr:colOff>
      <xdr:row>4</xdr:row>
      <xdr:rowOff>53399</xdr:rowOff>
    </xdr:from>
    <xdr:to>
      <xdr:col>2</xdr:col>
      <xdr:colOff>1054327</xdr:colOff>
      <xdr:row>5</xdr:row>
      <xdr:rowOff>212912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66F0DE-F140-49CD-9570-70B374EB5D99}"/>
            </a:ext>
          </a:extLst>
        </xdr:cNvPr>
        <xdr:cNvSpPr/>
      </xdr:nvSpPr>
      <xdr:spPr>
        <a:xfrm>
          <a:off x="142752" y="916252"/>
          <a:ext cx="1819251" cy="38363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★Select Yellow Drop down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145677</xdr:colOff>
      <xdr:row>4</xdr:row>
      <xdr:rowOff>56030</xdr:rowOff>
    </xdr:from>
    <xdr:to>
      <xdr:col>2</xdr:col>
      <xdr:colOff>1057252</xdr:colOff>
      <xdr:row>5</xdr:row>
      <xdr:rowOff>215543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7B8B15F-410F-4F86-9698-BC615C5A1849}"/>
            </a:ext>
          </a:extLst>
        </xdr:cNvPr>
        <xdr:cNvSpPr/>
      </xdr:nvSpPr>
      <xdr:spPr>
        <a:xfrm>
          <a:off x="145677" y="918883"/>
          <a:ext cx="1819251" cy="38363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★Select Yellow Drop down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145676</xdr:colOff>
      <xdr:row>4</xdr:row>
      <xdr:rowOff>56030</xdr:rowOff>
    </xdr:from>
    <xdr:to>
      <xdr:col>2</xdr:col>
      <xdr:colOff>1057251</xdr:colOff>
      <xdr:row>5</xdr:row>
      <xdr:rowOff>215543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DA0B7EB-C7D2-4177-816E-6FB71C296CCF}"/>
            </a:ext>
          </a:extLst>
        </xdr:cNvPr>
        <xdr:cNvSpPr/>
      </xdr:nvSpPr>
      <xdr:spPr>
        <a:xfrm>
          <a:off x="145676" y="918883"/>
          <a:ext cx="1819251" cy="38363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★Select Yellow Drop down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11</xdr:col>
      <xdr:colOff>457200</xdr:colOff>
      <xdr:row>29</xdr:row>
      <xdr:rowOff>151665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225425"/>
          <a:ext cx="7721600" cy="6187340"/>
          <a:chOff x="0" y="209550"/>
          <a:chExt cx="12104765" cy="7838340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209550"/>
            <a:ext cx="12085714" cy="2019048"/>
          </a:xfrm>
          <a:prstGeom prst="rect">
            <a:avLst/>
          </a:prstGeom>
        </xdr:spPr>
      </xdr:pic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" y="2171700"/>
            <a:ext cx="12076190" cy="587619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20</xdr:row>
      <xdr:rowOff>182117</xdr:rowOff>
    </xdr:from>
    <xdr:to>
      <xdr:col>12</xdr:col>
      <xdr:colOff>273453</xdr:colOff>
      <xdr:row>45</xdr:row>
      <xdr:rowOff>180974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6BC00664-D1CE-B262-4FB7-2C98CFDF2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" y="3992117"/>
          <a:ext cx="6960004" cy="4761357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20</xdr:row>
      <xdr:rowOff>180975</xdr:rowOff>
    </xdr:from>
    <xdr:to>
      <xdr:col>24</xdr:col>
      <xdr:colOff>228600</xdr:colOff>
      <xdr:row>45</xdr:row>
      <xdr:rowOff>173890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0FF76E5E-5573-E1C6-C08F-D37B19E1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4325" y="3990975"/>
          <a:ext cx="6924675" cy="475541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0</xdr:row>
      <xdr:rowOff>95250</xdr:rowOff>
    </xdr:from>
    <xdr:to>
      <xdr:col>23</xdr:col>
      <xdr:colOff>141262</xdr:colOff>
      <xdr:row>19</xdr:row>
      <xdr:rowOff>190036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AF78E9EF-E695-9E53-AB78-C9AEC7819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" y="95250"/>
          <a:ext cx="12904762" cy="3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9F0F-B665-4ADD-B7E5-C2C9DB8F96E5}">
  <dimension ref="B3:BR1048576"/>
  <sheetViews>
    <sheetView showGridLines="0" tabSelected="1" zoomScale="85" zoomScaleNormal="85" workbookViewId="0">
      <selection activeCell="G31" sqref="G31"/>
    </sheetView>
  </sheetViews>
  <sheetFormatPr defaultColWidth="8.83203125" defaultRowHeight="17"/>
  <cols>
    <col min="1" max="1" width="2" style="5" customWidth="1"/>
    <col min="2" max="2" width="9.83203125" style="5" customWidth="1"/>
    <col min="3" max="3" width="18.75" style="5" customWidth="1"/>
    <col min="4" max="4" width="6.5" style="5" customWidth="1"/>
    <col min="5" max="5" width="6.83203125" style="5" customWidth="1"/>
    <col min="6" max="6" width="6.58203125" style="5" customWidth="1"/>
    <col min="7" max="7" width="7.25" style="5" customWidth="1"/>
    <col min="8" max="10" width="8.33203125" style="5" hidden="1" customWidth="1"/>
    <col min="11" max="11" width="12.25" style="5" hidden="1" customWidth="1"/>
    <col min="12" max="12" width="13.83203125" style="5" hidden="1" customWidth="1"/>
    <col min="13" max="13" width="6.08203125" style="5" customWidth="1"/>
    <col min="14" max="14" width="6.25" style="5" customWidth="1"/>
    <col min="15" max="16" width="6" style="5" customWidth="1"/>
    <col min="17" max="24" width="8.33203125" style="5" customWidth="1"/>
    <col min="25" max="25" width="18.6640625" style="5" customWidth="1"/>
    <col min="26" max="26" width="11.25" style="22" customWidth="1"/>
    <col min="27" max="27" width="34.33203125" style="5" bestFit="1" customWidth="1"/>
    <col min="28" max="28" width="8.83203125" style="5" bestFit="1" customWidth="1"/>
    <col min="29" max="29" width="19.83203125" style="5" bestFit="1" customWidth="1"/>
    <col min="30" max="30" width="70.58203125" style="5" bestFit="1" customWidth="1"/>
    <col min="31" max="31" width="10" style="5" bestFit="1" customWidth="1"/>
    <col min="33" max="53" width="8.83203125" style="5"/>
    <col min="54" max="56" width="8.83203125" style="5" customWidth="1"/>
    <col min="57" max="57" width="4.08203125" style="5" customWidth="1"/>
    <col min="58" max="70" width="8.83203125" style="5" customWidth="1"/>
    <col min="71" max="16384" width="8.83203125" style="5"/>
  </cols>
  <sheetData>
    <row r="3" spans="2:70">
      <c r="AA3" s="108"/>
    </row>
    <row r="4" spans="2:70" ht="17.5" thickBot="1">
      <c r="Z4" s="71"/>
      <c r="AA4" s="108"/>
      <c r="AB4" s="64"/>
    </row>
    <row r="5" spans="2:70" ht="17.5" thickBot="1">
      <c r="U5" s="6" t="s">
        <v>120</v>
      </c>
      <c r="V5" s="27">
        <v>0</v>
      </c>
      <c r="Z5" s="71"/>
      <c r="AB5" s="66"/>
    </row>
    <row r="6" spans="2:70" ht="17.5" thickBot="1"/>
    <row r="7" spans="2:70" ht="32.25" customHeight="1" thickBot="1">
      <c r="B7" s="148" t="s">
        <v>1</v>
      </c>
      <c r="C7" s="151" t="s">
        <v>16</v>
      </c>
      <c r="D7" s="160" t="s">
        <v>3624</v>
      </c>
      <c r="E7" s="161"/>
      <c r="F7" s="164" t="s">
        <v>3625</v>
      </c>
      <c r="G7" s="165"/>
      <c r="H7" s="168" t="s">
        <v>7</v>
      </c>
      <c r="I7" s="169"/>
      <c r="J7" s="169"/>
      <c r="K7" s="169"/>
      <c r="L7" s="161"/>
      <c r="M7" s="179" t="s">
        <v>3621</v>
      </c>
      <c r="N7" s="180"/>
      <c r="O7" s="180"/>
      <c r="P7" s="181"/>
      <c r="Q7" s="173" t="s">
        <v>3620</v>
      </c>
      <c r="R7" s="174"/>
      <c r="S7" s="174"/>
      <c r="T7" s="175"/>
      <c r="U7" s="176" t="s">
        <v>121</v>
      </c>
      <c r="V7" s="177"/>
      <c r="W7" s="177"/>
      <c r="X7" s="178"/>
      <c r="Y7" s="171" t="s">
        <v>171</v>
      </c>
      <c r="Z7" s="154" t="s">
        <v>3580</v>
      </c>
      <c r="AA7" s="154" t="s">
        <v>149</v>
      </c>
      <c r="AB7" s="157" t="s">
        <v>3597</v>
      </c>
      <c r="AC7" s="154" t="s">
        <v>3598</v>
      </c>
      <c r="AD7" s="154" t="s">
        <v>19</v>
      </c>
    </row>
    <row r="8" spans="2:70" ht="39" customHeight="1" thickBot="1">
      <c r="B8" s="149"/>
      <c r="C8" s="152"/>
      <c r="D8" s="162"/>
      <c r="E8" s="163"/>
      <c r="F8" s="166"/>
      <c r="G8" s="167"/>
      <c r="H8" s="162"/>
      <c r="I8" s="170"/>
      <c r="J8" s="170"/>
      <c r="K8" s="170"/>
      <c r="L8" s="163"/>
      <c r="M8" s="125" t="s">
        <v>11</v>
      </c>
      <c r="N8" s="127" t="s">
        <v>12</v>
      </c>
      <c r="O8" s="128" t="s">
        <v>11</v>
      </c>
      <c r="P8" s="127" t="s">
        <v>13</v>
      </c>
      <c r="Q8" s="33" t="s">
        <v>28</v>
      </c>
      <c r="R8" s="34" t="s">
        <v>26</v>
      </c>
      <c r="S8" s="34" t="s">
        <v>29</v>
      </c>
      <c r="T8" s="35" t="s">
        <v>26</v>
      </c>
      <c r="U8" s="30" t="s">
        <v>28</v>
      </c>
      <c r="V8" s="31" t="s">
        <v>26</v>
      </c>
      <c r="W8" s="31" t="s">
        <v>29</v>
      </c>
      <c r="X8" s="32" t="s">
        <v>26</v>
      </c>
      <c r="Y8" s="172"/>
      <c r="Z8" s="155"/>
      <c r="AA8" s="155"/>
      <c r="AB8" s="158"/>
      <c r="AC8" s="155"/>
      <c r="AD8" s="155"/>
    </row>
    <row r="9" spans="2:70" ht="37.5" customHeight="1" thickBot="1">
      <c r="B9" s="150"/>
      <c r="C9" s="153"/>
      <c r="D9" s="118" t="s">
        <v>14</v>
      </c>
      <c r="E9" s="119" t="s">
        <v>15</v>
      </c>
      <c r="F9" s="125" t="s">
        <v>3622</v>
      </c>
      <c r="G9" s="126" t="s">
        <v>3623</v>
      </c>
      <c r="H9" s="120" t="s">
        <v>3</v>
      </c>
      <c r="I9" s="121" t="s">
        <v>4</v>
      </c>
      <c r="J9" s="121" t="s">
        <v>5</v>
      </c>
      <c r="K9" s="116" t="s">
        <v>8</v>
      </c>
      <c r="L9" s="117" t="s">
        <v>9</v>
      </c>
      <c r="M9" s="131" t="s">
        <v>10</v>
      </c>
      <c r="N9" s="132">
        <v>0</v>
      </c>
      <c r="O9" s="133" t="s">
        <v>10</v>
      </c>
      <c r="P9" s="134">
        <v>100</v>
      </c>
      <c r="Q9" s="135"/>
      <c r="R9" s="136" t="s">
        <v>27</v>
      </c>
      <c r="S9" s="137"/>
      <c r="T9" s="138" t="s">
        <v>27</v>
      </c>
      <c r="U9" s="135"/>
      <c r="V9" s="136" t="s">
        <v>27</v>
      </c>
      <c r="W9" s="137"/>
      <c r="X9" s="138" t="s">
        <v>27</v>
      </c>
      <c r="Y9" s="87" t="s">
        <v>147</v>
      </c>
      <c r="Z9" s="156"/>
      <c r="AA9" s="156"/>
      <c r="AB9" s="159"/>
      <c r="AC9" s="156"/>
      <c r="AD9" s="156"/>
    </row>
    <row r="10" spans="2:70" ht="16.5" customHeight="1">
      <c r="B10" s="45" t="s">
        <v>2</v>
      </c>
      <c r="C10" s="98" t="s">
        <v>2</v>
      </c>
      <c r="D10" s="97">
        <v>4</v>
      </c>
      <c r="E10" s="98">
        <v>0</v>
      </c>
      <c r="F10" s="122">
        <f>D10</f>
        <v>4</v>
      </c>
      <c r="G10" s="122">
        <f>E10</f>
        <v>0</v>
      </c>
      <c r="H10" s="114" t="s">
        <v>6</v>
      </c>
      <c r="I10" s="114" t="s">
        <v>6</v>
      </c>
      <c r="J10" s="114" t="s">
        <v>6</v>
      </c>
      <c r="K10" s="115">
        <f>IFERROR(F10-D10,0)</f>
        <v>0</v>
      </c>
      <c r="L10" s="115">
        <f>IFERROR(G10-E10,"-")</f>
        <v>0</v>
      </c>
      <c r="M10" s="51"/>
      <c r="N10" s="52"/>
      <c r="O10" s="51"/>
      <c r="P10" s="53"/>
      <c r="Q10" s="46" t="str">
        <f>IF(D10&lt;&gt;0,"H302"&amp;TEXT(DEC2HEX(K10/2,2),"00"),0)</f>
        <v>H30200</v>
      </c>
      <c r="R10" s="129">
        <f>D10/2</f>
        <v>2</v>
      </c>
      <c r="S10" s="47">
        <f>IF(E10&lt;&gt;0,"H402"&amp;TEXT(DEC2HEX(L10/2,2),"00"),0)</f>
        <v>0</v>
      </c>
      <c r="T10" s="130">
        <f t="shared" ref="T10:T16" si="0">E10/2</f>
        <v>0</v>
      </c>
      <c r="U10" s="46" t="str">
        <f t="shared" ref="U10:U22" si="1">IF(D10&lt;&gt;0,"305"&amp;TEXT(K10/2+12+$V$5,"00"),0)</f>
        <v>30512</v>
      </c>
      <c r="V10" s="129">
        <f>D10/2</f>
        <v>2</v>
      </c>
      <c r="W10" s="47">
        <f t="shared" ref="W10:W22" si="2">IF(E10&lt;&gt;0,"405"&amp;TEXT(L10/2+12+$V$5,"00"),0)</f>
        <v>0</v>
      </c>
      <c r="X10" s="130">
        <f>E10/2</f>
        <v>0</v>
      </c>
      <c r="Y10" s="139">
        <v>3</v>
      </c>
      <c r="Z1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map'!$F$2063:$J$2075,))))))))))))))))))))))))))))))))),BD10,FALSE),"-")</f>
        <v>Input</v>
      </c>
      <c r="AA1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map'!$F$2063:$H$2075,0))))))))))))))))))))))))))))))))),BE10,FALSE),"-")</f>
        <v>XBF-TC04B_CH0_ADJERR</v>
      </c>
      <c r="AB1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map'!$F$2063:$J$2075,))))))))))))))))))))))))))))))))),BF10,FALSE),"-")</f>
        <v>BIT</v>
      </c>
      <c r="AC10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map'!$F$2063:$J$2075,))))))))))))))))))))))))))))))))),BG10,FALSE),"-")</f>
        <v>0</v>
      </c>
      <c r="AD1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map'!$F$2063:$J$2075,))))))))))))))))))))))))))))))))),BH10,FALSE),"-")</f>
        <v>Temperature  input module : Channel 0 offset/gain error flag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>
        <v>1</v>
      </c>
    </row>
    <row r="11" spans="2:70" ht="16.5" customHeight="1">
      <c r="B11" s="88">
        <v>0</v>
      </c>
      <c r="C11" s="89" t="s">
        <v>94</v>
      </c>
      <c r="D11" s="90">
        <f>IFERROR(VLOOKUP(C11,'refresh size'!C:E,2,FALSE),0)</f>
        <v>2</v>
      </c>
      <c r="E11" s="88">
        <f>IFERROR(VLOOKUP(C11,'refresh size'!C:E,3,FALSE),0)</f>
        <v>2</v>
      </c>
      <c r="F11" s="123">
        <f>IF(LEN(C11)&gt;0,IF(D11&gt;0,MAX(F$10:F10)+D11,"-"),"-")</f>
        <v>6</v>
      </c>
      <c r="G11" s="123">
        <f>IF(LEN(C11)&gt;0,IF(E11&gt;0,MAX(G$10:G10)+E11,0),0)</f>
        <v>2</v>
      </c>
      <c r="H11" s="8">
        <f>B11*8</f>
        <v>0</v>
      </c>
      <c r="I11" s="8">
        <f>B11*8</f>
        <v>0</v>
      </c>
      <c r="J11" s="8">
        <f>B11*64</f>
        <v>0</v>
      </c>
      <c r="K11" s="9">
        <f>IFERROR(F11-D11,0)</f>
        <v>4</v>
      </c>
      <c r="L11" s="9">
        <f>IFERROR(G11-E11,0)</f>
        <v>0</v>
      </c>
      <c r="M11" s="10" t="str">
        <f>$M$9</f>
        <v>MW</v>
      </c>
      <c r="N11" s="11">
        <f>IF(D11,IF(D11,$N$9+(K11/2),0),"-")</f>
        <v>2</v>
      </c>
      <c r="O11" s="10" t="str">
        <f>$M$9</f>
        <v>MW</v>
      </c>
      <c r="P11" s="23">
        <f>IF(E11,IF(E11,$P$9+(L11/2),0),"-")</f>
        <v>100</v>
      </c>
      <c r="Q11" s="24" t="str">
        <f>IF(D11&lt;&gt;0,"H302"&amp;TEXT(DEC2HEX(K11/2,2),"00"),0)</f>
        <v>H30202</v>
      </c>
      <c r="R11" s="28">
        <f t="shared" ref="R11:R22" si="3">D11/2</f>
        <v>1</v>
      </c>
      <c r="S11" s="24" t="str">
        <f t="shared" ref="S11:S22" si="4">IF(E11&lt;&gt;0,"H402"&amp;TEXT(DEC2HEX(L11/2,2),"00"),0)</f>
        <v>H40200</v>
      </c>
      <c r="T11" s="29">
        <f t="shared" si="0"/>
        <v>1</v>
      </c>
      <c r="U11" s="24" t="str">
        <f t="shared" si="1"/>
        <v>30514</v>
      </c>
      <c r="V11" s="28">
        <f t="shared" ref="V11:V22" si="5">D11/2</f>
        <v>1</v>
      </c>
      <c r="W11" s="7" t="str">
        <f t="shared" si="2"/>
        <v>40512</v>
      </c>
      <c r="X11" s="29">
        <f>E11/2</f>
        <v>1</v>
      </c>
      <c r="Y11" s="140"/>
      <c r="Z1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map'!$F$2063:$J$2075,))))))))))))))))))))))))))))))))),BD11,FALSE),"-")</f>
        <v>Input</v>
      </c>
      <c r="AA1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map'!$F$2063:$H$2075,0))))))))))))))))))))))))))))))))),BE11,FALSE),"-")</f>
        <v>XBF-TC04B_CH1_ADJERR</v>
      </c>
      <c r="AB1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map'!$F$2063:$J$2075,))))))))))))))))))))))))))))))))),BF11,FALSE),"-")</f>
        <v>BIT</v>
      </c>
      <c r="AC11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map'!$F$2063:$J$2075,))))))))))))))))))))))))))))))))),BG11,FALSE),"-")</f>
        <v>0.1</v>
      </c>
      <c r="AD1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map'!$F$2063:$J$2075,))))))))))))))))))))))))))))))))),BH11,FALSE),"-")</f>
        <v>Temperature  input module : Channel 1 offset/gain error flag</v>
      </c>
      <c r="BB11" s="5">
        <v>2</v>
      </c>
      <c r="BC11" s="5">
        <v>2</v>
      </c>
      <c r="BD11" s="5">
        <v>2</v>
      </c>
      <c r="BE11" s="5">
        <v>2</v>
      </c>
      <c r="BF11" s="5">
        <v>2</v>
      </c>
      <c r="BG11" s="5">
        <v>2</v>
      </c>
      <c r="BH11" s="5">
        <v>2</v>
      </c>
      <c r="BI11" s="5">
        <v>2</v>
      </c>
      <c r="BJ11" s="5">
        <v>2</v>
      </c>
      <c r="BK11" s="5">
        <v>2</v>
      </c>
      <c r="BL11" s="5">
        <v>2</v>
      </c>
      <c r="BM11" s="5">
        <v>2</v>
      </c>
      <c r="BN11" s="5">
        <v>2</v>
      </c>
      <c r="BO11" s="5">
        <v>2</v>
      </c>
      <c r="BP11" s="5">
        <v>2</v>
      </c>
      <c r="BQ11" s="5">
        <v>2</v>
      </c>
      <c r="BR11" s="5">
        <v>2</v>
      </c>
    </row>
    <row r="12" spans="2:70" ht="16.5" customHeight="1" thickBot="1">
      <c r="B12" s="88">
        <v>1</v>
      </c>
      <c r="C12" s="89" t="s">
        <v>99</v>
      </c>
      <c r="D12" s="90">
        <f>IFERROR(VLOOKUP(C12,'refresh size'!C:E,2,FALSE),0)</f>
        <v>4</v>
      </c>
      <c r="E12" s="88">
        <f>IFERROR(VLOOKUP(C12,'refresh size'!C:E,3,FALSE),0)</f>
        <v>10</v>
      </c>
      <c r="F12" s="123">
        <f>IF(LEN(C12)&gt;0,IF(D12&gt;0,MAX(F$10:F11)+D12,"-"),"-")</f>
        <v>10</v>
      </c>
      <c r="G12" s="123">
        <f>IF(LEN(C12)&gt;0,IF(E12&gt;0,MAX(G$10:G11)+E12,0),0)</f>
        <v>12</v>
      </c>
      <c r="H12" s="8">
        <f t="shared" ref="H12:H22" si="6">B12*8</f>
        <v>8</v>
      </c>
      <c r="I12" s="8">
        <f t="shared" ref="I12:I22" si="7">B12*8</f>
        <v>8</v>
      </c>
      <c r="J12" s="8">
        <f t="shared" ref="J12:J22" si="8">B12*64</f>
        <v>64</v>
      </c>
      <c r="K12" s="9">
        <f t="shared" ref="K12:L22" si="9">IFERROR(F12-D12,0)</f>
        <v>6</v>
      </c>
      <c r="L12" s="9">
        <f t="shared" si="9"/>
        <v>2</v>
      </c>
      <c r="M12" s="10" t="str">
        <f t="shared" ref="M12:O22" si="10">$M$9</f>
        <v>MW</v>
      </c>
      <c r="N12" s="11">
        <f t="shared" ref="N12:N22" si="11">IF(D12,IF(D12,$N$9+(K12/2),0),"-")</f>
        <v>3</v>
      </c>
      <c r="O12" s="10" t="str">
        <f t="shared" si="10"/>
        <v>MW</v>
      </c>
      <c r="P12" s="23">
        <f t="shared" ref="P12:P22" si="12">IF(E12,IF(E12,$P$9+(L12/2),0),"-")</f>
        <v>101</v>
      </c>
      <c r="Q12" s="24" t="str">
        <f t="shared" ref="Q12:Q22" si="13">IF(D12&lt;&gt;0,"H302"&amp;TEXT(DEC2HEX(K12/2,2),"00"),0)</f>
        <v>H30203</v>
      </c>
      <c r="R12" s="28">
        <f t="shared" si="3"/>
        <v>2</v>
      </c>
      <c r="S12" s="24" t="str">
        <f t="shared" si="4"/>
        <v>H40201</v>
      </c>
      <c r="T12" s="29">
        <f t="shared" si="0"/>
        <v>5</v>
      </c>
      <c r="U12" s="24" t="str">
        <f t="shared" si="1"/>
        <v>30515</v>
      </c>
      <c r="V12" s="28">
        <f t="shared" si="5"/>
        <v>2</v>
      </c>
      <c r="W12" s="7" t="str">
        <f t="shared" si="2"/>
        <v>40513</v>
      </c>
      <c r="X12" s="29">
        <f>E12/2</f>
        <v>5</v>
      </c>
      <c r="Y12" s="140"/>
      <c r="Z1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map'!$F$2063:$J$2075,))))))))))))))))))))))))))))))))),BD12,FALSE),"-")</f>
        <v>Input</v>
      </c>
      <c r="AA1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map'!$F$2063:$H$2075,0))))))))))))))))))))))))))))))))),BE12,FALSE),"-")</f>
        <v>XBF-TC04B_CH2_ADJERR</v>
      </c>
      <c r="AB1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map'!$F$2063:$J$2075,))))))))))))))))))))))))))))))))),BF12,FALSE),"-")</f>
        <v>BIT</v>
      </c>
      <c r="AC12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map'!$F$2063:$J$2075,))))))))))))))))))))))))))))))))),BG12,FALSE),"-")</f>
        <v>0.2</v>
      </c>
      <c r="AD1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map'!$F$2063:$J$2075,))))))))))))))))))))))))))))))))),BH12,FALSE),"-")</f>
        <v>Temperature  input module : Channel 2 offset/gain error flag</v>
      </c>
      <c r="BB12" s="5">
        <v>3</v>
      </c>
      <c r="BC12" s="5">
        <v>3</v>
      </c>
      <c r="BD12" s="5">
        <v>3</v>
      </c>
      <c r="BE12" s="5">
        <v>3</v>
      </c>
      <c r="BF12" s="5">
        <v>3</v>
      </c>
      <c r="BG12" s="5">
        <v>3</v>
      </c>
      <c r="BH12" s="5">
        <v>3</v>
      </c>
      <c r="BI12" s="5">
        <v>3</v>
      </c>
      <c r="BJ12" s="5">
        <v>3</v>
      </c>
      <c r="BK12" s="5">
        <v>3</v>
      </c>
      <c r="BL12" s="5">
        <v>3</v>
      </c>
      <c r="BM12" s="5">
        <v>3</v>
      </c>
      <c r="BN12" s="5">
        <v>3</v>
      </c>
      <c r="BO12" s="5">
        <v>3</v>
      </c>
      <c r="BP12" s="5">
        <v>3</v>
      </c>
      <c r="BQ12" s="5">
        <v>3</v>
      </c>
      <c r="BR12" s="5">
        <v>3</v>
      </c>
    </row>
    <row r="13" spans="2:70" ht="16.5" customHeight="1">
      <c r="B13" s="88">
        <v>2</v>
      </c>
      <c r="C13" s="91" t="s">
        <v>104</v>
      </c>
      <c r="D13" s="90">
        <f>IFERROR(VLOOKUP(C13,'refresh size'!C:E,2,FALSE),0)</f>
        <v>12</v>
      </c>
      <c r="E13" s="88">
        <f>IFERROR(VLOOKUP(C13,'refresh size'!C:E,3,FALSE),0)</f>
        <v>6</v>
      </c>
      <c r="F13" s="123">
        <f>IF(LEN(C13)&gt;0,IF(D13&gt;0,MAX(F$10:F12)+D13,"-"),"-")</f>
        <v>22</v>
      </c>
      <c r="G13" s="123">
        <f>IF(LEN(C13)&gt;0,IF(E13&gt;0,MAX(G$10:G12)+E13,0),0)</f>
        <v>18</v>
      </c>
      <c r="H13" s="8">
        <f t="shared" si="6"/>
        <v>16</v>
      </c>
      <c r="I13" s="8">
        <f t="shared" si="7"/>
        <v>16</v>
      </c>
      <c r="J13" s="8">
        <f t="shared" si="8"/>
        <v>128</v>
      </c>
      <c r="K13" s="9">
        <f t="shared" si="9"/>
        <v>10</v>
      </c>
      <c r="L13" s="9">
        <f t="shared" si="9"/>
        <v>12</v>
      </c>
      <c r="M13" s="10" t="str">
        <f t="shared" si="10"/>
        <v>MW</v>
      </c>
      <c r="N13" s="11">
        <f t="shared" si="11"/>
        <v>5</v>
      </c>
      <c r="O13" s="10" t="str">
        <f t="shared" si="10"/>
        <v>MW</v>
      </c>
      <c r="P13" s="23">
        <f t="shared" si="12"/>
        <v>106</v>
      </c>
      <c r="Q13" s="24" t="str">
        <f t="shared" si="13"/>
        <v>H30205</v>
      </c>
      <c r="R13" s="28">
        <f t="shared" si="3"/>
        <v>6</v>
      </c>
      <c r="S13" s="24" t="str">
        <f t="shared" si="4"/>
        <v>H40206</v>
      </c>
      <c r="T13" s="29">
        <f t="shared" si="0"/>
        <v>3</v>
      </c>
      <c r="U13" s="24" t="str">
        <f t="shared" si="1"/>
        <v>30517</v>
      </c>
      <c r="V13" s="28">
        <f t="shared" si="5"/>
        <v>6</v>
      </c>
      <c r="W13" s="7" t="str">
        <f t="shared" si="2"/>
        <v>40518</v>
      </c>
      <c r="X13" s="29">
        <f t="shared" ref="X13:X22" si="14">E13/2</f>
        <v>3</v>
      </c>
      <c r="Y13" s="112" t="s">
        <v>360</v>
      </c>
      <c r="Z1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map'!$F$2063:$J$2075,))))))))))))))))))))))))))))))))),BD13,FALSE),"-")</f>
        <v>Input</v>
      </c>
      <c r="AA1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map'!$F$2063:$H$2075,0))))))))))))))))))))))))))))))))),BE13,FALSE),"-")</f>
        <v>XBF-TC04B_CH3_ADJERR</v>
      </c>
      <c r="AB1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map'!$F$2063:$J$2075,))))))))))))))))))))))))))))))))),BF13,FALSE),"-")</f>
        <v>BIT</v>
      </c>
      <c r="AC13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map'!$F$2063:$J$2075,))))))))))))))))))))))))))))))))),BG13,FALSE),"-")</f>
        <v>0.3</v>
      </c>
      <c r="AD1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map'!$F$2063:$J$2075,))))))))))))))))))))))))))))))))),BH13,FALSE),"-")</f>
        <v>Temperature  input module : Channel 3 offset/gain error flag</v>
      </c>
      <c r="BB13" s="5">
        <v>4</v>
      </c>
      <c r="BC13" s="5">
        <v>4</v>
      </c>
      <c r="BD13" s="5">
        <v>4</v>
      </c>
      <c r="BE13" s="5">
        <v>4</v>
      </c>
      <c r="BF13" s="5">
        <v>4</v>
      </c>
      <c r="BG13" s="5">
        <v>4</v>
      </c>
      <c r="BH13" s="5">
        <v>4</v>
      </c>
      <c r="BI13" s="5">
        <v>4</v>
      </c>
      <c r="BJ13" s="5">
        <v>4</v>
      </c>
      <c r="BK13" s="5">
        <v>4</v>
      </c>
      <c r="BL13" s="5">
        <v>4</v>
      </c>
      <c r="BM13" s="5">
        <v>4</v>
      </c>
      <c r="BN13" s="5">
        <v>4</v>
      </c>
      <c r="BO13" s="5">
        <v>4</v>
      </c>
      <c r="BP13" s="5">
        <v>4</v>
      </c>
      <c r="BQ13" s="5">
        <v>4</v>
      </c>
      <c r="BR13" s="5">
        <v>4</v>
      </c>
    </row>
    <row r="14" spans="2:70" ht="16.5" customHeight="1">
      <c r="B14" s="88">
        <v>3</v>
      </c>
      <c r="C14" s="91" t="s">
        <v>107</v>
      </c>
      <c r="D14" s="90">
        <f>IFERROR(VLOOKUP(C14,'refresh size'!C:E,2,FALSE),0)</f>
        <v>40</v>
      </c>
      <c r="E14" s="88">
        <f>IFERROR(VLOOKUP(C14,'refresh size'!C:E,3,FALSE),0)</f>
        <v>2</v>
      </c>
      <c r="F14" s="123">
        <f>IF(LEN(C14)&gt;0,IF(D14&gt;0,MAX(F$10:F13)+D14,"-"),"-")</f>
        <v>62</v>
      </c>
      <c r="G14" s="123">
        <f>IF(LEN(C14)&gt;0,IF(E14&gt;0,MAX(G$10:G13)+E14,0),0)</f>
        <v>20</v>
      </c>
      <c r="H14" s="8">
        <f t="shared" si="6"/>
        <v>24</v>
      </c>
      <c r="I14" s="8">
        <f t="shared" si="7"/>
        <v>24</v>
      </c>
      <c r="J14" s="8">
        <f t="shared" si="8"/>
        <v>192</v>
      </c>
      <c r="K14" s="9">
        <f t="shared" si="9"/>
        <v>22</v>
      </c>
      <c r="L14" s="9">
        <f t="shared" si="9"/>
        <v>18</v>
      </c>
      <c r="M14" s="10" t="str">
        <f t="shared" si="10"/>
        <v>MW</v>
      </c>
      <c r="N14" s="11">
        <f t="shared" si="11"/>
        <v>11</v>
      </c>
      <c r="O14" s="10" t="str">
        <f t="shared" si="10"/>
        <v>MW</v>
      </c>
      <c r="P14" s="23">
        <f t="shared" si="12"/>
        <v>109</v>
      </c>
      <c r="Q14" s="24" t="str">
        <f t="shared" si="13"/>
        <v>H3020B</v>
      </c>
      <c r="R14" s="28">
        <f t="shared" si="3"/>
        <v>20</v>
      </c>
      <c r="S14" s="24" t="str">
        <f t="shared" si="4"/>
        <v>H40209</v>
      </c>
      <c r="T14" s="29">
        <f t="shared" si="0"/>
        <v>1</v>
      </c>
      <c r="U14" s="24" t="str">
        <f t="shared" si="1"/>
        <v>30523</v>
      </c>
      <c r="V14" s="28">
        <f t="shared" si="5"/>
        <v>20</v>
      </c>
      <c r="W14" s="7" t="str">
        <f t="shared" si="2"/>
        <v>40521</v>
      </c>
      <c r="X14" s="29">
        <f t="shared" si="14"/>
        <v>1</v>
      </c>
      <c r="Y14" s="141" t="str">
        <f>IF(Y10="Header","Header",(VLOOKUP($Y$10,$B$10:$C$22,2,FALSE)))</f>
        <v>XBF-TC04B</v>
      </c>
      <c r="Z1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map'!$F$2063:$J$2075,))))))))))))))))))))))))))))))))),BD14,FALSE),"-")</f>
        <v>Input</v>
      </c>
      <c r="AA1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map'!$F$2063:$H$2075,0))))))))))))))))))))))))))))))))),BE14,FALSE),"-")</f>
        <v>XBF-TC04B_EXT_PWR_ERR</v>
      </c>
      <c r="AB1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map'!$F$2063:$J$2075,))))))))))))))))))))))))))))))))),BF14,FALSE),"-")</f>
        <v>BIT</v>
      </c>
      <c r="AC1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map'!$F$2063:$J$2075,))))))))))))))))))))))))))))))))),BG14,FALSE),"-")</f>
        <v>0.C</v>
      </c>
      <c r="AD1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map'!$F$2063:$J$2075,))))))))))))))))))))))))))))))))),BH14,FALSE),"-")</f>
        <v>Temperature  input module : External power error</v>
      </c>
      <c r="BB14" s="5">
        <v>5</v>
      </c>
      <c r="BC14" s="5">
        <v>5</v>
      </c>
      <c r="BD14" s="5">
        <v>5</v>
      </c>
      <c r="BE14" s="5">
        <v>5</v>
      </c>
      <c r="BF14" s="5">
        <v>5</v>
      </c>
      <c r="BG14" s="5">
        <v>5</v>
      </c>
      <c r="BH14" s="5">
        <v>5</v>
      </c>
      <c r="BI14" s="5">
        <v>5</v>
      </c>
      <c r="BJ14" s="5">
        <v>5</v>
      </c>
      <c r="BK14" s="5">
        <v>5</v>
      </c>
      <c r="BL14" s="5">
        <v>5</v>
      </c>
      <c r="BM14" s="5">
        <v>5</v>
      </c>
      <c r="BN14" s="5">
        <v>5</v>
      </c>
      <c r="BO14" s="5">
        <v>5</v>
      </c>
      <c r="BP14" s="5">
        <v>5</v>
      </c>
      <c r="BQ14" s="5">
        <v>5</v>
      </c>
      <c r="BR14" s="5">
        <v>5</v>
      </c>
    </row>
    <row r="15" spans="2:70" ht="16.5" customHeight="1">
      <c r="B15" s="88">
        <v>4</v>
      </c>
      <c r="C15" s="91" t="s">
        <v>82</v>
      </c>
      <c r="D15" s="90">
        <f>IFERROR(VLOOKUP(C15,'refresh size'!C:E,2,FALSE),0)</f>
        <v>2</v>
      </c>
      <c r="E15" s="88">
        <f>IFERROR(VLOOKUP(C15,'refresh size'!C:E,3,FALSE),0)</f>
        <v>0</v>
      </c>
      <c r="F15" s="123">
        <f>IF(LEN(C15)&gt;0,IF(D15&gt;0,MAX(F$10:F14)+D15,"-"),"-")</f>
        <v>64</v>
      </c>
      <c r="G15" s="123">
        <f>IF(LEN(C15)&gt;0,IF(E15&gt;0,MAX(G$10:G14)+E15,0),0)</f>
        <v>0</v>
      </c>
      <c r="H15" s="8">
        <f t="shared" si="6"/>
        <v>32</v>
      </c>
      <c r="I15" s="8">
        <f t="shared" si="7"/>
        <v>32</v>
      </c>
      <c r="J15" s="8">
        <f t="shared" si="8"/>
        <v>256</v>
      </c>
      <c r="K15" s="9">
        <f t="shared" si="9"/>
        <v>62</v>
      </c>
      <c r="L15" s="9">
        <f t="shared" si="9"/>
        <v>0</v>
      </c>
      <c r="M15" s="10" t="str">
        <f t="shared" si="10"/>
        <v>MW</v>
      </c>
      <c r="N15" s="11">
        <f t="shared" si="11"/>
        <v>31</v>
      </c>
      <c r="O15" s="10" t="str">
        <f t="shared" si="10"/>
        <v>MW</v>
      </c>
      <c r="P15" s="23" t="str">
        <f t="shared" si="12"/>
        <v>-</v>
      </c>
      <c r="Q15" s="24" t="str">
        <f t="shared" si="13"/>
        <v>H3021F</v>
      </c>
      <c r="R15" s="28">
        <f t="shared" si="3"/>
        <v>1</v>
      </c>
      <c r="S15" s="24">
        <f t="shared" si="4"/>
        <v>0</v>
      </c>
      <c r="T15" s="29">
        <f t="shared" si="0"/>
        <v>0</v>
      </c>
      <c r="U15" s="24" t="str">
        <f t="shared" si="1"/>
        <v>30543</v>
      </c>
      <c r="V15" s="28">
        <f t="shared" si="5"/>
        <v>1</v>
      </c>
      <c r="W15" s="7">
        <f t="shared" si="2"/>
        <v>0</v>
      </c>
      <c r="X15" s="29">
        <f t="shared" si="14"/>
        <v>0</v>
      </c>
      <c r="Y15" s="142"/>
      <c r="Z1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map'!$F$2063:$J$2075,))))))))))))))))))))))))))))))))),BD15,FALSE),"-")</f>
        <v>Input</v>
      </c>
      <c r="AA1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map'!$F$2063:$H$2075,0))))))))))))))))))))))))))))))))),BE15,FALSE),"-")</f>
        <v>XBF-TC04B_EEPROMERR</v>
      </c>
      <c r="AB1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map'!$F$2063:$J$2075,))))))))))))))))))))))))))))))))),BF15,FALSE),"-")</f>
        <v>BIT</v>
      </c>
      <c r="AC1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map'!$F$2063:$J$2075,))))))))))))))))))))))))))))))))),BG15,FALSE),"-")</f>
        <v>0.D</v>
      </c>
      <c r="AD1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map'!$F$2063:$J$2075,))))))))))))))))))))))))))))))))),BH15,FALSE),"-")</f>
        <v>Temperature  input module : Offset/gain backup error flag</v>
      </c>
      <c r="BB15" s="5">
        <v>6</v>
      </c>
      <c r="BC15" s="5">
        <v>6</v>
      </c>
      <c r="BD15" s="5">
        <v>6</v>
      </c>
      <c r="BE15" s="5">
        <v>6</v>
      </c>
      <c r="BF15" s="5">
        <v>6</v>
      </c>
      <c r="BG15" s="5">
        <v>6</v>
      </c>
      <c r="BH15" s="5">
        <v>6</v>
      </c>
      <c r="BI15" s="5">
        <v>6</v>
      </c>
      <c r="BJ15" s="5">
        <v>6</v>
      </c>
      <c r="BK15" s="5">
        <v>6</v>
      </c>
      <c r="BL15" s="5">
        <v>6</v>
      </c>
      <c r="BM15" s="5">
        <v>6</v>
      </c>
      <c r="BN15" s="5">
        <v>6</v>
      </c>
      <c r="BO15" s="5">
        <v>6</v>
      </c>
      <c r="BP15" s="5">
        <v>6</v>
      </c>
      <c r="BQ15" s="5">
        <v>6</v>
      </c>
      <c r="BR15" s="5">
        <v>6</v>
      </c>
    </row>
    <row r="16" spans="2:70" ht="16.5" customHeight="1" thickBot="1">
      <c r="B16" s="88">
        <v>5</v>
      </c>
      <c r="C16" s="91" t="s">
        <v>85</v>
      </c>
      <c r="D16" s="90">
        <f>IFERROR(VLOOKUP(C16,'refresh size'!C:E,2,FALSE),0)</f>
        <v>0</v>
      </c>
      <c r="E16" s="88">
        <f>IFERROR(VLOOKUP(C16,'refresh size'!C:E,3,FALSE),0)</f>
        <v>2</v>
      </c>
      <c r="F16" s="123" t="str">
        <f>IF(LEN(C16)&gt;0,IF(D16&gt;0,MAX(F$10:F15)+D16,"-"),"-")</f>
        <v>-</v>
      </c>
      <c r="G16" s="123">
        <f>IF(LEN(C16)&gt;0,IF(E16&gt;0,MAX(G$10:G15)+E16,0),0)</f>
        <v>22</v>
      </c>
      <c r="H16" s="8">
        <f t="shared" si="6"/>
        <v>40</v>
      </c>
      <c r="I16" s="8">
        <f t="shared" si="7"/>
        <v>40</v>
      </c>
      <c r="J16" s="8">
        <f t="shared" si="8"/>
        <v>320</v>
      </c>
      <c r="K16" s="9">
        <f t="shared" si="9"/>
        <v>0</v>
      </c>
      <c r="L16" s="9">
        <f t="shared" si="9"/>
        <v>20</v>
      </c>
      <c r="M16" s="10" t="str">
        <f t="shared" si="10"/>
        <v>MW</v>
      </c>
      <c r="N16" s="11" t="str">
        <f t="shared" si="11"/>
        <v>-</v>
      </c>
      <c r="O16" s="10" t="str">
        <f t="shared" si="10"/>
        <v>MW</v>
      </c>
      <c r="P16" s="23">
        <f t="shared" si="12"/>
        <v>110</v>
      </c>
      <c r="Q16" s="24">
        <f t="shared" si="13"/>
        <v>0</v>
      </c>
      <c r="R16" s="28">
        <f t="shared" si="3"/>
        <v>0</v>
      </c>
      <c r="S16" s="24" t="str">
        <f t="shared" si="4"/>
        <v>H4020A</v>
      </c>
      <c r="T16" s="29">
        <f t="shared" si="0"/>
        <v>1</v>
      </c>
      <c r="U16" s="24">
        <f t="shared" si="1"/>
        <v>0</v>
      </c>
      <c r="V16" s="28">
        <f t="shared" si="5"/>
        <v>0</v>
      </c>
      <c r="W16" s="7" t="str">
        <f t="shared" si="2"/>
        <v>40522</v>
      </c>
      <c r="X16" s="29">
        <f t="shared" si="14"/>
        <v>1</v>
      </c>
      <c r="Y16" s="143"/>
      <c r="Z1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map'!$F$2063:$J$2075,))))))))))))))))))))))))))))))))),BD16,FALSE),"-")</f>
        <v>Input</v>
      </c>
      <c r="AA1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map'!$F$2063:$H$2075,0))))))))))))))))))))))))))))))))),BE16,FALSE),"-")</f>
        <v>XBF-TC04B_WDT_ERR</v>
      </c>
      <c r="AB1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map'!$F$2063:$J$2075,))))))))))))))))))))))))))))))))),BF16,FALSE),"-")</f>
        <v>BIT</v>
      </c>
      <c r="AC1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map'!$F$2063:$J$2075,))))))))))))))))))))))))))))))))),BG16,FALSE),"-")</f>
        <v>0.E</v>
      </c>
      <c r="AD1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map'!$F$2063:$J$2075,))))))))))))))))))))))))))))))))),BH16,FALSE),"-")</f>
        <v>Temperature  input module: H/W error Flag</v>
      </c>
      <c r="BB16" s="5">
        <v>7</v>
      </c>
      <c r="BC16" s="5">
        <v>7</v>
      </c>
      <c r="BD16" s="5">
        <v>7</v>
      </c>
      <c r="BE16" s="5">
        <v>7</v>
      </c>
      <c r="BF16" s="5">
        <v>7</v>
      </c>
      <c r="BG16" s="5">
        <v>7</v>
      </c>
      <c r="BH16" s="5">
        <v>7</v>
      </c>
      <c r="BI16" s="5">
        <v>7</v>
      </c>
      <c r="BJ16" s="5">
        <v>7</v>
      </c>
      <c r="BK16" s="5">
        <v>7</v>
      </c>
      <c r="BL16" s="5">
        <v>7</v>
      </c>
      <c r="BM16" s="5">
        <v>7</v>
      </c>
      <c r="BN16" s="5">
        <v>7</v>
      </c>
      <c r="BO16" s="5">
        <v>7</v>
      </c>
      <c r="BP16" s="5">
        <v>7</v>
      </c>
      <c r="BQ16" s="5">
        <v>7</v>
      </c>
      <c r="BR16" s="5">
        <v>7</v>
      </c>
    </row>
    <row r="17" spans="2:70" ht="16.5" customHeight="1">
      <c r="B17" s="88">
        <v>6</v>
      </c>
      <c r="C17" s="91" t="s">
        <v>108</v>
      </c>
      <c r="D17" s="90">
        <f>IFERROR(VLOOKUP(C17,'refresh size'!C:E,2,FALSE),0)</f>
        <v>40</v>
      </c>
      <c r="E17" s="88">
        <f>IFERROR(VLOOKUP(C17,'refresh size'!C:E,3,FALSE),0)</f>
        <v>2</v>
      </c>
      <c r="F17" s="123">
        <f>IF(LEN(C17)&gt;0,IF(D17&gt;0,MAX(F$10:F16)+D17,"-"),"-")</f>
        <v>104</v>
      </c>
      <c r="G17" s="123">
        <f>IF(LEN(C17)&gt;0,IF(E17&gt;0,MAX(G$10:G16)+E17,0),0)</f>
        <v>24</v>
      </c>
      <c r="H17" s="8">
        <f t="shared" si="6"/>
        <v>48</v>
      </c>
      <c r="I17" s="8">
        <f t="shared" si="7"/>
        <v>48</v>
      </c>
      <c r="J17" s="8">
        <f t="shared" si="8"/>
        <v>384</v>
      </c>
      <c r="K17" s="9">
        <f t="shared" si="9"/>
        <v>64</v>
      </c>
      <c r="L17" s="9">
        <f t="shared" si="9"/>
        <v>22</v>
      </c>
      <c r="M17" s="10" t="str">
        <f t="shared" si="10"/>
        <v>MW</v>
      </c>
      <c r="N17" s="11">
        <f t="shared" si="11"/>
        <v>32</v>
      </c>
      <c r="O17" s="10" t="str">
        <f t="shared" si="10"/>
        <v>MW</v>
      </c>
      <c r="P17" s="23">
        <f t="shared" si="12"/>
        <v>111</v>
      </c>
      <c r="Q17" s="24" t="str">
        <f t="shared" si="13"/>
        <v>H30220</v>
      </c>
      <c r="R17" s="28">
        <f t="shared" si="3"/>
        <v>20</v>
      </c>
      <c r="S17" s="24" t="str">
        <f t="shared" si="4"/>
        <v>H4020B</v>
      </c>
      <c r="T17" s="29">
        <f>E17/2</f>
        <v>1</v>
      </c>
      <c r="U17" s="24" t="str">
        <f t="shared" si="1"/>
        <v>30544</v>
      </c>
      <c r="V17" s="28">
        <f t="shared" si="5"/>
        <v>20</v>
      </c>
      <c r="W17" s="7" t="str">
        <f t="shared" si="2"/>
        <v>40523</v>
      </c>
      <c r="X17" s="29">
        <f t="shared" si="14"/>
        <v>1</v>
      </c>
      <c r="Y17" s="112" t="s">
        <v>361</v>
      </c>
      <c r="Z1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map'!$F$2063:$J$2075,))))))))))))))))))))))))))))))))),BD17,FALSE),"-")</f>
        <v>Input</v>
      </c>
      <c r="AA1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map'!$F$2063:$H$2075,0))))))))))))))))))))))))))))))))),BE17,FALSE),"-")</f>
        <v>XBF-TC04B_RDY</v>
      </c>
      <c r="AB1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map'!$F$2063:$J$2075,))))))))))))))))))))))))))))))))),BF17,FALSE),"-")</f>
        <v>BIT</v>
      </c>
      <c r="AC1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map'!$F$2063:$J$2075,))))))))))))))))))))))))))))))))),BG17,FALSE),"-")</f>
        <v>0.F</v>
      </c>
      <c r="AD1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map'!$F$2063:$J$2075,))))))))))))))))))))))))))))))))),BH17,FALSE),"-")</f>
        <v>Temperature  input module : Module ready</v>
      </c>
      <c r="BB17" s="5">
        <v>8</v>
      </c>
      <c r="BC17" s="5">
        <v>8</v>
      </c>
      <c r="BD17" s="5">
        <v>8</v>
      </c>
      <c r="BE17" s="5">
        <v>8</v>
      </c>
      <c r="BF17" s="5">
        <v>8</v>
      </c>
      <c r="BG17" s="5">
        <v>8</v>
      </c>
      <c r="BH17" s="5">
        <v>8</v>
      </c>
      <c r="BI17" s="5">
        <v>8</v>
      </c>
      <c r="BJ17" s="5">
        <v>8</v>
      </c>
      <c r="BK17" s="5">
        <v>8</v>
      </c>
      <c r="BL17" s="5">
        <v>8</v>
      </c>
      <c r="BM17" s="5">
        <v>8</v>
      </c>
      <c r="BN17" s="5">
        <v>8</v>
      </c>
      <c r="BO17" s="5">
        <v>8</v>
      </c>
      <c r="BP17" s="5">
        <v>8</v>
      </c>
      <c r="BQ17" s="5">
        <v>8</v>
      </c>
      <c r="BR17" s="5">
        <v>8</v>
      </c>
    </row>
    <row r="18" spans="2:70" ht="16.5" customHeight="1" thickBot="1">
      <c r="B18" s="88">
        <v>7</v>
      </c>
      <c r="C18" s="91" t="s">
        <v>109</v>
      </c>
      <c r="D18" s="90">
        <f>IFERROR(VLOOKUP(C18,'refresh size'!C:E,2,FALSE),0)</f>
        <v>58</v>
      </c>
      <c r="E18" s="88">
        <f>IFERROR(VLOOKUP(C18,'refresh size'!C:E,3,FALSE),0)</f>
        <v>6</v>
      </c>
      <c r="F18" s="123">
        <f>IF(LEN(C18)&gt;0,IF(D18&gt;0,MAX(F$10:F17)+D18,"-"),"-")</f>
        <v>162</v>
      </c>
      <c r="G18" s="123">
        <f>IF(LEN(C18)&gt;0,IF(E18&gt;0,MAX(G$10:G17)+E18,"-"),"-")</f>
        <v>30</v>
      </c>
      <c r="H18" s="8">
        <f t="shared" si="6"/>
        <v>56</v>
      </c>
      <c r="I18" s="8">
        <f t="shared" si="7"/>
        <v>56</v>
      </c>
      <c r="J18" s="8">
        <f t="shared" si="8"/>
        <v>448</v>
      </c>
      <c r="K18" s="9">
        <f t="shared" si="9"/>
        <v>104</v>
      </c>
      <c r="L18" s="9">
        <f t="shared" si="9"/>
        <v>24</v>
      </c>
      <c r="M18" s="10" t="str">
        <f t="shared" si="10"/>
        <v>MW</v>
      </c>
      <c r="N18" s="11">
        <f t="shared" si="11"/>
        <v>52</v>
      </c>
      <c r="O18" s="10" t="str">
        <f t="shared" si="10"/>
        <v>MW</v>
      </c>
      <c r="P18" s="23">
        <f t="shared" si="12"/>
        <v>112</v>
      </c>
      <c r="Q18" s="24" t="str">
        <f t="shared" si="13"/>
        <v>H30234</v>
      </c>
      <c r="R18" s="28">
        <f t="shared" si="3"/>
        <v>29</v>
      </c>
      <c r="S18" s="24" t="str">
        <f t="shared" si="4"/>
        <v>H4020C</v>
      </c>
      <c r="T18" s="29">
        <f>E18/2</f>
        <v>3</v>
      </c>
      <c r="U18" s="24" t="str">
        <f t="shared" si="1"/>
        <v>30564</v>
      </c>
      <c r="V18" s="28">
        <f t="shared" si="5"/>
        <v>29</v>
      </c>
      <c r="W18" s="7" t="str">
        <f t="shared" si="2"/>
        <v>40524</v>
      </c>
      <c r="X18" s="29">
        <f t="shared" si="14"/>
        <v>3</v>
      </c>
      <c r="Y18" s="113">
        <f>IFERROR(IFERROR(VLOOKUP(Y14,'All data map'!$C$2:$O$2062,11,FALSE),VLOOKUP(Y14,'All data map'!$C$2063:$O$2075,11,FALSE)),"-")</f>
        <v>38</v>
      </c>
      <c r="Z1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map'!$F$2063:$J$2075,))))))))))))))))))))))))))))))))),BD18,FALSE),"-")</f>
        <v>Input</v>
      </c>
      <c r="AA1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map'!$F$2063:$H$2075,0))))))))))))))))))))))))))))))))),BE18,FALSE),"-")</f>
        <v>XBF-TC04B_CH0_ACT</v>
      </c>
      <c r="AB1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map'!$F$2063:$J$2075,))))))))))))))))))))))))))))))))),BF18,FALSE),"-")</f>
        <v>BIT</v>
      </c>
      <c r="AC18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map'!$F$2063:$J$2075,))))))))))))))))))))))))))))))))),BG18,FALSE),"-")</f>
        <v>1</v>
      </c>
      <c r="AD1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map'!$F$2063:$J$2075,))))))))))))))))))))))))))))))))),BH18,FALSE),"-")</f>
        <v>Temperature  input module : Channel 0 RUN</v>
      </c>
      <c r="BB18" s="5">
        <v>9</v>
      </c>
      <c r="BC18" s="5">
        <v>9</v>
      </c>
      <c r="BD18" s="5">
        <v>9</v>
      </c>
      <c r="BE18" s="5">
        <v>9</v>
      </c>
      <c r="BF18" s="5">
        <v>9</v>
      </c>
      <c r="BG18" s="5">
        <v>9</v>
      </c>
      <c r="BH18" s="5">
        <v>9</v>
      </c>
      <c r="BI18" s="5">
        <v>9</v>
      </c>
      <c r="BJ18" s="5">
        <v>9</v>
      </c>
      <c r="BK18" s="5">
        <v>9</v>
      </c>
      <c r="BL18" s="5">
        <v>9</v>
      </c>
      <c r="BM18" s="5">
        <v>9</v>
      </c>
      <c r="BN18" s="5">
        <v>9</v>
      </c>
      <c r="BO18" s="5">
        <v>9</v>
      </c>
      <c r="BP18" s="5">
        <v>9</v>
      </c>
      <c r="BQ18" s="5">
        <v>9</v>
      </c>
      <c r="BR18" s="5">
        <v>9</v>
      </c>
    </row>
    <row r="19" spans="2:70" ht="16.5" customHeight="1">
      <c r="B19" s="88">
        <v>8</v>
      </c>
      <c r="C19" s="91"/>
      <c r="D19" s="90">
        <f>IFERROR(VLOOKUP(C19,'refresh size'!C:E,2,FALSE),0)</f>
        <v>0</v>
      </c>
      <c r="E19" s="88">
        <f>IFERROR(VLOOKUP(C19,'refresh size'!C:E,3,FALSE),0)</f>
        <v>0</v>
      </c>
      <c r="F19" s="123" t="str">
        <f>IF(LEN(C19)&gt;0,IF(D19&gt;0,MAX(F$10:F18)+D19,"-"),"-")</f>
        <v>-</v>
      </c>
      <c r="G19" s="123" t="str">
        <f>IF(LEN(C19)&gt;0,IF(E19&gt;0,MAX(G$10:G18)+E19,"-"),"-")</f>
        <v>-</v>
      </c>
      <c r="H19" s="8">
        <f t="shared" si="6"/>
        <v>64</v>
      </c>
      <c r="I19" s="8">
        <f t="shared" si="7"/>
        <v>64</v>
      </c>
      <c r="J19" s="8">
        <f t="shared" si="8"/>
        <v>512</v>
      </c>
      <c r="K19" s="9">
        <f t="shared" si="9"/>
        <v>0</v>
      </c>
      <c r="L19" s="9">
        <f t="shared" si="9"/>
        <v>0</v>
      </c>
      <c r="M19" s="10" t="str">
        <f t="shared" si="10"/>
        <v>MW</v>
      </c>
      <c r="N19" s="11" t="str">
        <f t="shared" si="11"/>
        <v>-</v>
      </c>
      <c r="O19" s="10" t="str">
        <f t="shared" si="10"/>
        <v>MW</v>
      </c>
      <c r="P19" s="23" t="str">
        <f t="shared" si="12"/>
        <v>-</v>
      </c>
      <c r="Q19" s="24">
        <f t="shared" si="13"/>
        <v>0</v>
      </c>
      <c r="R19" s="28">
        <f t="shared" si="3"/>
        <v>0</v>
      </c>
      <c r="S19" s="24">
        <f t="shared" si="4"/>
        <v>0</v>
      </c>
      <c r="T19" s="29">
        <f t="shared" ref="T19:T22" si="15">E19/2</f>
        <v>0</v>
      </c>
      <c r="U19" s="25">
        <f t="shared" si="1"/>
        <v>0</v>
      </c>
      <c r="V19" s="28">
        <f t="shared" si="5"/>
        <v>0</v>
      </c>
      <c r="W19" s="7">
        <f t="shared" si="2"/>
        <v>0</v>
      </c>
      <c r="X19" s="29">
        <f t="shared" si="14"/>
        <v>0</v>
      </c>
      <c r="Y19" s="112" t="s">
        <v>362</v>
      </c>
      <c r="Z1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map'!$F$2063:$J$2075,))))))))))))))))))))))))))))))))),BD19,FALSE),"-")</f>
        <v>Input</v>
      </c>
      <c r="AA1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map'!$F$2063:$H$2075,0))))))))))))))))))))))))))))))))),BE19,FALSE),"-")</f>
        <v>XBF-TC04B_CH1_ACT</v>
      </c>
      <c r="AB1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map'!$F$2063:$J$2075,))))))))))))))))))))))))))))))))),BF19,FALSE),"-")</f>
        <v>BIT</v>
      </c>
      <c r="AC19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map'!$F$2063:$J$2075,))))))))))))))))))))))))))))))))),BG19,FALSE),"-")</f>
        <v>1.1000000000000001</v>
      </c>
      <c r="AD1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map'!$F$2063:$J$2075,))))))))))))))))))))))))))))))))),BH19,FALSE),"-")</f>
        <v>Temperature  input module : Channel 1 RUN</v>
      </c>
      <c r="BB19" s="5">
        <v>10</v>
      </c>
      <c r="BC19" s="5">
        <v>10</v>
      </c>
      <c r="BD19" s="5">
        <v>10</v>
      </c>
      <c r="BE19" s="5">
        <v>10</v>
      </c>
      <c r="BF19" s="5">
        <v>10</v>
      </c>
      <c r="BG19" s="5">
        <v>10</v>
      </c>
      <c r="BH19" s="5">
        <v>10</v>
      </c>
      <c r="BI19" s="5">
        <v>10</v>
      </c>
      <c r="BJ19" s="5">
        <v>10</v>
      </c>
      <c r="BK19" s="5">
        <v>10</v>
      </c>
      <c r="BL19" s="5">
        <v>10</v>
      </c>
      <c r="BM19" s="5">
        <v>10</v>
      </c>
      <c r="BN19" s="5">
        <v>10</v>
      </c>
      <c r="BO19" s="5">
        <v>10</v>
      </c>
      <c r="BP19" s="5">
        <v>10</v>
      </c>
      <c r="BQ19" s="5">
        <v>10</v>
      </c>
      <c r="BR19" s="5">
        <v>10</v>
      </c>
    </row>
    <row r="20" spans="2:70" ht="16.5" customHeight="1" thickBot="1">
      <c r="B20" s="88">
        <v>9</v>
      </c>
      <c r="C20" s="91"/>
      <c r="D20" s="90">
        <f>IFERROR(VLOOKUP(C20,'refresh size'!C:E,2,FALSE),0)</f>
        <v>0</v>
      </c>
      <c r="E20" s="88">
        <f>IFERROR(VLOOKUP(C20,'refresh size'!C:E,3,FALSE),0)</f>
        <v>0</v>
      </c>
      <c r="F20" s="123" t="str">
        <f>IF(LEN(C20)&gt;0,IF(D20&gt;0,MAX(F$10:F19)+D20,"-"),"-")</f>
        <v>-</v>
      </c>
      <c r="G20" s="123" t="str">
        <f>IF(LEN(C20)&gt;0,IF(E20&gt;0,MAX(G$10:G19)+E20,"-"),"-")</f>
        <v>-</v>
      </c>
      <c r="H20" s="8">
        <f t="shared" si="6"/>
        <v>72</v>
      </c>
      <c r="I20" s="8">
        <f t="shared" si="7"/>
        <v>72</v>
      </c>
      <c r="J20" s="8">
        <f t="shared" si="8"/>
        <v>576</v>
      </c>
      <c r="K20" s="9">
        <f t="shared" si="9"/>
        <v>0</v>
      </c>
      <c r="L20" s="9">
        <f t="shared" si="9"/>
        <v>0</v>
      </c>
      <c r="M20" s="10" t="str">
        <f t="shared" si="10"/>
        <v>MW</v>
      </c>
      <c r="N20" s="11" t="str">
        <f t="shared" si="11"/>
        <v>-</v>
      </c>
      <c r="O20" s="10" t="str">
        <f t="shared" si="10"/>
        <v>MW</v>
      </c>
      <c r="P20" s="23" t="str">
        <f t="shared" si="12"/>
        <v>-</v>
      </c>
      <c r="Q20" s="24">
        <f t="shared" si="13"/>
        <v>0</v>
      </c>
      <c r="R20" s="28">
        <f t="shared" si="3"/>
        <v>0</v>
      </c>
      <c r="S20" s="24">
        <f t="shared" si="4"/>
        <v>0</v>
      </c>
      <c r="T20" s="29">
        <f t="shared" si="15"/>
        <v>0</v>
      </c>
      <c r="U20" s="25">
        <f t="shared" si="1"/>
        <v>0</v>
      </c>
      <c r="V20" s="28">
        <f t="shared" si="5"/>
        <v>0</v>
      </c>
      <c r="W20" s="7">
        <f t="shared" si="2"/>
        <v>0</v>
      </c>
      <c r="X20" s="29">
        <f t="shared" si="14"/>
        <v>0</v>
      </c>
      <c r="Y20" s="113">
        <f>IFERROR(IFERROR(VLOOKUP(Y14, 'All data map'!$C$2:$O$2062,12,FALSE), VLOOKUP(Y14, 'All data map'!$C$2063:$O$2075,12, FALSE)),"-")</f>
        <v>8</v>
      </c>
      <c r="Z2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map'!$F$2063:$J$2075,))))))))))))))))))))))))))))))))),BD20,FALSE),"-")</f>
        <v>Input</v>
      </c>
      <c r="AA2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map'!$F$2063:$H$2075,0))))))))))))))))))))))))))))))))),BE20,FALSE),"-")</f>
        <v>XBF-TC04B_CH2_ACT</v>
      </c>
      <c r="AB2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map'!$F$2063:$J$2075,))))))))))))))))))))))))))))))))),BF20,FALSE),"-")</f>
        <v>BIT</v>
      </c>
      <c r="AC20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map'!$F$2063:$J$2075,))))))))))))))))))))))))))))))))),BG20,FALSE),"-")</f>
        <v>1.2</v>
      </c>
      <c r="AD2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map'!$F$2063:$J$2075,))))))))))))))))))))))))))))))))),BH20,FALSE),"-")</f>
        <v>Temperature  input module : Channel 2 RUN</v>
      </c>
      <c r="BB20" s="5">
        <v>11</v>
      </c>
      <c r="BC20" s="5">
        <v>11</v>
      </c>
      <c r="BD20" s="5">
        <v>11</v>
      </c>
      <c r="BE20" s="5">
        <v>11</v>
      </c>
      <c r="BF20" s="5">
        <v>11</v>
      </c>
      <c r="BG20" s="5">
        <v>11</v>
      </c>
      <c r="BH20" s="5">
        <v>11</v>
      </c>
      <c r="BI20" s="5">
        <v>11</v>
      </c>
      <c r="BJ20" s="5">
        <v>11</v>
      </c>
      <c r="BK20" s="5">
        <v>11</v>
      </c>
      <c r="BL20" s="5">
        <v>11</v>
      </c>
      <c r="BM20" s="5">
        <v>11</v>
      </c>
      <c r="BN20" s="5">
        <v>11</v>
      </c>
      <c r="BO20" s="5">
        <v>11</v>
      </c>
      <c r="BP20" s="5">
        <v>11</v>
      </c>
      <c r="BQ20" s="5">
        <v>11</v>
      </c>
      <c r="BR20" s="5">
        <v>11</v>
      </c>
    </row>
    <row r="21" spans="2:70" ht="16.5" customHeight="1">
      <c r="B21" s="88">
        <v>10</v>
      </c>
      <c r="C21" s="91"/>
      <c r="D21" s="90">
        <f>IFERROR(VLOOKUP(C21,'refresh size'!C:E,2,FALSE),0)</f>
        <v>0</v>
      </c>
      <c r="E21" s="88">
        <f>IFERROR(VLOOKUP(C21,'refresh size'!C:E,3,FALSE),0)</f>
        <v>0</v>
      </c>
      <c r="F21" s="123" t="str">
        <f>IF(LEN(C21)&gt;0,IF(D21&gt;0,MAX(F$10:F20)+D21,"-"),"-")</f>
        <v>-</v>
      </c>
      <c r="G21" s="123" t="str">
        <f>IF(LEN(C21)&gt;0,IF(E21&gt;0,MAX(G$10:G20)+E21,"-"),"-")</f>
        <v>-</v>
      </c>
      <c r="H21" s="8">
        <f t="shared" si="6"/>
        <v>80</v>
      </c>
      <c r="I21" s="8">
        <f t="shared" si="7"/>
        <v>80</v>
      </c>
      <c r="J21" s="8">
        <f t="shared" si="8"/>
        <v>640</v>
      </c>
      <c r="K21" s="9">
        <f t="shared" si="9"/>
        <v>0</v>
      </c>
      <c r="L21" s="9">
        <f t="shared" si="9"/>
        <v>0</v>
      </c>
      <c r="M21" s="10" t="str">
        <f t="shared" si="10"/>
        <v>MW</v>
      </c>
      <c r="N21" s="11" t="str">
        <f t="shared" si="11"/>
        <v>-</v>
      </c>
      <c r="O21" s="10" t="str">
        <f t="shared" si="10"/>
        <v>MW</v>
      </c>
      <c r="P21" s="23" t="str">
        <f t="shared" si="12"/>
        <v>-</v>
      </c>
      <c r="Q21" s="24">
        <f t="shared" si="13"/>
        <v>0</v>
      </c>
      <c r="R21" s="28">
        <f t="shared" si="3"/>
        <v>0</v>
      </c>
      <c r="S21" s="24">
        <f t="shared" si="4"/>
        <v>0</v>
      </c>
      <c r="T21" s="29">
        <f t="shared" si="15"/>
        <v>0</v>
      </c>
      <c r="U21" s="25">
        <f t="shared" si="1"/>
        <v>0</v>
      </c>
      <c r="V21" s="28">
        <f t="shared" si="5"/>
        <v>0</v>
      </c>
      <c r="W21" s="7">
        <f t="shared" si="2"/>
        <v>0</v>
      </c>
      <c r="X21" s="29">
        <f t="shared" si="14"/>
        <v>0</v>
      </c>
      <c r="Y21" s="112" t="s">
        <v>3210</v>
      </c>
      <c r="Z2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map'!$F$2063:$J$2075,))))))))))))))))))))))))))))))))),BD21,FALSE),"-")</f>
        <v>Input</v>
      </c>
      <c r="AA2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map'!$F$2063:$H$2075,0))))))))))))))))))))))))))))))))),BE21,FALSE),"-")</f>
        <v>XBF-TC04B_CH3_ACT</v>
      </c>
      <c r="AB2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map'!$F$2063:$J$2075,))))))))))))))))))))))))))))))))),BF21,FALSE),"-")</f>
        <v>BIT</v>
      </c>
      <c r="AC21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map'!$F$2063:$J$2075,))))))))))))))))))))))))))))))))),BG21,FALSE),"-")</f>
        <v>1.3</v>
      </c>
      <c r="AD2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map'!$F$2063:$J$2075,))))))))))))))))))))))))))))))))),BH21,FALSE),"-")</f>
        <v>Temperature  input module : Channel 3 RUN</v>
      </c>
      <c r="BB21" s="5">
        <v>12</v>
      </c>
      <c r="BC21" s="5">
        <v>12</v>
      </c>
      <c r="BD21" s="5">
        <v>12</v>
      </c>
      <c r="BE21" s="5">
        <v>12</v>
      </c>
      <c r="BF21" s="5">
        <v>12</v>
      </c>
      <c r="BG21" s="5">
        <v>12</v>
      </c>
      <c r="BH21" s="5">
        <v>12</v>
      </c>
      <c r="BI21" s="5">
        <v>12</v>
      </c>
      <c r="BJ21" s="5">
        <v>12</v>
      </c>
      <c r="BK21" s="5">
        <v>12</v>
      </c>
      <c r="BL21" s="5">
        <v>12</v>
      </c>
      <c r="BM21" s="5">
        <v>12</v>
      </c>
      <c r="BN21" s="5">
        <v>12</v>
      </c>
      <c r="BO21" s="5">
        <v>12</v>
      </c>
      <c r="BP21" s="5">
        <v>12</v>
      </c>
      <c r="BQ21" s="5">
        <v>12</v>
      </c>
      <c r="BR21" s="5">
        <v>12</v>
      </c>
    </row>
    <row r="22" spans="2:70" ht="17.25" customHeight="1" thickBot="1">
      <c r="B22" s="92">
        <v>11</v>
      </c>
      <c r="C22" s="93"/>
      <c r="D22" s="94">
        <f>IFERROR(VLOOKUP(C22,'refresh size'!C:E,2,FALSE),0)</f>
        <v>0</v>
      </c>
      <c r="E22" s="92">
        <f>IFERROR(VLOOKUP(C22,'refresh size'!C:E,3,FALSE),0)</f>
        <v>0</v>
      </c>
      <c r="F22" s="124" t="str">
        <f>IF(LEN(C22)&gt;0,IF(D22&gt;0,MAX(F$10:F21)+D22,"-"),"-")</f>
        <v>-</v>
      </c>
      <c r="G22" s="124" t="str">
        <f>IF(LEN(C22)&gt;0,IF(E22&gt;0,MAX(G$10:G21)+E22,"-"),"-")</f>
        <v>-</v>
      </c>
      <c r="H22" s="39">
        <f t="shared" si="6"/>
        <v>88</v>
      </c>
      <c r="I22" s="39">
        <f t="shared" si="7"/>
        <v>88</v>
      </c>
      <c r="J22" s="39">
        <f t="shared" si="8"/>
        <v>704</v>
      </c>
      <c r="K22" s="40">
        <f t="shared" si="9"/>
        <v>0</v>
      </c>
      <c r="L22" s="40">
        <f t="shared" si="9"/>
        <v>0</v>
      </c>
      <c r="M22" s="41" t="str">
        <f t="shared" si="10"/>
        <v>MW</v>
      </c>
      <c r="N22" s="42" t="str">
        <f t="shared" si="11"/>
        <v>-</v>
      </c>
      <c r="O22" s="41" t="str">
        <f t="shared" si="10"/>
        <v>MW</v>
      </c>
      <c r="P22" s="54" t="str">
        <f t="shared" si="12"/>
        <v>-</v>
      </c>
      <c r="Q22" s="37">
        <f t="shared" si="13"/>
        <v>0</v>
      </c>
      <c r="R22" s="48">
        <f t="shared" si="3"/>
        <v>0</v>
      </c>
      <c r="S22" s="37">
        <f t="shared" si="4"/>
        <v>0</v>
      </c>
      <c r="T22" s="49">
        <f t="shared" si="15"/>
        <v>0</v>
      </c>
      <c r="U22" s="50">
        <f t="shared" si="1"/>
        <v>0</v>
      </c>
      <c r="V22" s="48">
        <f t="shared" si="5"/>
        <v>0</v>
      </c>
      <c r="W22" s="38">
        <f t="shared" si="2"/>
        <v>0</v>
      </c>
      <c r="X22" s="49">
        <f t="shared" si="14"/>
        <v>0</v>
      </c>
      <c r="Y22" s="113">
        <f>IFERROR(IFERROR(VLOOKUP(Y14, 'All data map'!$C$2:$O$2062, 10, FALSE), VLOOKUP(Y14, 'All data map'!$C$2063:$O$2075, 10, FALSE)),"-")</f>
        <v>46</v>
      </c>
      <c r="Z2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map'!$F$2063:$J$2075,))))))))))))))))))))))))))))))))),BD22,FALSE),"-")</f>
        <v>Input</v>
      </c>
      <c r="AA2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map'!$F$2063:$H$2075,0))))))))))))))))))))))))))))))))),BE22,FALSE),"-")</f>
        <v>XBF-TC04B_CH0_BOUT</v>
      </c>
      <c r="AB2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map'!$F$2063:$J$2075,))))))))))))))))))))))))))))))))),BF22,FALSE),"-")</f>
        <v>BIT</v>
      </c>
      <c r="AC22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map'!$F$2063:$J$2075,))))))))))))))))))))))))))))))))),BG22,FALSE),"-")</f>
        <v>1.4</v>
      </c>
      <c r="AD2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map'!$F$2063:$J$2075,))))))))))))))))))))))))))))))))),BH22,FALSE),"-")</f>
        <v>Temperature  input module : Channel 0 disconnection</v>
      </c>
      <c r="BB22" s="5">
        <v>13</v>
      </c>
      <c r="BC22" s="5">
        <v>13</v>
      </c>
      <c r="BD22" s="5">
        <v>13</v>
      </c>
      <c r="BE22" s="5">
        <v>13</v>
      </c>
      <c r="BF22" s="5">
        <v>13</v>
      </c>
      <c r="BG22" s="5">
        <v>13</v>
      </c>
      <c r="BH22" s="5">
        <v>13</v>
      </c>
      <c r="BI22" s="5">
        <v>13</v>
      </c>
      <c r="BJ22" s="5">
        <v>13</v>
      </c>
      <c r="BK22" s="5">
        <v>13</v>
      </c>
      <c r="BL22" s="5">
        <v>13</v>
      </c>
      <c r="BM22" s="5">
        <v>13</v>
      </c>
      <c r="BN22" s="5">
        <v>13</v>
      </c>
      <c r="BO22" s="5">
        <v>13</v>
      </c>
      <c r="BP22" s="5">
        <v>13</v>
      </c>
      <c r="BQ22" s="5">
        <v>13</v>
      </c>
      <c r="BR22" s="5">
        <v>13</v>
      </c>
    </row>
    <row r="23" spans="2:70">
      <c r="B23" s="144" t="s">
        <v>17</v>
      </c>
      <c r="C23" s="145"/>
      <c r="D23" s="95">
        <f>SUM(D10:D22)</f>
        <v>162</v>
      </c>
      <c r="E23" s="96">
        <f>SUM(E10:E22)</f>
        <v>30</v>
      </c>
      <c r="Z2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map'!$F$2063:$J$2075,))))))))))))))))))))))))))))))))),BD23,FALSE),"-")</f>
        <v>Input</v>
      </c>
      <c r="AA2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map'!$F$2063:$H$2075,0))))))))))))))))))))))))))))))))),BE23,FALSE),"-")</f>
        <v>XBF-TC04B_CH1_BOUT</v>
      </c>
      <c r="AB2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map'!$F$2063:$J$2075,))))))))))))))))))))))))))))))))),BF23,FALSE),"-")</f>
        <v>BIT</v>
      </c>
      <c r="AC23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map'!$F$2063:$J$2075,))))))))))))))))))))))))))))))))),BG23,FALSE),"-")</f>
        <v>1.5</v>
      </c>
      <c r="AD2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map'!$F$2063:$J$2075,))))))))))))))))))))))))))))))))),BH23,FALSE),"-")</f>
        <v>Temperature  input module : Channel 1 disconnection</v>
      </c>
      <c r="BB23" s="5">
        <v>14</v>
      </c>
      <c r="BC23" s="5">
        <v>14</v>
      </c>
      <c r="BD23" s="5">
        <v>14</v>
      </c>
      <c r="BE23" s="5">
        <v>14</v>
      </c>
      <c r="BF23" s="5">
        <v>14</v>
      </c>
      <c r="BG23" s="5">
        <v>14</v>
      </c>
      <c r="BH23" s="5">
        <v>14</v>
      </c>
      <c r="BI23" s="5">
        <v>14</v>
      </c>
      <c r="BJ23" s="5">
        <v>14</v>
      </c>
      <c r="BK23" s="5">
        <v>14</v>
      </c>
      <c r="BL23" s="5">
        <v>14</v>
      </c>
      <c r="BM23" s="5">
        <v>14</v>
      </c>
      <c r="BN23" s="5">
        <v>14</v>
      </c>
      <c r="BO23" s="5">
        <v>14</v>
      </c>
      <c r="BP23" s="5">
        <v>14</v>
      </c>
      <c r="BQ23" s="5">
        <v>14</v>
      </c>
      <c r="BR23" s="5">
        <v>14</v>
      </c>
    </row>
    <row r="24" spans="2:70" ht="15.75" customHeight="1" thickBot="1">
      <c r="B24" s="146" t="s">
        <v>18</v>
      </c>
      <c r="C24" s="147"/>
      <c r="D24" s="92">
        <f>D23/2</f>
        <v>81</v>
      </c>
      <c r="E24" s="92">
        <f>E23/2</f>
        <v>15</v>
      </c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Z2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map'!$F$2063:$J$2075,))))))))))))))))))))))))))))))))),BD24,FALSE),"-")</f>
        <v>Input</v>
      </c>
      <c r="AA2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map'!$F$2063:$H$2075,0))))))))))))))))))))))))))))))))),BE24,FALSE),"-")</f>
        <v>XBF-TC04B_CH2_BOUT</v>
      </c>
      <c r="AB2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map'!$F$2063:$J$2075,))))))))))))))))))))))))))))))))),BF24,FALSE),"-")</f>
        <v>BIT</v>
      </c>
      <c r="AC24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map'!$F$2063:$J$2075,))))))))))))))))))))))))))))))))),BG24,FALSE),"-")</f>
        <v>1.6</v>
      </c>
      <c r="AD2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map'!$F$2063:$J$2075,))))))))))))))))))))))))))))))))),BH24,FALSE),"-")</f>
        <v>Temperature  input module : Channel 2 disconnection</v>
      </c>
      <c r="BB24" s="5">
        <v>15</v>
      </c>
      <c r="BC24" s="5">
        <v>15</v>
      </c>
      <c r="BD24" s="5">
        <v>15</v>
      </c>
      <c r="BE24" s="5">
        <v>15</v>
      </c>
      <c r="BF24" s="5">
        <v>15</v>
      </c>
      <c r="BG24" s="5">
        <v>15</v>
      </c>
      <c r="BH24" s="5">
        <v>15</v>
      </c>
      <c r="BI24" s="5">
        <v>15</v>
      </c>
      <c r="BJ24" s="5">
        <v>15</v>
      </c>
      <c r="BK24" s="5">
        <v>15</v>
      </c>
      <c r="BL24" s="5">
        <v>15</v>
      </c>
      <c r="BM24" s="5">
        <v>15</v>
      </c>
      <c r="BN24" s="5">
        <v>15</v>
      </c>
      <c r="BO24" s="5">
        <v>15</v>
      </c>
      <c r="BP24" s="5">
        <v>15</v>
      </c>
      <c r="BQ24" s="5">
        <v>15</v>
      </c>
      <c r="BR24" s="5">
        <v>15</v>
      </c>
    </row>
    <row r="25" spans="2:70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Z2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map'!$F$2063:$J$2075,))))))))))))))))))))))))))))))))),BD25,FALSE),"-")</f>
        <v>Input</v>
      </c>
      <c r="AA2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map'!$F$2063:$H$2075,0))))))))))))))))))))))))))))))))),BE25,FALSE),"-")</f>
        <v>XBF-TC04B_CH3_BOUT</v>
      </c>
      <c r="AB2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map'!$F$2063:$J$2075,))))))))))))))))))))))))))))))))),BF25,FALSE),"-")</f>
        <v>BIT</v>
      </c>
      <c r="AC25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map'!$F$2063:$J$2075,))))))))))))))))))))))))))))))))),BG25,FALSE),"-")</f>
        <v>1.7</v>
      </c>
      <c r="AD2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map'!$F$2063:$J$2075,))))))))))))))))))))))))))))))))),BH25,FALSE),"-")</f>
        <v>Temperature  input module : Channel 3 disconnection</v>
      </c>
      <c r="BB25" s="5">
        <v>16</v>
      </c>
      <c r="BC25" s="5">
        <v>16</v>
      </c>
      <c r="BD25" s="5">
        <v>16</v>
      </c>
      <c r="BE25" s="5">
        <v>16</v>
      </c>
      <c r="BF25" s="5">
        <v>16</v>
      </c>
      <c r="BG25" s="5">
        <v>16</v>
      </c>
      <c r="BH25" s="5">
        <v>16</v>
      </c>
      <c r="BI25" s="5">
        <v>16</v>
      </c>
      <c r="BJ25" s="5">
        <v>16</v>
      </c>
      <c r="BK25" s="5">
        <v>16</v>
      </c>
      <c r="BL25" s="5">
        <v>16</v>
      </c>
      <c r="BM25" s="5">
        <v>16</v>
      </c>
      <c r="BN25" s="5">
        <v>16</v>
      </c>
      <c r="BO25" s="5">
        <v>16</v>
      </c>
      <c r="BP25" s="5">
        <v>16</v>
      </c>
      <c r="BQ25" s="5">
        <v>16</v>
      </c>
      <c r="BR25" s="5">
        <v>16</v>
      </c>
    </row>
    <row r="26" spans="2:70">
      <c r="B26" s="12"/>
      <c r="Z2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map'!$F$2063:$J$2075,))))))))))))))))))))))))))))))))),BD26,FALSE),"-")</f>
        <v>Input</v>
      </c>
      <c r="AA2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map'!$F$2063:$H$2075,0))))))))))))))))))))))))))))))))),BE26,FALSE),"-")</f>
        <v>XBF-TC04B_CH0_SETERR</v>
      </c>
      <c r="AB2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map'!$F$2063:$J$2075,))))))))))))))))))))))))))))))))),BF26,FALSE),"-")</f>
        <v>BIT</v>
      </c>
      <c r="AC26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map'!$F$2063:$J$2075,))))))))))))))))))))))))))))))))),BG26,FALSE),"-")</f>
        <v>1.8</v>
      </c>
      <c r="AD2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map'!$F$2063:$J$2075,))))))))))))))))))))))))))))))))),BH26,FALSE),"-")</f>
        <v>Temperature  input module : Channel 0 error code</v>
      </c>
      <c r="BB26" s="5">
        <v>17</v>
      </c>
      <c r="BC26" s="5">
        <v>17</v>
      </c>
      <c r="BD26" s="5">
        <v>17</v>
      </c>
      <c r="BE26" s="5">
        <v>17</v>
      </c>
      <c r="BF26" s="5">
        <v>17</v>
      </c>
      <c r="BG26" s="5">
        <v>17</v>
      </c>
      <c r="BH26" s="5">
        <v>17</v>
      </c>
      <c r="BI26" s="5">
        <v>17</v>
      </c>
      <c r="BJ26" s="5">
        <v>17</v>
      </c>
      <c r="BK26" s="5">
        <v>17</v>
      </c>
      <c r="BL26" s="5">
        <v>17</v>
      </c>
      <c r="BM26" s="5">
        <v>17</v>
      </c>
      <c r="BN26" s="5">
        <v>17</v>
      </c>
      <c r="BO26" s="5">
        <v>17</v>
      </c>
      <c r="BP26" s="5">
        <v>17</v>
      </c>
      <c r="BQ26" s="5">
        <v>17</v>
      </c>
      <c r="BR26" s="5">
        <v>17</v>
      </c>
    </row>
    <row r="27" spans="2:70">
      <c r="B27" s="12"/>
      <c r="Z2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map'!$F$2063:$J$2075,))))))))))))))))))))))))))))))))),BD27,FALSE),"-")</f>
        <v>Input</v>
      </c>
      <c r="AA2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map'!$F$2063:$H$2075,0))))))))))))))))))))))))))))))))),BE27,FALSE),"-")</f>
        <v>XBF-TC04B_CH1_SETERR</v>
      </c>
      <c r="AB2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map'!$F$2063:$J$2075,))))))))))))))))))))))))))))))))),BF27,FALSE),"-")</f>
        <v>BIT</v>
      </c>
      <c r="AC27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map'!$F$2063:$J$2075,))))))))))))))))))))))))))))))))),BG27,FALSE),"-")</f>
        <v>1.9</v>
      </c>
      <c r="AD2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map'!$F$2063:$J$2075,))))))))))))))))))))))))))))))))),BH27,FALSE),"-")</f>
        <v>Temperature  input module : Channel 1 error code</v>
      </c>
      <c r="BB27" s="5">
        <v>18</v>
      </c>
      <c r="BC27" s="5">
        <v>18</v>
      </c>
      <c r="BD27" s="5">
        <v>18</v>
      </c>
      <c r="BE27" s="5">
        <v>18</v>
      </c>
      <c r="BF27" s="5">
        <v>18</v>
      </c>
      <c r="BG27" s="5">
        <v>18</v>
      </c>
      <c r="BH27" s="5">
        <v>18</v>
      </c>
      <c r="BI27" s="5">
        <v>18</v>
      </c>
      <c r="BJ27" s="5">
        <v>18</v>
      </c>
      <c r="BK27" s="5">
        <v>18</v>
      </c>
      <c r="BL27" s="5">
        <v>18</v>
      </c>
      <c r="BM27" s="5">
        <v>18</v>
      </c>
      <c r="BN27" s="5">
        <v>18</v>
      </c>
      <c r="BO27" s="5">
        <v>18</v>
      </c>
      <c r="BP27" s="5">
        <v>18</v>
      </c>
      <c r="BQ27" s="5">
        <v>18</v>
      </c>
      <c r="BR27" s="5">
        <v>18</v>
      </c>
    </row>
    <row r="28" spans="2:70">
      <c r="Z2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map'!$F$2063:$J$2075,))))))))))))))))))))))))))))))))),BD28,FALSE),"-")</f>
        <v>Input</v>
      </c>
      <c r="AA2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map'!$F$2063:$H$2075,0))))))))))))))))))))))))))))))))),BE28,FALSE),"-")</f>
        <v>XBF-TC04B_CH2_SETERR</v>
      </c>
      <c r="AB2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map'!$F$2063:$J$2075,))))))))))))))))))))))))))))))))),BF28,FALSE),"-")</f>
        <v>BIT</v>
      </c>
      <c r="AC2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map'!$F$2063:$J$2075,))))))))))))))))))))))))))))))))),BG28,FALSE),"-")</f>
        <v>1.A</v>
      </c>
      <c r="AD2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map'!$F$2063:$J$2075,))))))))))))))))))))))))))))))))),BH28,FALSE),"-")</f>
        <v>Temperature  input module : Channel 2 error code</v>
      </c>
      <c r="BB28" s="5">
        <v>19</v>
      </c>
      <c r="BC28" s="5">
        <v>19</v>
      </c>
      <c r="BD28" s="5">
        <v>19</v>
      </c>
      <c r="BE28" s="5">
        <v>19</v>
      </c>
      <c r="BF28" s="5">
        <v>19</v>
      </c>
      <c r="BG28" s="5">
        <v>19</v>
      </c>
      <c r="BH28" s="5">
        <v>19</v>
      </c>
      <c r="BI28" s="5">
        <v>19</v>
      </c>
      <c r="BJ28" s="5">
        <v>19</v>
      </c>
      <c r="BK28" s="5">
        <v>19</v>
      </c>
      <c r="BL28" s="5">
        <v>19</v>
      </c>
      <c r="BM28" s="5">
        <v>19</v>
      </c>
      <c r="BN28" s="5">
        <v>19</v>
      </c>
      <c r="BO28" s="5">
        <v>19</v>
      </c>
      <c r="BP28" s="5">
        <v>19</v>
      </c>
      <c r="BQ28" s="5">
        <v>19</v>
      </c>
      <c r="BR28" s="5">
        <v>19</v>
      </c>
    </row>
    <row r="29" spans="2:70">
      <c r="Z2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map'!$F$2063:$J$2075,))))))))))))))))))))))))))))))))),BD29,FALSE),"-")</f>
        <v>Input</v>
      </c>
      <c r="AA2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map'!$F$2063:$H$2075,0))))))))))))))))))))))))))))))))),BE29,FALSE),"-")</f>
        <v>XBF-TC04B_CH3_SETERR</v>
      </c>
      <c r="AB2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map'!$F$2063:$J$2075,))))))))))))))))))))))))))))))))),BF29,FALSE),"-")</f>
        <v>BIT</v>
      </c>
      <c r="AC2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map'!$F$2063:$J$2075,))))))))))))))))))))))))))))))))),BG29,FALSE),"-")</f>
        <v>1.B</v>
      </c>
      <c r="AD2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map'!$F$2063:$J$2075,))))))))))))))))))))))))))))))))),BH29,FALSE),"-")</f>
        <v>Temperature  input module : Channel 3 error code</v>
      </c>
      <c r="BB29" s="5">
        <v>20</v>
      </c>
      <c r="BC29" s="5">
        <v>20</v>
      </c>
      <c r="BD29" s="5">
        <v>20</v>
      </c>
      <c r="BE29" s="5">
        <v>20</v>
      </c>
      <c r="BF29" s="5">
        <v>20</v>
      </c>
      <c r="BG29" s="5">
        <v>20</v>
      </c>
      <c r="BH29" s="5">
        <v>20</v>
      </c>
      <c r="BI29" s="5">
        <v>20</v>
      </c>
      <c r="BJ29" s="5">
        <v>20</v>
      </c>
      <c r="BK29" s="5">
        <v>20</v>
      </c>
      <c r="BL29" s="5">
        <v>20</v>
      </c>
      <c r="BM29" s="5">
        <v>20</v>
      </c>
      <c r="BN29" s="5">
        <v>20</v>
      </c>
      <c r="BO29" s="5">
        <v>20</v>
      </c>
      <c r="BP29" s="5">
        <v>20</v>
      </c>
      <c r="BQ29" s="5">
        <v>20</v>
      </c>
      <c r="BR29" s="5">
        <v>20</v>
      </c>
    </row>
    <row r="30" spans="2:70">
      <c r="Z3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map'!$F$2063:$J$2075,))))))))))))))))))))))))))))))))),BD30,FALSE),"-")</f>
        <v>Input</v>
      </c>
      <c r="AA3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map'!$F$2063:$H$2075,0))))))))))))))))))))))))))))))))),BE30,FALSE),"-")</f>
        <v>-</v>
      </c>
      <c r="AB3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map'!$F$2063:$J$2075,))))))))))))))))))))))))))))))))),BF30,FALSE),"-")</f>
        <v>WORD</v>
      </c>
      <c r="AC30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map'!$F$2063:$J$2075,))))))))))))))))))))))))))))))))),BG30,FALSE),"-")</f>
        <v>2</v>
      </c>
      <c r="AD3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map'!$F$2063:$J$2075,))))))))))))))))))))))))))))))))),BH30,FALSE),"-")</f>
        <v>Reserved</v>
      </c>
      <c r="BB30" s="5">
        <v>21</v>
      </c>
      <c r="BC30" s="5">
        <v>21</v>
      </c>
      <c r="BD30" s="5">
        <v>21</v>
      </c>
      <c r="BE30" s="5">
        <v>21</v>
      </c>
      <c r="BF30" s="5">
        <v>21</v>
      </c>
      <c r="BG30" s="5">
        <v>21</v>
      </c>
      <c r="BH30" s="5">
        <v>21</v>
      </c>
      <c r="BI30" s="5">
        <v>21</v>
      </c>
      <c r="BJ30" s="5">
        <v>21</v>
      </c>
      <c r="BK30" s="5">
        <v>21</v>
      </c>
      <c r="BL30" s="5">
        <v>21</v>
      </c>
      <c r="BM30" s="5">
        <v>21</v>
      </c>
      <c r="BN30" s="5">
        <v>21</v>
      </c>
      <c r="BO30" s="5">
        <v>21</v>
      </c>
      <c r="BP30" s="5">
        <v>21</v>
      </c>
      <c r="BQ30" s="5">
        <v>21</v>
      </c>
      <c r="BR30" s="5">
        <v>21</v>
      </c>
    </row>
    <row r="31" spans="2:70">
      <c r="Z3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map'!$F$2063:$J$2075,))))))))))))))))))))))))))))))))),BD31,FALSE),"-")</f>
        <v>Input</v>
      </c>
      <c r="AA3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map'!$F$2063:$H$2075,0))))))))))))))))))))))))))))))))),BE31,FALSE),"-")</f>
        <v>-</v>
      </c>
      <c r="AB3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map'!$F$2063:$J$2075,))))))))))))))))))))))))))))))))),BF31,FALSE),"-")</f>
        <v>WORD</v>
      </c>
      <c r="AC31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map'!$F$2063:$J$2075,))))))))))))))))))))))))))))))))),BG31,FALSE),"-")</f>
        <v>3</v>
      </c>
      <c r="AD3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map'!$F$2063:$J$2075,))))))))))))))))))))))))))))))))),BH31,FALSE),"-")</f>
        <v>Reserved</v>
      </c>
      <c r="BB31" s="5">
        <v>22</v>
      </c>
      <c r="BC31" s="5">
        <v>22</v>
      </c>
      <c r="BD31" s="5">
        <v>22</v>
      </c>
      <c r="BE31" s="5">
        <v>22</v>
      </c>
      <c r="BF31" s="5">
        <v>22</v>
      </c>
      <c r="BG31" s="5">
        <v>22</v>
      </c>
      <c r="BH31" s="5">
        <v>22</v>
      </c>
      <c r="BI31" s="5">
        <v>22</v>
      </c>
      <c r="BJ31" s="5">
        <v>22</v>
      </c>
      <c r="BK31" s="5">
        <v>22</v>
      </c>
      <c r="BL31" s="5">
        <v>22</v>
      </c>
      <c r="BM31" s="5">
        <v>22</v>
      </c>
      <c r="BN31" s="5">
        <v>22</v>
      </c>
      <c r="BO31" s="5">
        <v>22</v>
      </c>
      <c r="BP31" s="5">
        <v>22</v>
      </c>
      <c r="BQ31" s="5">
        <v>22</v>
      </c>
      <c r="BR31" s="5">
        <v>22</v>
      </c>
    </row>
    <row r="32" spans="2:70">
      <c r="B32" s="12"/>
      <c r="Z3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map'!$F$2063:$J$2075,))))))))))))))))))))))))))))))))),BD32,FALSE),"-")</f>
        <v>Input</v>
      </c>
      <c r="AA3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map'!$F$2063:$H$2075,0))))))))))))))))))))))))))))))))),BE32,FALSE),"-")</f>
        <v>XBF-TC04B_CH0_TEMP</v>
      </c>
      <c r="AB3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map'!$F$2063:$J$2075,))))))))))))))))))))))))))))))))),BF32,FALSE),"-")</f>
        <v>WORD</v>
      </c>
      <c r="AC32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map'!$F$2063:$J$2075,))))))))))))))))))))))))))))))))),BG32,FALSE),"-")</f>
        <v>4</v>
      </c>
      <c r="AD3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map'!$F$2063:$J$2075,))))))))))))))))))))))))))))))))),BH32,FALSE),"-")</f>
        <v>Temperature  input module : Channel 0 temperature data</v>
      </c>
      <c r="BB32" s="5">
        <v>23</v>
      </c>
      <c r="BC32" s="5">
        <v>23</v>
      </c>
      <c r="BD32" s="5">
        <v>23</v>
      </c>
      <c r="BE32" s="5">
        <v>23</v>
      </c>
      <c r="BF32" s="5">
        <v>23</v>
      </c>
      <c r="BG32" s="5">
        <v>23</v>
      </c>
      <c r="BH32" s="5">
        <v>23</v>
      </c>
      <c r="BI32" s="5">
        <v>23</v>
      </c>
      <c r="BJ32" s="5">
        <v>23</v>
      </c>
      <c r="BK32" s="5">
        <v>23</v>
      </c>
      <c r="BL32" s="5">
        <v>23</v>
      </c>
      <c r="BM32" s="5">
        <v>23</v>
      </c>
      <c r="BN32" s="5">
        <v>23</v>
      </c>
      <c r="BO32" s="5">
        <v>23</v>
      </c>
      <c r="BP32" s="5">
        <v>23</v>
      </c>
      <c r="BQ32" s="5">
        <v>23</v>
      </c>
      <c r="BR32" s="5">
        <v>23</v>
      </c>
    </row>
    <row r="33" spans="2:70">
      <c r="C33" s="13"/>
      <c r="Z3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map'!$F$2063:$J$2075,))))))))))))))))))))))))))))))))),BD33,FALSE),"-")</f>
        <v>Input</v>
      </c>
      <c r="AA3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map'!$F$2063:$H$2075,0))))))))))))))))))))))))))))))))),BE33,FALSE),"-")</f>
        <v>XBF-TC04B_CH1_TEMP</v>
      </c>
      <c r="AB3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map'!$F$2063:$J$2075,))))))))))))))))))))))))))))))))),BF33,FALSE),"-")</f>
        <v>WORD</v>
      </c>
      <c r="AC33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map'!$F$2063:$J$2075,))))))))))))))))))))))))))))))))),BG33,FALSE),"-")</f>
        <v>5</v>
      </c>
      <c r="AD3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map'!$F$2063:$J$2075,))))))))))))))))))))))))))))))))),BH33,FALSE),"-")</f>
        <v>Temperature  input module : Channel 1 temperature data</v>
      </c>
      <c r="BB33" s="5">
        <v>24</v>
      </c>
      <c r="BC33" s="5">
        <v>24</v>
      </c>
      <c r="BD33" s="5">
        <v>24</v>
      </c>
      <c r="BE33" s="5">
        <v>24</v>
      </c>
      <c r="BF33" s="5">
        <v>24</v>
      </c>
      <c r="BG33" s="5">
        <v>24</v>
      </c>
      <c r="BH33" s="5">
        <v>24</v>
      </c>
      <c r="BI33" s="5">
        <v>24</v>
      </c>
      <c r="BJ33" s="5">
        <v>24</v>
      </c>
      <c r="BK33" s="5">
        <v>24</v>
      </c>
      <c r="BL33" s="5">
        <v>24</v>
      </c>
      <c r="BM33" s="5">
        <v>24</v>
      </c>
      <c r="BN33" s="5">
        <v>24</v>
      </c>
      <c r="BO33" s="5">
        <v>24</v>
      </c>
      <c r="BP33" s="5">
        <v>24</v>
      </c>
      <c r="BQ33" s="5">
        <v>24</v>
      </c>
      <c r="BR33" s="5">
        <v>24</v>
      </c>
    </row>
    <row r="34" spans="2:70">
      <c r="C34" s="14"/>
      <c r="Z3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map'!$F$2063:$J$2075,))))))))))))))))))))))))))))))))),BD34,FALSE),"-")</f>
        <v>Input</v>
      </c>
      <c r="AA3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map'!$F$2063:$H$2075,0))))))))))))))))))))))))))))))))),BE34,FALSE),"-")</f>
        <v>XBF-TC04B_CH2_TEMP</v>
      </c>
      <c r="AB3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map'!$F$2063:$J$2075,))))))))))))))))))))))))))))))))),BF34,FALSE),"-")</f>
        <v>WORD</v>
      </c>
      <c r="AC34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map'!$F$2063:$J$2075,))))))))))))))))))))))))))))))))),BG34,FALSE),"-")</f>
        <v>6</v>
      </c>
      <c r="AD3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map'!$F$2063:$J$2075,))))))))))))))))))))))))))))))))),BH34,FALSE),"-")</f>
        <v>Temperature  input module : Channel 2 temperature data</v>
      </c>
      <c r="BB34" s="5">
        <v>25</v>
      </c>
      <c r="BC34" s="5">
        <v>25</v>
      </c>
      <c r="BD34" s="5">
        <v>25</v>
      </c>
      <c r="BE34" s="5">
        <v>25</v>
      </c>
      <c r="BF34" s="5">
        <v>25</v>
      </c>
      <c r="BG34" s="5">
        <v>25</v>
      </c>
      <c r="BH34" s="5">
        <v>25</v>
      </c>
      <c r="BI34" s="5">
        <v>25</v>
      </c>
      <c r="BJ34" s="5">
        <v>25</v>
      </c>
      <c r="BK34" s="5">
        <v>25</v>
      </c>
      <c r="BL34" s="5">
        <v>25</v>
      </c>
      <c r="BM34" s="5">
        <v>25</v>
      </c>
      <c r="BN34" s="5">
        <v>25</v>
      </c>
      <c r="BO34" s="5">
        <v>25</v>
      </c>
      <c r="BP34" s="5">
        <v>25</v>
      </c>
      <c r="BQ34" s="5">
        <v>25</v>
      </c>
      <c r="BR34" s="5">
        <v>25</v>
      </c>
    </row>
    <row r="35" spans="2:70">
      <c r="Z3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map'!$F$2063:$J$2075,))))))))))))))))))))))))))))))))),BD35,FALSE),"-")</f>
        <v>Input</v>
      </c>
      <c r="AA3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map'!$F$2063:$H$2075,0))))))))))))))))))))))))))))))))),BE35,FALSE),"-")</f>
        <v>XBF-TC04B_CH3_TEMP</v>
      </c>
      <c r="AB3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map'!$F$2063:$J$2075,))))))))))))))))))))))))))))))))),BF35,FALSE),"-")</f>
        <v>WORD</v>
      </c>
      <c r="AC35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map'!$F$2063:$J$2075,))))))))))))))))))))))))))))))))),BG35,FALSE),"-")</f>
        <v>7</v>
      </c>
      <c r="AD3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map'!$F$2063:$J$2075,))))))))))))))))))))))))))))))))),BH35,FALSE),"-")</f>
        <v>Temperature  input module : Channel 3 temperature data</v>
      </c>
      <c r="BB35" s="5">
        <v>26</v>
      </c>
      <c r="BC35" s="5">
        <v>26</v>
      </c>
      <c r="BD35" s="5">
        <v>26</v>
      </c>
      <c r="BE35" s="5">
        <v>26</v>
      </c>
      <c r="BF35" s="5">
        <v>26</v>
      </c>
      <c r="BG35" s="5">
        <v>26</v>
      </c>
      <c r="BH35" s="5">
        <v>26</v>
      </c>
      <c r="BI35" s="5">
        <v>26</v>
      </c>
      <c r="BJ35" s="5">
        <v>26</v>
      </c>
      <c r="BK35" s="5">
        <v>26</v>
      </c>
      <c r="BL35" s="5">
        <v>26</v>
      </c>
      <c r="BM35" s="5">
        <v>26</v>
      </c>
      <c r="BN35" s="5">
        <v>26</v>
      </c>
      <c r="BO35" s="5">
        <v>26</v>
      </c>
      <c r="BP35" s="5">
        <v>26</v>
      </c>
      <c r="BQ35" s="5">
        <v>26</v>
      </c>
      <c r="BR35" s="5">
        <v>26</v>
      </c>
    </row>
    <row r="36" spans="2:70">
      <c r="B36" s="12"/>
      <c r="Z3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map'!$F$2063:$J$2075,))))))))))))))))))))))))))))))))),BD36,FALSE),"-")</f>
        <v>Input</v>
      </c>
      <c r="AA3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map'!$F$2063:$H$2075,0))))))))))))))))))))))))))))))))),BE36,FALSE),"-")</f>
        <v>XBF-TC04B_CH0_SCAL</v>
      </c>
      <c r="AB3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map'!$F$2063:$J$2075,))))))))))))))))))))))))))))))))),BF36,FALSE),"-")</f>
        <v>WORD</v>
      </c>
      <c r="AC36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map'!$F$2063:$J$2075,))))))))))))))))))))))))))))))))),BG36,FALSE),"-")</f>
        <v>8</v>
      </c>
      <c r="AD3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map'!$F$2063:$J$2075,))))))))))))))))))))))))))))))))),BH36,FALSE),"-")</f>
        <v>Temperature  input module : Channel 0 scaling data</v>
      </c>
      <c r="BB36" s="5">
        <v>27</v>
      </c>
      <c r="BC36" s="5">
        <v>27</v>
      </c>
      <c r="BD36" s="5">
        <v>27</v>
      </c>
      <c r="BE36" s="5">
        <v>27</v>
      </c>
      <c r="BF36" s="5">
        <v>27</v>
      </c>
      <c r="BG36" s="5">
        <v>27</v>
      </c>
      <c r="BH36" s="5">
        <v>27</v>
      </c>
      <c r="BI36" s="5">
        <v>27</v>
      </c>
      <c r="BJ36" s="5">
        <v>27</v>
      </c>
      <c r="BK36" s="5">
        <v>27</v>
      </c>
      <c r="BL36" s="5">
        <v>27</v>
      </c>
      <c r="BM36" s="5">
        <v>27</v>
      </c>
      <c r="BN36" s="5">
        <v>27</v>
      </c>
      <c r="BO36" s="5">
        <v>27</v>
      </c>
      <c r="BP36" s="5">
        <v>27</v>
      </c>
      <c r="BQ36" s="5">
        <v>27</v>
      </c>
      <c r="BR36" s="5">
        <v>27</v>
      </c>
    </row>
    <row r="37" spans="2:70">
      <c r="C37" s="13"/>
      <c r="Z3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map'!$F$2063:$J$2075,))))))))))))))))))))))))))))))))),BD37,FALSE),"-")</f>
        <v>Input</v>
      </c>
      <c r="AA3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map'!$F$2063:$H$2075,0))))))))))))))))))))))))))))))))),BE37,FALSE),"-")</f>
        <v>XBF-TC04B_CH1_SCAL</v>
      </c>
      <c r="AB3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map'!$F$2063:$J$2075,))))))))))))))))))))))))))))))))),BF37,FALSE),"-")</f>
        <v>WORD</v>
      </c>
      <c r="AC37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map'!$F$2063:$J$2075,))))))))))))))))))))))))))))))))),BG37,FALSE),"-")</f>
        <v>9</v>
      </c>
      <c r="AD3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map'!$F$2063:$J$2075,))))))))))))))))))))))))))))))))),BH37,FALSE),"-")</f>
        <v>Temperature  input module : Channel 1 scaling data</v>
      </c>
      <c r="BB37" s="5">
        <v>28</v>
      </c>
      <c r="BC37" s="5">
        <v>28</v>
      </c>
      <c r="BD37" s="5">
        <v>28</v>
      </c>
      <c r="BE37" s="5">
        <v>28</v>
      </c>
      <c r="BF37" s="5">
        <v>28</v>
      </c>
      <c r="BG37" s="5">
        <v>28</v>
      </c>
      <c r="BH37" s="5">
        <v>28</v>
      </c>
      <c r="BI37" s="5">
        <v>28</v>
      </c>
      <c r="BJ37" s="5">
        <v>28</v>
      </c>
      <c r="BK37" s="5">
        <v>28</v>
      </c>
      <c r="BL37" s="5">
        <v>28</v>
      </c>
      <c r="BM37" s="5">
        <v>28</v>
      </c>
      <c r="BN37" s="5">
        <v>28</v>
      </c>
      <c r="BO37" s="5">
        <v>28</v>
      </c>
      <c r="BP37" s="5">
        <v>28</v>
      </c>
      <c r="BQ37" s="5">
        <v>28</v>
      </c>
      <c r="BR37" s="5">
        <v>28</v>
      </c>
    </row>
    <row r="38" spans="2:70">
      <c r="C38" s="14"/>
      <c r="Z3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map'!$F$2063:$J$2075,))))))))))))))))))))))))))))))))),BD38,FALSE),"-")</f>
        <v>Input</v>
      </c>
      <c r="AA3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map'!$F$2063:$H$2075,0))))))))))))))))))))))))))))))))),BE38,FALSE),"-")</f>
        <v>XBF-TC04B_CH2_SCAL</v>
      </c>
      <c r="AB3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map'!$F$2063:$J$2075,))))))))))))))))))))))))))))))))),BF38,FALSE),"-")</f>
        <v>WORD</v>
      </c>
      <c r="AC38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map'!$F$2063:$J$2075,))))))))))))))))))))))))))))))))),BG38,FALSE),"-")</f>
        <v>10</v>
      </c>
      <c r="AD3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map'!$F$2063:$J$2075,))))))))))))))))))))))))))))))))),BH38,FALSE),"-")</f>
        <v>Temperature  input module : Channel 2 scaling data</v>
      </c>
      <c r="BB38" s="5">
        <v>29</v>
      </c>
      <c r="BC38" s="5">
        <v>29</v>
      </c>
      <c r="BD38" s="5">
        <v>29</v>
      </c>
      <c r="BE38" s="5">
        <v>29</v>
      </c>
      <c r="BF38" s="5">
        <v>29</v>
      </c>
      <c r="BG38" s="5">
        <v>29</v>
      </c>
      <c r="BH38" s="5">
        <v>29</v>
      </c>
      <c r="BI38" s="5">
        <v>29</v>
      </c>
      <c r="BJ38" s="5">
        <v>29</v>
      </c>
      <c r="BK38" s="5">
        <v>29</v>
      </c>
      <c r="BL38" s="5">
        <v>29</v>
      </c>
      <c r="BM38" s="5">
        <v>29</v>
      </c>
      <c r="BN38" s="5">
        <v>29</v>
      </c>
      <c r="BO38" s="5">
        <v>29</v>
      </c>
      <c r="BP38" s="5">
        <v>29</v>
      </c>
      <c r="BQ38" s="5">
        <v>29</v>
      </c>
      <c r="BR38" s="5">
        <v>29</v>
      </c>
    </row>
    <row r="39" spans="2:70">
      <c r="Z3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map'!$F$2063:$J$2075,))))))))))))))))))))))))))))))))),BD39,FALSE),"-")</f>
        <v>Input</v>
      </c>
      <c r="AA3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map'!$F$2063:$H$2075,0))))))))))))))))))))))))))))))))),BE39,FALSE),"-")</f>
        <v>XBF-TC04B_CH3_SCAL</v>
      </c>
      <c r="AB3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map'!$F$2063:$J$2075,))))))))))))))))))))))))))))))))),BF39,FALSE),"-")</f>
        <v>WORD</v>
      </c>
      <c r="AC39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map'!$F$2063:$J$2075,))))))))))))))))))))))))))))))))),BG39,FALSE),"-")</f>
        <v>11</v>
      </c>
      <c r="AD3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map'!$F$2063:$J$2075,))))))))))))))))))))))))))))))))),BH39,FALSE),"-")</f>
        <v>Temperature  input module : Channel 3 scaling data</v>
      </c>
      <c r="BB39" s="5">
        <v>30</v>
      </c>
      <c r="BC39" s="5">
        <v>30</v>
      </c>
      <c r="BD39" s="5">
        <v>30</v>
      </c>
      <c r="BE39" s="5">
        <v>30</v>
      </c>
      <c r="BF39" s="5">
        <v>30</v>
      </c>
      <c r="BG39" s="5">
        <v>30</v>
      </c>
      <c r="BH39" s="5">
        <v>30</v>
      </c>
      <c r="BI39" s="5">
        <v>30</v>
      </c>
      <c r="BJ39" s="5">
        <v>30</v>
      </c>
      <c r="BK39" s="5">
        <v>30</v>
      </c>
      <c r="BL39" s="5">
        <v>30</v>
      </c>
      <c r="BM39" s="5">
        <v>30</v>
      </c>
      <c r="BN39" s="5">
        <v>30</v>
      </c>
      <c r="BO39" s="5">
        <v>30</v>
      </c>
      <c r="BP39" s="5">
        <v>30</v>
      </c>
      <c r="BQ39" s="5">
        <v>30</v>
      </c>
      <c r="BR39" s="5">
        <v>30</v>
      </c>
    </row>
    <row r="40" spans="2:70">
      <c r="Z4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map'!$F$2063:$J$2075,))))))))))))))))))))))))))))))))),BD40,FALSE),"-")</f>
        <v>Input</v>
      </c>
      <c r="AA4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map'!$F$2063:$H$2075,0))))))))))))))))))))))))))))))))),BE40,FALSE),"-")</f>
        <v>XBF-TC04B_CH0_MIN</v>
      </c>
      <c r="AB4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map'!$F$2063:$J$2075,))))))))))))))))))))))))))))))))),BF40,FALSE),"-")</f>
        <v>WORD</v>
      </c>
      <c r="AC40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map'!$F$2063:$J$2075,))))))))))))))))))))))))))))))))),BG40,FALSE),"-")</f>
        <v>12</v>
      </c>
      <c r="AD4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map'!$F$2063:$J$2075,))))))))))))))))))))))))))))))))),BH40,FALSE),"-")</f>
        <v>Temperature  input module : Channel 0 Min. data</v>
      </c>
      <c r="BB40" s="5">
        <v>31</v>
      </c>
      <c r="BC40" s="5">
        <v>31</v>
      </c>
      <c r="BD40" s="5">
        <v>31</v>
      </c>
      <c r="BE40" s="5">
        <v>31</v>
      </c>
      <c r="BF40" s="5">
        <v>31</v>
      </c>
      <c r="BG40" s="5">
        <v>31</v>
      </c>
      <c r="BH40" s="5">
        <v>31</v>
      </c>
      <c r="BI40" s="5">
        <v>31</v>
      </c>
      <c r="BJ40" s="5">
        <v>31</v>
      </c>
      <c r="BK40" s="5">
        <v>31</v>
      </c>
      <c r="BL40" s="5">
        <v>31</v>
      </c>
      <c r="BM40" s="5">
        <v>31</v>
      </c>
      <c r="BN40" s="5">
        <v>31</v>
      </c>
      <c r="BO40" s="5">
        <v>31</v>
      </c>
      <c r="BP40" s="5">
        <v>31</v>
      </c>
      <c r="BQ40" s="5">
        <v>31</v>
      </c>
      <c r="BR40" s="5">
        <v>31</v>
      </c>
    </row>
    <row r="41" spans="2:70">
      <c r="B41" s="12"/>
      <c r="Z4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map'!$F$2063:$J$2075,))))))))))))))))))))))))))))))))),BD41,FALSE),"-")</f>
        <v>Input</v>
      </c>
      <c r="AA4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map'!$F$2063:$H$2075,0))))))))))))))))))))))))))))))))),BE41,FALSE),"-")</f>
        <v>XBF-TC04B_CH0_MAX</v>
      </c>
      <c r="AB4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map'!$F$2063:$J$2075,))))))))))))))))))))))))))))))))),BF41,FALSE),"-")</f>
        <v>WORD</v>
      </c>
      <c r="AC41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map'!$F$2063:$J$2075,))))))))))))))))))))))))))))))))),BG41,FALSE),"-")</f>
        <v>13</v>
      </c>
      <c r="AD4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map'!$F$2063:$J$2075,))))))))))))))))))))))))))))))))),BH41,FALSE),"-")</f>
        <v>Temperature  input module : Channel 0 Max. data</v>
      </c>
      <c r="BB41" s="5">
        <v>32</v>
      </c>
      <c r="BC41" s="5">
        <v>32</v>
      </c>
      <c r="BD41" s="5">
        <v>32</v>
      </c>
      <c r="BE41" s="5">
        <v>32</v>
      </c>
      <c r="BF41" s="5">
        <v>32</v>
      </c>
      <c r="BG41" s="5">
        <v>32</v>
      </c>
      <c r="BH41" s="5">
        <v>32</v>
      </c>
      <c r="BI41" s="5">
        <v>32</v>
      </c>
      <c r="BJ41" s="5">
        <v>32</v>
      </c>
      <c r="BK41" s="5">
        <v>32</v>
      </c>
      <c r="BL41" s="5">
        <v>32</v>
      </c>
      <c r="BM41" s="5">
        <v>32</v>
      </c>
      <c r="BN41" s="5">
        <v>32</v>
      </c>
      <c r="BO41" s="5">
        <v>32</v>
      </c>
      <c r="BP41" s="5">
        <v>32</v>
      </c>
      <c r="BQ41" s="5">
        <v>32</v>
      </c>
      <c r="BR41" s="5">
        <v>32</v>
      </c>
    </row>
    <row r="42" spans="2:70">
      <c r="Z4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map'!$F$2063:$J$2075,))))))))))))))))))))))))))))))))),BD42,FALSE),"-")</f>
        <v>Input</v>
      </c>
      <c r="AA4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map'!$F$2063:$H$2075,0))))))))))))))))))))))))))))))))),BE42,FALSE),"-")</f>
        <v>XBF-TC04B_CH1_MIN</v>
      </c>
      <c r="AB4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map'!$F$2063:$J$2075,))))))))))))))))))))))))))))))))),BF42,FALSE),"-")</f>
        <v>WORD</v>
      </c>
      <c r="AC42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map'!$F$2063:$J$2075,))))))))))))))))))))))))))))))))),BG42,FALSE),"-")</f>
        <v>14</v>
      </c>
      <c r="AD4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map'!$F$2063:$J$2075,))))))))))))))))))))))))))))))))),BH42,FALSE),"-")</f>
        <v>Temperature  input module : Channel 1 Min. data</v>
      </c>
      <c r="BB42" s="5">
        <v>33</v>
      </c>
      <c r="BC42" s="5">
        <v>33</v>
      </c>
      <c r="BD42" s="5">
        <v>33</v>
      </c>
      <c r="BE42" s="5">
        <v>33</v>
      </c>
      <c r="BF42" s="5">
        <v>33</v>
      </c>
      <c r="BG42" s="5">
        <v>33</v>
      </c>
      <c r="BH42" s="5">
        <v>33</v>
      </c>
      <c r="BI42" s="5">
        <v>33</v>
      </c>
      <c r="BJ42" s="5">
        <v>33</v>
      </c>
      <c r="BK42" s="5">
        <v>33</v>
      </c>
      <c r="BL42" s="5">
        <v>33</v>
      </c>
      <c r="BM42" s="5">
        <v>33</v>
      </c>
      <c r="BN42" s="5">
        <v>33</v>
      </c>
      <c r="BO42" s="5">
        <v>33</v>
      </c>
      <c r="BP42" s="5">
        <v>33</v>
      </c>
      <c r="BQ42" s="5">
        <v>33</v>
      </c>
      <c r="BR42" s="5">
        <v>33</v>
      </c>
    </row>
    <row r="43" spans="2:70">
      <c r="Z4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map'!$F$2063:$J$2075,))))))))))))))))))))))))))))))))),BD43,FALSE),"-")</f>
        <v>Input</v>
      </c>
      <c r="AA4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map'!$F$2063:$H$2075,0))))))))))))))))))))))))))))))))),BE43,FALSE),"-")</f>
        <v>XBF-TC04B_CH1_MAX</v>
      </c>
      <c r="AB4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map'!$F$2063:$J$2075,))))))))))))))))))))))))))))))))),BF43,FALSE),"-")</f>
        <v>WORD</v>
      </c>
      <c r="AC43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map'!$F$2063:$J$2075,))))))))))))))))))))))))))))))))),BG43,FALSE),"-")</f>
        <v>15</v>
      </c>
      <c r="AD4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map'!$F$2063:$J$2075,))))))))))))))))))))))))))))))))),BH43,FALSE),"-")</f>
        <v>Temperature  input module : Channel 1 Max. data</v>
      </c>
      <c r="BB43" s="5">
        <v>34</v>
      </c>
      <c r="BC43" s="5">
        <v>34</v>
      </c>
      <c r="BD43" s="5">
        <v>34</v>
      </c>
      <c r="BE43" s="5">
        <v>34</v>
      </c>
      <c r="BF43" s="5">
        <v>34</v>
      </c>
      <c r="BG43" s="5">
        <v>34</v>
      </c>
      <c r="BH43" s="5">
        <v>34</v>
      </c>
      <c r="BI43" s="5">
        <v>34</v>
      </c>
      <c r="BJ43" s="5">
        <v>34</v>
      </c>
      <c r="BK43" s="5">
        <v>34</v>
      </c>
      <c r="BL43" s="5">
        <v>34</v>
      </c>
      <c r="BM43" s="5">
        <v>34</v>
      </c>
      <c r="BN43" s="5">
        <v>34</v>
      </c>
      <c r="BO43" s="5">
        <v>34</v>
      </c>
      <c r="BP43" s="5">
        <v>34</v>
      </c>
      <c r="BQ43" s="5">
        <v>34</v>
      </c>
      <c r="BR43" s="5">
        <v>34</v>
      </c>
    </row>
    <row r="44" spans="2:70">
      <c r="Z4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map'!$F$2063:$J$2075,))))))))))))))))))))))))))))))))),BD44,FALSE),"-")</f>
        <v>Input</v>
      </c>
      <c r="AA4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map'!$F$2063:$H$2075,0))))))))))))))))))))))))))))))))),BE44,FALSE),"-")</f>
        <v>XBF-TC04B_CH2_MIN</v>
      </c>
      <c r="AB4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map'!$F$2063:$J$2075,))))))))))))))))))))))))))))))))),BF44,FALSE),"-")</f>
        <v>WORD</v>
      </c>
      <c r="AC44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map'!$F$2063:$J$2075,))))))))))))))))))))))))))))))))),BG44,FALSE),"-")</f>
        <v>16</v>
      </c>
      <c r="AD4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map'!$F$2063:$J$2075,))))))))))))))))))))))))))))))))),BH44,FALSE),"-")</f>
        <v>Temperature  input module : Channel 2 Min. data</v>
      </c>
      <c r="BB44" s="5">
        <v>35</v>
      </c>
      <c r="BC44" s="5">
        <v>35</v>
      </c>
      <c r="BD44" s="5">
        <v>35</v>
      </c>
      <c r="BE44" s="5">
        <v>35</v>
      </c>
      <c r="BF44" s="5">
        <v>35</v>
      </c>
      <c r="BG44" s="5">
        <v>35</v>
      </c>
      <c r="BH44" s="5">
        <v>35</v>
      </c>
      <c r="BI44" s="5">
        <v>35</v>
      </c>
      <c r="BJ44" s="5">
        <v>35</v>
      </c>
      <c r="BK44" s="5">
        <v>35</v>
      </c>
      <c r="BL44" s="5">
        <v>35</v>
      </c>
      <c r="BM44" s="5">
        <v>35</v>
      </c>
      <c r="BN44" s="5">
        <v>35</v>
      </c>
      <c r="BO44" s="5">
        <v>35</v>
      </c>
      <c r="BP44" s="5">
        <v>35</v>
      </c>
      <c r="BQ44" s="5">
        <v>35</v>
      </c>
      <c r="BR44" s="5">
        <v>35</v>
      </c>
    </row>
    <row r="45" spans="2:70">
      <c r="Z4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map'!$F$2063:$J$2075,))))))))))))))))))))))))))))))))),BD45,FALSE),"-")</f>
        <v>Input</v>
      </c>
      <c r="AA4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map'!$F$2063:$H$2075,0))))))))))))))))))))))))))))))))),BE45,FALSE),"-")</f>
        <v>XBF-TC04B_CH2_MAX</v>
      </c>
      <c r="AB4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map'!$F$2063:$J$2075,))))))))))))))))))))))))))))))))),BF45,FALSE),"-")</f>
        <v>WORD</v>
      </c>
      <c r="AC45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map'!$F$2063:$J$2075,))))))))))))))))))))))))))))))))),BG45,FALSE),"-")</f>
        <v>17</v>
      </c>
      <c r="AD4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map'!$F$2063:$J$2075,))))))))))))))))))))))))))))))))),BH45,FALSE),"-")</f>
        <v>Temperature  input module : Channel 2 Max. data</v>
      </c>
      <c r="BB45" s="5">
        <v>36</v>
      </c>
      <c r="BC45" s="5">
        <v>36</v>
      </c>
      <c r="BD45" s="5">
        <v>36</v>
      </c>
      <c r="BE45" s="5">
        <v>36</v>
      </c>
      <c r="BF45" s="5">
        <v>36</v>
      </c>
      <c r="BG45" s="5">
        <v>36</v>
      </c>
      <c r="BH45" s="5">
        <v>36</v>
      </c>
      <c r="BI45" s="5">
        <v>36</v>
      </c>
      <c r="BJ45" s="5">
        <v>36</v>
      </c>
      <c r="BK45" s="5">
        <v>36</v>
      </c>
      <c r="BL45" s="5">
        <v>36</v>
      </c>
      <c r="BM45" s="5">
        <v>36</v>
      </c>
      <c r="BN45" s="5">
        <v>36</v>
      </c>
      <c r="BO45" s="5">
        <v>36</v>
      </c>
      <c r="BP45" s="5">
        <v>36</v>
      </c>
      <c r="BQ45" s="5">
        <v>36</v>
      </c>
      <c r="BR45" s="5">
        <v>36</v>
      </c>
    </row>
    <row r="46" spans="2:70">
      <c r="Z4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map'!$F$2063:$J$2075,))))))))))))))))))))))))))))))))),BD46,FALSE),"-")</f>
        <v>Input</v>
      </c>
      <c r="AA4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map'!$F$2063:$H$2075,0))))))))))))))))))))))))))))))))),BE46,FALSE),"-")</f>
        <v>XBF-TC04B_CH3_MIN</v>
      </c>
      <c r="AB4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map'!$F$2063:$J$2075,))))))))))))))))))))))))))))))))),BF46,FALSE),"-")</f>
        <v>WORD</v>
      </c>
      <c r="AC46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map'!$F$2063:$J$2075,))))))))))))))))))))))))))))))))),BG46,FALSE),"-")</f>
        <v>18</v>
      </c>
      <c r="AD4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map'!$F$2063:$J$2075,))))))))))))))))))))))))))))))))),BH46,FALSE),"-")</f>
        <v>Temperature  input module : Channel 3 Min. data</v>
      </c>
      <c r="BB46" s="5">
        <v>37</v>
      </c>
      <c r="BC46" s="5">
        <v>37</v>
      </c>
      <c r="BD46" s="5">
        <v>37</v>
      </c>
      <c r="BE46" s="5">
        <v>37</v>
      </c>
      <c r="BF46" s="5">
        <v>37</v>
      </c>
      <c r="BG46" s="5">
        <v>37</v>
      </c>
      <c r="BH46" s="5">
        <v>37</v>
      </c>
      <c r="BI46" s="5">
        <v>37</v>
      </c>
      <c r="BJ46" s="5">
        <v>37</v>
      </c>
      <c r="BK46" s="5">
        <v>37</v>
      </c>
      <c r="BL46" s="5">
        <v>37</v>
      </c>
      <c r="BM46" s="5">
        <v>37</v>
      </c>
      <c r="BN46" s="5">
        <v>37</v>
      </c>
      <c r="BO46" s="5">
        <v>37</v>
      </c>
      <c r="BP46" s="5">
        <v>37</v>
      </c>
      <c r="BQ46" s="5">
        <v>37</v>
      </c>
      <c r="BR46" s="5">
        <v>37</v>
      </c>
    </row>
    <row r="47" spans="2:70">
      <c r="Z4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map'!$F$2063:$J$2075,))))))))))))))))))))))))))))))))),BD47,FALSE),"-")</f>
        <v>Input</v>
      </c>
      <c r="AA4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map'!$F$2063:$H$2075,0))))))))))))))))))))))))))))))))),BE47,FALSE),"-")</f>
        <v>XBF-TC04B_CH3_MAX</v>
      </c>
      <c r="AB4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map'!$F$2063:$J$2075,))))))))))))))))))))))))))))))))),BF47,FALSE),"-")</f>
        <v>WORD</v>
      </c>
      <c r="AC47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map'!$F$2063:$J$2075,))))))))))))))))))))))))))))))))),BG47,FALSE),"-")</f>
        <v>19</v>
      </c>
      <c r="AD4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map'!$F$2063:$J$2075,))))))))))))))))))))))))))))))))),BH47,FALSE),"-")</f>
        <v>Temperature  input module : Channel 3 Max. data</v>
      </c>
      <c r="BB47" s="5">
        <v>38</v>
      </c>
      <c r="BC47" s="5">
        <v>38</v>
      </c>
      <c r="BD47" s="5">
        <v>38</v>
      </c>
      <c r="BE47" s="5">
        <v>38</v>
      </c>
      <c r="BF47" s="5">
        <v>38</v>
      </c>
      <c r="BG47" s="5">
        <v>38</v>
      </c>
      <c r="BH47" s="5">
        <v>38</v>
      </c>
      <c r="BI47" s="5">
        <v>38</v>
      </c>
      <c r="BJ47" s="5">
        <v>38</v>
      </c>
      <c r="BK47" s="5">
        <v>38</v>
      </c>
      <c r="BL47" s="5">
        <v>38</v>
      </c>
      <c r="BM47" s="5">
        <v>38</v>
      </c>
      <c r="BN47" s="5">
        <v>38</v>
      </c>
      <c r="BO47" s="5">
        <v>38</v>
      </c>
      <c r="BP47" s="5">
        <v>38</v>
      </c>
      <c r="BQ47" s="5">
        <v>38</v>
      </c>
      <c r="BR47" s="5">
        <v>38</v>
      </c>
    </row>
    <row r="48" spans="2:70">
      <c r="Z4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map'!$F$2063:$J$2075,))))))))))))))))))))))))))))))))),BD48,FALSE),"-")</f>
        <v>Output</v>
      </c>
      <c r="AA4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map'!$F$2063:$H$2075,0))))))))))))))))))))))))))))))))),BE48,FALSE),"-")</f>
        <v>XBF-TC04B_CH0_FINDEN</v>
      </c>
      <c r="AB4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map'!$F$2063:$J$2075,))))))))))))))))))))))))))))))))),BF48,FALSE),"-")</f>
        <v>BIT</v>
      </c>
      <c r="AC48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map'!$F$2063:$J$2075,))))))))))))))))))))))))))))))))),BG48,FALSE),"-")</f>
        <v>0</v>
      </c>
      <c r="AD4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map'!$F$2063:$J$2075,))))))))))))))))))))))))))))))))),BH48,FALSE),"-")</f>
        <v>Temperature  input module : Channel 0 Max./Min. search enable/disable</v>
      </c>
      <c r="BB48" s="5">
        <v>39</v>
      </c>
      <c r="BC48" s="5">
        <v>39</v>
      </c>
      <c r="BD48" s="5">
        <v>39</v>
      </c>
      <c r="BE48" s="5">
        <v>39</v>
      </c>
      <c r="BF48" s="5">
        <v>39</v>
      </c>
      <c r="BG48" s="5">
        <v>39</v>
      </c>
      <c r="BH48" s="5">
        <v>39</v>
      </c>
      <c r="BI48" s="5">
        <v>39</v>
      </c>
      <c r="BJ48" s="5">
        <v>39</v>
      </c>
      <c r="BK48" s="5">
        <v>39</v>
      </c>
      <c r="BL48" s="5">
        <v>39</v>
      </c>
      <c r="BM48" s="5">
        <v>39</v>
      </c>
      <c r="BN48" s="5">
        <v>39</v>
      </c>
      <c r="BO48" s="5">
        <v>39</v>
      </c>
      <c r="BP48" s="5">
        <v>39</v>
      </c>
      <c r="BQ48" s="5">
        <v>39</v>
      </c>
      <c r="BR48" s="5">
        <v>39</v>
      </c>
    </row>
    <row r="49" spans="26:70">
      <c r="Z4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map'!$F$2063:$J$2075,))))))))))))))))))))))))))))))))),BD49,FALSE),"-")</f>
        <v>Output</v>
      </c>
      <c r="AA4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map'!$F$2063:$H$2075,0))))))))))))))))))))))))))))))))),BE49,FALSE),"-")</f>
        <v>XBF-TC04B_CH1_FINDEN</v>
      </c>
      <c r="AB4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map'!$F$2063:$J$2075,))))))))))))))))))))))))))))))))),BF49,FALSE),"-")</f>
        <v>BIT</v>
      </c>
      <c r="AC49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map'!$F$2063:$J$2075,))))))))))))))))))))))))))))))))),BG49,FALSE),"-")</f>
        <v>0.1</v>
      </c>
      <c r="AD4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map'!$F$2063:$J$2075,))))))))))))))))))))))))))))))))),BH49,FALSE),"-")</f>
        <v>Temperature  input module : Channel 1 Max./Min. search enable/disable</v>
      </c>
      <c r="BB49" s="5">
        <v>40</v>
      </c>
      <c r="BC49" s="5">
        <v>40</v>
      </c>
      <c r="BD49" s="5">
        <v>40</v>
      </c>
      <c r="BE49" s="5">
        <v>40</v>
      </c>
      <c r="BF49" s="5">
        <v>40</v>
      </c>
      <c r="BG49" s="5">
        <v>40</v>
      </c>
      <c r="BH49" s="5">
        <v>40</v>
      </c>
      <c r="BI49" s="5">
        <v>40</v>
      </c>
      <c r="BJ49" s="5">
        <v>40</v>
      </c>
      <c r="BK49" s="5">
        <v>40</v>
      </c>
      <c r="BL49" s="5">
        <v>40</v>
      </c>
      <c r="BM49" s="5">
        <v>40</v>
      </c>
      <c r="BN49" s="5">
        <v>40</v>
      </c>
      <c r="BO49" s="5">
        <v>40</v>
      </c>
      <c r="BP49" s="5">
        <v>40</v>
      </c>
      <c r="BQ49" s="5">
        <v>40</v>
      </c>
      <c r="BR49" s="5">
        <v>40</v>
      </c>
    </row>
    <row r="50" spans="26:70">
      <c r="Z5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map'!$F$2063:$J$2075,))))))))))))))))))))))))))))))))),BD50,FALSE),"-")</f>
        <v>Output</v>
      </c>
      <c r="AA5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map'!$F$2063:$H$2075,0))))))))))))))))))))))))))))))))),BE50,FALSE),"-")</f>
        <v>XBF-TC04B_CH2_FINDEN</v>
      </c>
      <c r="AB5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map'!$F$2063:$J$2075,))))))))))))))))))))))))))))))))),BF50,FALSE),"-")</f>
        <v>BIT</v>
      </c>
      <c r="AC50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map'!$F$2063:$J$2075,))))))))))))))))))))))))))))))))),BG50,FALSE),"-")</f>
        <v>0.2</v>
      </c>
      <c r="AD5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map'!$F$2063:$J$2075,))))))))))))))))))))))))))))))))),BH50,FALSE),"-")</f>
        <v>Temperature  input module : Channel 2 Max./Min. search enable/disable</v>
      </c>
      <c r="BB50" s="5">
        <v>41</v>
      </c>
      <c r="BC50" s="5">
        <v>41</v>
      </c>
      <c r="BD50" s="5">
        <v>41</v>
      </c>
      <c r="BE50" s="5">
        <v>41</v>
      </c>
      <c r="BF50" s="5">
        <v>41</v>
      </c>
      <c r="BG50" s="5">
        <v>41</v>
      </c>
      <c r="BH50" s="5">
        <v>41</v>
      </c>
      <c r="BI50" s="5">
        <v>41</v>
      </c>
      <c r="BJ50" s="5">
        <v>41</v>
      </c>
      <c r="BK50" s="5">
        <v>41</v>
      </c>
      <c r="BL50" s="5">
        <v>41</v>
      </c>
      <c r="BM50" s="5">
        <v>41</v>
      </c>
      <c r="BN50" s="5">
        <v>41</v>
      </c>
      <c r="BO50" s="5">
        <v>41</v>
      </c>
      <c r="BP50" s="5">
        <v>41</v>
      </c>
      <c r="BQ50" s="5">
        <v>41</v>
      </c>
      <c r="BR50" s="5">
        <v>41</v>
      </c>
    </row>
    <row r="51" spans="26:70">
      <c r="Z5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map'!$F$2063:$J$2075,))))))))))))))))))))))))))))))))),BD51,FALSE),"-")</f>
        <v>Output</v>
      </c>
      <c r="AA5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map'!$F$2063:$H$2075,0))))))))))))))))))))))))))))))))),BE51,FALSE),"-")</f>
        <v>XBF-TC04B_CH3_FINDEN</v>
      </c>
      <c r="AB5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map'!$F$2063:$J$2075,))))))))))))))))))))))))))))))))),BF51,FALSE),"-")</f>
        <v>BIT</v>
      </c>
      <c r="AC51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map'!$F$2063:$J$2075,))))))))))))))))))))))))))))))))),BG51,FALSE),"-")</f>
        <v>0.3</v>
      </c>
      <c r="AD5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map'!$F$2063:$J$2075,))))))))))))))))))))))))))))))))),BH51,FALSE),"-")</f>
        <v>Temperature  input module : Channel 3 Max./Min. search enable/disable</v>
      </c>
      <c r="BB51" s="5">
        <v>42</v>
      </c>
      <c r="BC51" s="5">
        <v>42</v>
      </c>
      <c r="BD51" s="5">
        <v>42</v>
      </c>
      <c r="BE51" s="5">
        <v>42</v>
      </c>
      <c r="BF51" s="5">
        <v>42</v>
      </c>
      <c r="BG51" s="5">
        <v>42</v>
      </c>
      <c r="BH51" s="5">
        <v>42</v>
      </c>
      <c r="BI51" s="5">
        <v>42</v>
      </c>
      <c r="BJ51" s="5">
        <v>42</v>
      </c>
      <c r="BK51" s="5">
        <v>42</v>
      </c>
      <c r="BL51" s="5">
        <v>42</v>
      </c>
      <c r="BM51" s="5">
        <v>42</v>
      </c>
      <c r="BN51" s="5">
        <v>42</v>
      </c>
      <c r="BO51" s="5">
        <v>42</v>
      </c>
      <c r="BP51" s="5">
        <v>42</v>
      </c>
      <c r="BQ51" s="5">
        <v>42</v>
      </c>
      <c r="BR51" s="5">
        <v>42</v>
      </c>
    </row>
    <row r="52" spans="26:70">
      <c r="Z5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map'!$F$2063:$J$2075,))))))))))))))))))))))))))))))))),BD52,FALSE),"-")</f>
        <v>Output</v>
      </c>
      <c r="AA5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map'!$F$2063:$H$2075,0))))))))))))))))))))))))))))))))),BE52,FALSE),"-")</f>
        <v>XBF-TC04B_CH0_RJCDS</v>
      </c>
      <c r="AB5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map'!$F$2063:$J$2075,))))))))))))))))))))))))))))))))),BF52,FALSE),"-")</f>
        <v>BIT</v>
      </c>
      <c r="AC52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map'!$F$2063:$J$2075,))))))))))))))))))))))))))))))))),BG52,FALSE),"-")</f>
        <v>0.8</v>
      </c>
      <c r="AD5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map'!$F$2063:$J$2075,))))))))))))))))))))))))))))))))),BH52,FALSE),"-")</f>
        <v>Temperature  input module : Channel 0 cold junction compensation enable/disable</v>
      </c>
      <c r="BB52" s="5">
        <v>43</v>
      </c>
      <c r="BC52" s="5">
        <v>43</v>
      </c>
      <c r="BD52" s="5">
        <v>43</v>
      </c>
      <c r="BE52" s="5">
        <v>43</v>
      </c>
      <c r="BF52" s="5">
        <v>43</v>
      </c>
      <c r="BG52" s="5">
        <v>43</v>
      </c>
      <c r="BH52" s="5">
        <v>43</v>
      </c>
      <c r="BI52" s="5">
        <v>43</v>
      </c>
      <c r="BJ52" s="5">
        <v>43</v>
      </c>
      <c r="BK52" s="5">
        <v>43</v>
      </c>
      <c r="BL52" s="5">
        <v>43</v>
      </c>
      <c r="BM52" s="5">
        <v>43</v>
      </c>
      <c r="BN52" s="5">
        <v>43</v>
      </c>
      <c r="BO52" s="5">
        <v>43</v>
      </c>
      <c r="BP52" s="5">
        <v>43</v>
      </c>
      <c r="BQ52" s="5">
        <v>43</v>
      </c>
      <c r="BR52" s="5">
        <v>43</v>
      </c>
    </row>
    <row r="53" spans="26:70">
      <c r="Z5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map'!$F$2063:$J$2075,))))))))))))))))))))))))))))))))),BD53,FALSE),"-")</f>
        <v>Output</v>
      </c>
      <c r="AA5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map'!$F$2063:$H$2075,0))))))))))))))))))))))))))))))))),BE53,FALSE),"-")</f>
        <v>XBF-TC04B_CH1_RJCDS</v>
      </c>
      <c r="AB5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map'!$F$2063:$J$2075,))))))))))))))))))))))))))))))))),BF53,FALSE),"-")</f>
        <v>BIT</v>
      </c>
      <c r="AC53" s="85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map'!$F$2063:$J$2075,))))))))))))))))))))))))))))))))),BG53,FALSE),"-")</f>
        <v>0.9</v>
      </c>
      <c r="AD5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map'!$F$2063:$J$2075,))))))))))))))))))))))))))))))))),BH53,FALSE),"-")</f>
        <v>Temperature  input module : Channel 1 cold junction compensation enable/disable</v>
      </c>
      <c r="BB53" s="5">
        <v>44</v>
      </c>
      <c r="BC53" s="5">
        <v>44</v>
      </c>
      <c r="BD53" s="5">
        <v>44</v>
      </c>
      <c r="BE53" s="5">
        <v>44</v>
      </c>
      <c r="BF53" s="5">
        <v>44</v>
      </c>
      <c r="BG53" s="5">
        <v>44</v>
      </c>
      <c r="BH53" s="5">
        <v>44</v>
      </c>
      <c r="BI53" s="5">
        <v>44</v>
      </c>
      <c r="BJ53" s="5">
        <v>44</v>
      </c>
      <c r="BK53" s="5">
        <v>44</v>
      </c>
      <c r="BL53" s="5">
        <v>44</v>
      </c>
      <c r="BM53" s="5">
        <v>44</v>
      </c>
      <c r="BN53" s="5">
        <v>44</v>
      </c>
      <c r="BO53" s="5">
        <v>44</v>
      </c>
      <c r="BP53" s="5">
        <v>44</v>
      </c>
      <c r="BQ53" s="5">
        <v>44</v>
      </c>
      <c r="BR53" s="5">
        <v>44</v>
      </c>
    </row>
    <row r="54" spans="26:70">
      <c r="Z5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map'!$F$2063:$J$2075,))))))))))))))))))))))))))))))))),BD54,FALSE),"-")</f>
        <v>Output</v>
      </c>
      <c r="AA5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map'!$F$2063:$H$2075,0))))))))))))))))))))))))))))))))),BE54,FALSE),"-")</f>
        <v>XBF-TC04B_CH2_RJCDS</v>
      </c>
      <c r="AB5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map'!$F$2063:$J$2075,))))))))))))))))))))))))))))))))),BF54,FALSE),"-")</f>
        <v>BIT</v>
      </c>
      <c r="AC5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map'!$F$2063:$J$2075,))))))))))))))))))))))))))))))))),BG54,FALSE),"-")</f>
        <v>0.A</v>
      </c>
      <c r="AD5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map'!$F$2063:$J$2075,))))))))))))))))))))))))))))))))),BH54,FALSE),"-")</f>
        <v>Temperature  input module : Channel 2 cold junction compensation enable/disable</v>
      </c>
      <c r="BB54" s="5">
        <v>45</v>
      </c>
      <c r="BC54" s="5">
        <v>45</v>
      </c>
      <c r="BD54" s="5">
        <v>45</v>
      </c>
      <c r="BE54" s="5">
        <v>45</v>
      </c>
      <c r="BF54" s="5">
        <v>45</v>
      </c>
      <c r="BG54" s="5">
        <v>45</v>
      </c>
      <c r="BH54" s="5">
        <v>45</v>
      </c>
      <c r="BI54" s="5">
        <v>45</v>
      </c>
      <c r="BJ54" s="5">
        <v>45</v>
      </c>
      <c r="BK54" s="5">
        <v>45</v>
      </c>
      <c r="BL54" s="5">
        <v>45</v>
      </c>
      <c r="BM54" s="5">
        <v>45</v>
      </c>
      <c r="BN54" s="5">
        <v>45</v>
      </c>
      <c r="BO54" s="5">
        <v>45</v>
      </c>
      <c r="BP54" s="5">
        <v>45</v>
      </c>
      <c r="BQ54" s="5">
        <v>45</v>
      </c>
      <c r="BR54" s="5">
        <v>45</v>
      </c>
    </row>
    <row r="55" spans="26:70">
      <c r="Z5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map'!$F$2063:$J$2075,))))))))))))))))))))))))))))))))),BD55,FALSE),"-")</f>
        <v>Output</v>
      </c>
      <c r="AA5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map'!$F$2063:$H$2075,0))))))))))))))))))))))))))))))))),BE55,FALSE),"-")</f>
        <v>XBF-TC04B_CH3_RJCDS</v>
      </c>
      <c r="AB5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map'!$F$2063:$J$2075,))))))))))))))))))))))))))))))))),BF55,FALSE),"-")</f>
        <v>BIT</v>
      </c>
      <c r="AC5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map'!$F$2063:$J$2075,))))))))))))))))))))))))))))))))),BG55,FALSE),"-")</f>
        <v>0.B</v>
      </c>
      <c r="AD5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map'!$F$2063:$J$2075,))))))))))))))))))))))))))))))))),BH55,FALSE),"-")</f>
        <v>Temperature  input module : Channel 3 cold junction compensation enable/disable</v>
      </c>
      <c r="BB55" s="5">
        <v>46</v>
      </c>
      <c r="BC55" s="5">
        <v>46</v>
      </c>
      <c r="BD55" s="5">
        <v>46</v>
      </c>
      <c r="BE55" s="5">
        <v>46</v>
      </c>
      <c r="BF55" s="5">
        <v>46</v>
      </c>
      <c r="BG55" s="5">
        <v>46</v>
      </c>
      <c r="BH55" s="5">
        <v>46</v>
      </c>
      <c r="BI55" s="5">
        <v>46</v>
      </c>
      <c r="BJ55" s="5">
        <v>46</v>
      </c>
      <c r="BK55" s="5">
        <v>46</v>
      </c>
      <c r="BL55" s="5">
        <v>46</v>
      </c>
      <c r="BM55" s="5">
        <v>46</v>
      </c>
      <c r="BN55" s="5">
        <v>46</v>
      </c>
      <c r="BO55" s="5">
        <v>46</v>
      </c>
      <c r="BP55" s="5">
        <v>46</v>
      </c>
      <c r="BQ55" s="5">
        <v>46</v>
      </c>
      <c r="BR55" s="5">
        <v>46</v>
      </c>
    </row>
    <row r="56" spans="26:70">
      <c r="Z5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map'!$F$2063:$J$2075,))))))))))))))))))))))))))))))))),BD56,FALSE),"-")</f>
        <v>-</v>
      </c>
      <c r="AA5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map'!$F$2063:$H$2075,0))))))))))))))))))))))))))))))))),BE56,FALSE),"-")</f>
        <v>-</v>
      </c>
      <c r="AB5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map'!$F$2063:$J$2075,))))))))))))))))))))))))))))))))),BF56,FALSE),"-")</f>
        <v>-</v>
      </c>
      <c r="AC5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map'!$F$2063:$J$2075,))))))))))))))))))))))))))))))))),BG56,FALSE),"-")</f>
        <v>-</v>
      </c>
      <c r="AD5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map'!$F$2063:$J$2075,))))))))))))))))))))))))))))))))),BH56,FALSE),"-")</f>
        <v>-</v>
      </c>
      <c r="BB56" s="5">
        <v>47</v>
      </c>
      <c r="BC56" s="5">
        <v>47</v>
      </c>
      <c r="BD56" s="5">
        <v>47</v>
      </c>
      <c r="BE56" s="5">
        <v>47</v>
      </c>
      <c r="BF56" s="5">
        <v>47</v>
      </c>
      <c r="BG56" s="5">
        <v>47</v>
      </c>
      <c r="BH56" s="5">
        <v>47</v>
      </c>
      <c r="BI56" s="5">
        <v>47</v>
      </c>
      <c r="BJ56" s="5">
        <v>47</v>
      </c>
      <c r="BK56" s="5">
        <v>47</v>
      </c>
      <c r="BL56" s="5">
        <v>47</v>
      </c>
      <c r="BM56" s="5">
        <v>47</v>
      </c>
      <c r="BN56" s="5">
        <v>47</v>
      </c>
      <c r="BO56" s="5">
        <v>47</v>
      </c>
      <c r="BP56" s="5">
        <v>47</v>
      </c>
      <c r="BQ56" s="5">
        <v>47</v>
      </c>
      <c r="BR56" s="5">
        <v>47</v>
      </c>
    </row>
    <row r="57" spans="26:70">
      <c r="Z5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map'!$F$2063:$J$2075,))))))))))))))))))))))))))))))))),BD57,FALSE),"-")</f>
        <v>-</v>
      </c>
      <c r="AA5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map'!$F$2063:$H$2075,0))))))))))))))))))))))))))))))))),BE57,FALSE),"-")</f>
        <v>-</v>
      </c>
      <c r="AB5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map'!$F$2063:$J$2075,))))))))))))))))))))))))))))))))),BF57,FALSE),"-")</f>
        <v>-</v>
      </c>
      <c r="AC5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map'!$F$2063:$J$2075,))))))))))))))))))))))))))))))))),BG57,FALSE),"-")</f>
        <v>-</v>
      </c>
      <c r="AD5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map'!$F$2063:$J$2075,))))))))))))))))))))))))))))))))),BH57,FALSE),"-")</f>
        <v>-</v>
      </c>
      <c r="BB57" s="5">
        <v>48</v>
      </c>
      <c r="BC57" s="5">
        <v>48</v>
      </c>
      <c r="BD57" s="5">
        <v>48</v>
      </c>
      <c r="BE57" s="5">
        <v>48</v>
      </c>
      <c r="BF57" s="5">
        <v>48</v>
      </c>
      <c r="BG57" s="5">
        <v>48</v>
      </c>
      <c r="BH57" s="5">
        <v>48</v>
      </c>
      <c r="BI57" s="5">
        <v>48</v>
      </c>
      <c r="BJ57" s="5">
        <v>48</v>
      </c>
      <c r="BK57" s="5">
        <v>48</v>
      </c>
      <c r="BL57" s="5">
        <v>48</v>
      </c>
      <c r="BM57" s="5">
        <v>48</v>
      </c>
      <c r="BN57" s="5">
        <v>48</v>
      </c>
      <c r="BO57" s="5">
        <v>48</v>
      </c>
      <c r="BP57" s="5">
        <v>48</v>
      </c>
      <c r="BQ57" s="5">
        <v>48</v>
      </c>
      <c r="BR57" s="5">
        <v>48</v>
      </c>
    </row>
    <row r="58" spans="26:70">
      <c r="Z5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map'!$F$2063:$J$2075,))))))))))))))))))))))))))))))))),BD58,FALSE),"-")</f>
        <v>-</v>
      </c>
      <c r="AA5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map'!$F$2063:$H$2075,0))))))))))))))))))))))))))))))))),BE58,FALSE),"-")</f>
        <v>-</v>
      </c>
      <c r="AB5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map'!$F$2063:$J$2075,))))))))))))))))))))))))))))))))),BF58,FALSE),"-")</f>
        <v>-</v>
      </c>
      <c r="AC5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map'!$F$2063:$J$2075,))))))))))))))))))))))))))))))))),BG58,FALSE),"-")</f>
        <v>-</v>
      </c>
      <c r="AD5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map'!$F$2063:$J$2075,))))))))))))))))))))))))))))))))),BH58,FALSE),"-")</f>
        <v>-</v>
      </c>
      <c r="BB58" s="5">
        <v>49</v>
      </c>
      <c r="BC58" s="5">
        <v>49</v>
      </c>
      <c r="BD58" s="5">
        <v>49</v>
      </c>
      <c r="BE58" s="5">
        <v>49</v>
      </c>
      <c r="BF58" s="5">
        <v>49</v>
      </c>
      <c r="BG58" s="5">
        <v>49</v>
      </c>
      <c r="BH58" s="5">
        <v>49</v>
      </c>
      <c r="BI58" s="5">
        <v>49</v>
      </c>
      <c r="BJ58" s="5">
        <v>49</v>
      </c>
      <c r="BK58" s="5">
        <v>49</v>
      </c>
      <c r="BL58" s="5">
        <v>49</v>
      </c>
      <c r="BM58" s="5">
        <v>49</v>
      </c>
      <c r="BN58" s="5">
        <v>49</v>
      </c>
      <c r="BO58" s="5">
        <v>49</v>
      </c>
      <c r="BP58" s="5">
        <v>49</v>
      </c>
      <c r="BQ58" s="5">
        <v>49</v>
      </c>
      <c r="BR58" s="5">
        <v>49</v>
      </c>
    </row>
    <row r="59" spans="26:70">
      <c r="Z5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map'!$F$2063:$J$2075,))))))))))))))))))))))))))))))))),BD59,FALSE),"-")</f>
        <v>-</v>
      </c>
      <c r="AA5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map'!$F$2063:$H$2075,0))))))))))))))))))))))))))))))))),BE59,FALSE),"-")</f>
        <v>-</v>
      </c>
      <c r="AB5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map'!$F$2063:$J$2075,))))))))))))))))))))))))))))))))),BF59,FALSE),"-")</f>
        <v>-</v>
      </c>
      <c r="AC5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map'!$F$2063:$J$2075,))))))))))))))))))))))))))))))))),BG59,FALSE),"-")</f>
        <v>-</v>
      </c>
      <c r="AD5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map'!$F$2063:$J$2075,))))))))))))))))))))))))))))))))),BH59,FALSE),"-")</f>
        <v>-</v>
      </c>
      <c r="BB59" s="5">
        <v>50</v>
      </c>
      <c r="BC59" s="5">
        <v>50</v>
      </c>
      <c r="BD59" s="5">
        <v>50</v>
      </c>
      <c r="BE59" s="5">
        <v>50</v>
      </c>
      <c r="BF59" s="5">
        <v>50</v>
      </c>
      <c r="BG59" s="5">
        <v>50</v>
      </c>
      <c r="BH59" s="5">
        <v>50</v>
      </c>
      <c r="BI59" s="5">
        <v>50</v>
      </c>
      <c r="BJ59" s="5">
        <v>50</v>
      </c>
      <c r="BK59" s="5">
        <v>50</v>
      </c>
      <c r="BL59" s="5">
        <v>50</v>
      </c>
      <c r="BM59" s="5">
        <v>50</v>
      </c>
      <c r="BN59" s="5">
        <v>50</v>
      </c>
      <c r="BO59" s="5">
        <v>50</v>
      </c>
      <c r="BP59" s="5">
        <v>50</v>
      </c>
      <c r="BQ59" s="5">
        <v>50</v>
      </c>
      <c r="BR59" s="5">
        <v>50</v>
      </c>
    </row>
    <row r="60" spans="26:70">
      <c r="Z6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map'!$F$2063:$J$2075,))))))))))))))))))))))))))))))))),BD60,FALSE),"-")</f>
        <v>-</v>
      </c>
      <c r="AA6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map'!$F$2063:$H$2075,0))))))))))))))))))))))))))))))))),BE60,FALSE),"-")</f>
        <v>-</v>
      </c>
      <c r="AB6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map'!$F$2063:$J$2075,))))))))))))))))))))))))))))))))),BF60,FALSE),"-")</f>
        <v>-</v>
      </c>
      <c r="AC60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map'!$F$2063:$J$2075,))))))))))))))))))))))))))))))))),BG60,FALSE),"-")</f>
        <v>-</v>
      </c>
      <c r="AD6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map'!$F$2063:$J$2075,))))))))))))))))))))))))))))))))),BH60,FALSE),"-")</f>
        <v>-</v>
      </c>
      <c r="BB60" s="5">
        <v>51</v>
      </c>
      <c r="BC60" s="5">
        <v>51</v>
      </c>
      <c r="BD60" s="5">
        <v>51</v>
      </c>
      <c r="BE60" s="5">
        <v>51</v>
      </c>
      <c r="BF60" s="5">
        <v>51</v>
      </c>
      <c r="BG60" s="5">
        <v>51</v>
      </c>
      <c r="BH60" s="5">
        <v>51</v>
      </c>
      <c r="BI60" s="5">
        <v>51</v>
      </c>
      <c r="BJ60" s="5">
        <v>51</v>
      </c>
      <c r="BK60" s="5">
        <v>51</v>
      </c>
      <c r="BL60" s="5">
        <v>51</v>
      </c>
      <c r="BM60" s="5">
        <v>51</v>
      </c>
      <c r="BN60" s="5">
        <v>51</v>
      </c>
      <c r="BO60" s="5">
        <v>51</v>
      </c>
      <c r="BP60" s="5">
        <v>51</v>
      </c>
      <c r="BQ60" s="5">
        <v>51</v>
      </c>
      <c r="BR60" s="5">
        <v>51</v>
      </c>
    </row>
    <row r="61" spans="26:70">
      <c r="Z6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map'!$F$2063:$J$2075,))))))))))))))))))))))))))))))))),BD61,FALSE),"-")</f>
        <v>-</v>
      </c>
      <c r="AA6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map'!$F$2063:$H$2075,0))))))))))))))))))))))))))))))))),BE61,FALSE),"-")</f>
        <v>-</v>
      </c>
      <c r="AB6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map'!$F$2063:$J$2075,))))))))))))))))))))))))))))))))),BF61,FALSE),"-")</f>
        <v>-</v>
      </c>
      <c r="AC61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map'!$F$2063:$J$2075,))))))))))))))))))))))))))))))))),BG61,FALSE),"-")</f>
        <v>-</v>
      </c>
      <c r="AD6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map'!$F$2063:$J$2075,))))))))))))))))))))))))))))))))),BH61,FALSE),"-")</f>
        <v>-</v>
      </c>
      <c r="BB61" s="5">
        <v>52</v>
      </c>
      <c r="BC61" s="5">
        <v>52</v>
      </c>
      <c r="BD61" s="5">
        <v>52</v>
      </c>
      <c r="BE61" s="5">
        <v>52</v>
      </c>
      <c r="BF61" s="5">
        <v>52</v>
      </c>
      <c r="BG61" s="5">
        <v>52</v>
      </c>
      <c r="BH61" s="5">
        <v>52</v>
      </c>
      <c r="BI61" s="5">
        <v>52</v>
      </c>
      <c r="BJ61" s="5">
        <v>52</v>
      </c>
      <c r="BK61" s="5">
        <v>52</v>
      </c>
      <c r="BL61" s="5">
        <v>52</v>
      </c>
      <c r="BM61" s="5">
        <v>52</v>
      </c>
      <c r="BN61" s="5">
        <v>52</v>
      </c>
      <c r="BO61" s="5">
        <v>52</v>
      </c>
      <c r="BP61" s="5">
        <v>52</v>
      </c>
      <c r="BQ61" s="5">
        <v>52</v>
      </c>
      <c r="BR61" s="5">
        <v>52</v>
      </c>
    </row>
    <row r="62" spans="26:70">
      <c r="Z6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map'!$F$2063:$J$2075,))))))))))))))))))))))))))))))))),BD62,FALSE),"-")</f>
        <v>-</v>
      </c>
      <c r="AA6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map'!$F$2063:$H$2075,0))))))))))))))))))))))))))))))))),BE62,FALSE),"-")</f>
        <v>-</v>
      </c>
      <c r="AB6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map'!$F$2063:$J$2075,))))))))))))))))))))))))))))))))),BF62,FALSE),"-")</f>
        <v>-</v>
      </c>
      <c r="AC62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map'!$F$2063:$J$2075,))))))))))))))))))))))))))))))))),BG62,FALSE),"-")</f>
        <v>-</v>
      </c>
      <c r="AD6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map'!$F$2063:$J$2075,))))))))))))))))))))))))))))))))),BH62,FALSE),"-")</f>
        <v>-</v>
      </c>
      <c r="BB62" s="5">
        <v>53</v>
      </c>
      <c r="BC62" s="5">
        <v>53</v>
      </c>
      <c r="BD62" s="5">
        <v>53</v>
      </c>
      <c r="BE62" s="5">
        <v>53</v>
      </c>
      <c r="BF62" s="5">
        <v>53</v>
      </c>
      <c r="BG62" s="5">
        <v>53</v>
      </c>
      <c r="BH62" s="5">
        <v>53</v>
      </c>
      <c r="BI62" s="5">
        <v>53</v>
      </c>
      <c r="BJ62" s="5">
        <v>53</v>
      </c>
      <c r="BK62" s="5">
        <v>53</v>
      </c>
      <c r="BL62" s="5">
        <v>53</v>
      </c>
      <c r="BM62" s="5">
        <v>53</v>
      </c>
      <c r="BN62" s="5">
        <v>53</v>
      </c>
      <c r="BO62" s="5">
        <v>53</v>
      </c>
      <c r="BP62" s="5">
        <v>53</v>
      </c>
      <c r="BQ62" s="5">
        <v>53</v>
      </c>
      <c r="BR62" s="5">
        <v>53</v>
      </c>
    </row>
    <row r="63" spans="26:70">
      <c r="Z6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map'!$F$2063:$J$2075,))))))))))))))))))))))))))))))))),BD63,FALSE),"-")</f>
        <v>-</v>
      </c>
      <c r="AA6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map'!$F$2063:$H$2075,0))))))))))))))))))))))))))))))))),BE63,FALSE),"-")</f>
        <v>-</v>
      </c>
      <c r="AB6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map'!$F$2063:$J$2075,))))))))))))))))))))))))))))))))),BF63,FALSE),"-")</f>
        <v>-</v>
      </c>
      <c r="AC63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map'!$F$2063:$J$2075,))))))))))))))))))))))))))))))))),BG63,FALSE),"-")</f>
        <v>-</v>
      </c>
      <c r="AD6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map'!$F$2063:$J$2075,))))))))))))))))))))))))))))))))),BH63,FALSE),"-")</f>
        <v>-</v>
      </c>
      <c r="BB63" s="5">
        <v>54</v>
      </c>
      <c r="BC63" s="5">
        <v>54</v>
      </c>
      <c r="BD63" s="5">
        <v>54</v>
      </c>
      <c r="BE63" s="5">
        <v>54</v>
      </c>
      <c r="BF63" s="5">
        <v>54</v>
      </c>
      <c r="BG63" s="5">
        <v>54</v>
      </c>
      <c r="BH63" s="5">
        <v>54</v>
      </c>
      <c r="BI63" s="5">
        <v>54</v>
      </c>
      <c r="BJ63" s="5">
        <v>54</v>
      </c>
      <c r="BK63" s="5">
        <v>54</v>
      </c>
      <c r="BL63" s="5">
        <v>54</v>
      </c>
      <c r="BM63" s="5">
        <v>54</v>
      </c>
      <c r="BN63" s="5">
        <v>54</v>
      </c>
      <c r="BO63" s="5">
        <v>54</v>
      </c>
      <c r="BP63" s="5">
        <v>54</v>
      </c>
      <c r="BQ63" s="5">
        <v>54</v>
      </c>
      <c r="BR63" s="5">
        <v>54</v>
      </c>
    </row>
    <row r="64" spans="26:70">
      <c r="Z6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map'!$F$2063:$J$2075,))))))))))))))))))))))))))))))))),BD64,FALSE),"-")</f>
        <v>-</v>
      </c>
      <c r="AA6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map'!$F$2063:$H$2075,0))))))))))))))))))))))))))))))))),BE64,FALSE),"-")</f>
        <v>-</v>
      </c>
      <c r="AB6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map'!$F$2063:$J$2075,))))))))))))))))))))))))))))))))),BF64,FALSE),"-")</f>
        <v>-</v>
      </c>
      <c r="AC6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map'!$F$2063:$J$2075,))))))))))))))))))))))))))))))))),BG64,FALSE),"-")</f>
        <v>-</v>
      </c>
      <c r="AD6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map'!$F$2063:$J$2075,))))))))))))))))))))))))))))))))),BH64,FALSE),"-")</f>
        <v>-</v>
      </c>
      <c r="BB64" s="5">
        <v>55</v>
      </c>
      <c r="BC64" s="5">
        <v>55</v>
      </c>
      <c r="BD64" s="5">
        <v>55</v>
      </c>
      <c r="BE64" s="5">
        <v>55</v>
      </c>
      <c r="BF64" s="5">
        <v>55</v>
      </c>
      <c r="BG64" s="5">
        <v>55</v>
      </c>
      <c r="BH64" s="5">
        <v>55</v>
      </c>
      <c r="BI64" s="5">
        <v>55</v>
      </c>
      <c r="BJ64" s="5">
        <v>55</v>
      </c>
      <c r="BK64" s="5">
        <v>55</v>
      </c>
      <c r="BL64" s="5">
        <v>55</v>
      </c>
      <c r="BM64" s="5">
        <v>55</v>
      </c>
      <c r="BN64" s="5">
        <v>55</v>
      </c>
      <c r="BO64" s="5">
        <v>55</v>
      </c>
      <c r="BP64" s="5">
        <v>55</v>
      </c>
      <c r="BQ64" s="5">
        <v>55</v>
      </c>
      <c r="BR64" s="5">
        <v>55</v>
      </c>
    </row>
    <row r="65" spans="26:70">
      <c r="Z6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map'!$F$2063:$J$2075,))))))))))))))))))))))))))))))))),BD65,FALSE),"-")</f>
        <v>-</v>
      </c>
      <c r="AA6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map'!$F$2063:$H$2075,0))))))))))))))))))))))))))))))))),BE65,FALSE),"-")</f>
        <v>-</v>
      </c>
      <c r="AB6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map'!$F$2063:$J$2075,))))))))))))))))))))))))))))))))),BF65,FALSE),"-")</f>
        <v>-</v>
      </c>
      <c r="AC6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map'!$F$2063:$J$2075,))))))))))))))))))))))))))))))))),BG65,FALSE),"-")</f>
        <v>-</v>
      </c>
      <c r="AD6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map'!$F$2063:$J$2075,))))))))))))))))))))))))))))))))),BH65,FALSE),"-")</f>
        <v>-</v>
      </c>
      <c r="BB65" s="5">
        <v>56</v>
      </c>
      <c r="BC65" s="5">
        <v>56</v>
      </c>
      <c r="BD65" s="5">
        <v>56</v>
      </c>
      <c r="BE65" s="5">
        <v>56</v>
      </c>
      <c r="BF65" s="5">
        <v>56</v>
      </c>
      <c r="BG65" s="5">
        <v>56</v>
      </c>
      <c r="BH65" s="5">
        <v>56</v>
      </c>
      <c r="BI65" s="5">
        <v>56</v>
      </c>
      <c r="BJ65" s="5">
        <v>56</v>
      </c>
      <c r="BK65" s="5">
        <v>56</v>
      </c>
      <c r="BL65" s="5">
        <v>56</v>
      </c>
      <c r="BM65" s="5">
        <v>56</v>
      </c>
      <c r="BN65" s="5">
        <v>56</v>
      </c>
      <c r="BO65" s="5">
        <v>56</v>
      </c>
      <c r="BP65" s="5">
        <v>56</v>
      </c>
      <c r="BQ65" s="5">
        <v>56</v>
      </c>
      <c r="BR65" s="5">
        <v>56</v>
      </c>
    </row>
    <row r="66" spans="26:70">
      <c r="Z6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map'!$F$2063:$J$2075,))))))))))))))))))))))))))))))))),BD66,FALSE),"-")</f>
        <v>-</v>
      </c>
      <c r="AA6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map'!$F$2063:$H$2075,0))))))))))))))))))))))))))))))))),BE66,FALSE),"-")</f>
        <v>-</v>
      </c>
      <c r="AB6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map'!$F$2063:$J$2075,))))))))))))))))))))))))))))))))),BF66,FALSE),"-")</f>
        <v>-</v>
      </c>
      <c r="AC6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map'!$F$2063:$J$2075,))))))))))))))))))))))))))))))))),BG66,FALSE),"-")</f>
        <v>-</v>
      </c>
      <c r="AD6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map'!$F$2063:$J$2075,))))))))))))))))))))))))))))))))),BH66,FALSE),"-")</f>
        <v>-</v>
      </c>
      <c r="BB66" s="5">
        <v>57</v>
      </c>
      <c r="BC66" s="5">
        <v>57</v>
      </c>
      <c r="BD66" s="5">
        <v>57</v>
      </c>
      <c r="BE66" s="5">
        <v>57</v>
      </c>
      <c r="BF66" s="5">
        <v>57</v>
      </c>
      <c r="BG66" s="5">
        <v>57</v>
      </c>
      <c r="BH66" s="5">
        <v>57</v>
      </c>
      <c r="BI66" s="5">
        <v>57</v>
      </c>
      <c r="BJ66" s="5">
        <v>57</v>
      </c>
      <c r="BK66" s="5">
        <v>57</v>
      </c>
      <c r="BL66" s="5">
        <v>57</v>
      </c>
      <c r="BM66" s="5">
        <v>57</v>
      </c>
      <c r="BN66" s="5">
        <v>57</v>
      </c>
      <c r="BO66" s="5">
        <v>57</v>
      </c>
      <c r="BP66" s="5">
        <v>57</v>
      </c>
      <c r="BQ66" s="5">
        <v>57</v>
      </c>
      <c r="BR66" s="5">
        <v>57</v>
      </c>
    </row>
    <row r="67" spans="26:70">
      <c r="Z6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map'!$F$2063:$J$2075,))))))))))))))))))))))))))))))))),BD67,FALSE),"-")</f>
        <v>-</v>
      </c>
      <c r="AA6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map'!$F$2063:$H$2075,0))))))))))))))))))))))))))))))))),BE67,FALSE),"-")</f>
        <v>-</v>
      </c>
      <c r="AB6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map'!$F$2063:$J$2075,))))))))))))))))))))))))))))))))),BF67,FALSE),"-")</f>
        <v>-</v>
      </c>
      <c r="AC6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map'!$F$2063:$J$2075,))))))))))))))))))))))))))))))))),BG67,FALSE),"-")</f>
        <v>-</v>
      </c>
      <c r="AD6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map'!$F$2063:$J$2075,))))))))))))))))))))))))))))))))),BH67,FALSE),"-")</f>
        <v>-</v>
      </c>
      <c r="BB67" s="5">
        <v>58</v>
      </c>
      <c r="BC67" s="5">
        <v>58</v>
      </c>
      <c r="BD67" s="5">
        <v>58</v>
      </c>
      <c r="BE67" s="5">
        <v>58</v>
      </c>
      <c r="BF67" s="5">
        <v>58</v>
      </c>
      <c r="BG67" s="5">
        <v>58</v>
      </c>
      <c r="BH67" s="5">
        <v>58</v>
      </c>
      <c r="BI67" s="5">
        <v>58</v>
      </c>
      <c r="BJ67" s="5">
        <v>58</v>
      </c>
      <c r="BK67" s="5">
        <v>58</v>
      </c>
      <c r="BL67" s="5">
        <v>58</v>
      </c>
      <c r="BM67" s="5">
        <v>58</v>
      </c>
      <c r="BN67" s="5">
        <v>58</v>
      </c>
      <c r="BO67" s="5">
        <v>58</v>
      </c>
      <c r="BP67" s="5">
        <v>58</v>
      </c>
      <c r="BQ67" s="5">
        <v>58</v>
      </c>
      <c r="BR67" s="5">
        <v>58</v>
      </c>
    </row>
    <row r="68" spans="26:70">
      <c r="Z6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map'!$F$2063:$J$2075,))))))))))))))))))))))))))))))))),BD68,FALSE),"-")</f>
        <v>-</v>
      </c>
      <c r="AA6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map'!$F$2063:$H$2075,0))))))))))))))))))))))))))))))))),BE68,FALSE),"-")</f>
        <v>-</v>
      </c>
      <c r="AB6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map'!$F$2063:$J$2075,))))))))))))))))))))))))))))))))),BF68,FALSE),"-")</f>
        <v>-</v>
      </c>
      <c r="AC6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map'!$F$2063:$J$2075,))))))))))))))))))))))))))))))))),BG68,FALSE),"-")</f>
        <v>-</v>
      </c>
      <c r="AD6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map'!$F$2063:$J$2075,))))))))))))))))))))))))))))))))),BH68,FALSE),"-")</f>
        <v>-</v>
      </c>
      <c r="BB68" s="5">
        <v>59</v>
      </c>
      <c r="BC68" s="5">
        <v>59</v>
      </c>
      <c r="BD68" s="5">
        <v>59</v>
      </c>
      <c r="BE68" s="5">
        <v>59</v>
      </c>
      <c r="BF68" s="5">
        <v>59</v>
      </c>
      <c r="BG68" s="5">
        <v>59</v>
      </c>
      <c r="BH68" s="5">
        <v>59</v>
      </c>
      <c r="BI68" s="5">
        <v>59</v>
      </c>
      <c r="BJ68" s="5">
        <v>59</v>
      </c>
      <c r="BK68" s="5">
        <v>59</v>
      </c>
      <c r="BL68" s="5">
        <v>59</v>
      </c>
      <c r="BM68" s="5">
        <v>59</v>
      </c>
      <c r="BN68" s="5">
        <v>59</v>
      </c>
      <c r="BO68" s="5">
        <v>59</v>
      </c>
      <c r="BP68" s="5">
        <v>59</v>
      </c>
      <c r="BQ68" s="5">
        <v>59</v>
      </c>
      <c r="BR68" s="5">
        <v>59</v>
      </c>
    </row>
    <row r="69" spans="26:70">
      <c r="Z6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map'!$F$2063:$J$2075,))))))))))))))))))))))))))))))))),BD69,FALSE),"-")</f>
        <v>-</v>
      </c>
      <c r="AA6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map'!$F$2063:$H$2075,0))))))))))))))))))))))))))))))))),BE69,FALSE),"-")</f>
        <v>-</v>
      </c>
      <c r="AB6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map'!$F$2063:$J$2075,))))))))))))))))))))))))))))))))),BF69,FALSE),"-")</f>
        <v>-</v>
      </c>
      <c r="AC6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map'!$F$2063:$J$2075,))))))))))))))))))))))))))))))))),BG69,FALSE),"-")</f>
        <v>-</v>
      </c>
      <c r="AD6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map'!$F$2063:$J$2075,))))))))))))))))))))))))))))))))),BH69,FALSE),"-")</f>
        <v>-</v>
      </c>
      <c r="BB69" s="5">
        <v>60</v>
      </c>
      <c r="BC69" s="5">
        <v>60</v>
      </c>
      <c r="BD69" s="5">
        <v>60</v>
      </c>
      <c r="BE69" s="5">
        <v>60</v>
      </c>
      <c r="BF69" s="5">
        <v>60</v>
      </c>
      <c r="BG69" s="5">
        <v>60</v>
      </c>
      <c r="BH69" s="5">
        <v>60</v>
      </c>
      <c r="BI69" s="5">
        <v>60</v>
      </c>
      <c r="BJ69" s="5">
        <v>60</v>
      </c>
      <c r="BK69" s="5">
        <v>60</v>
      </c>
      <c r="BL69" s="5">
        <v>60</v>
      </c>
      <c r="BM69" s="5">
        <v>60</v>
      </c>
      <c r="BN69" s="5">
        <v>60</v>
      </c>
      <c r="BO69" s="5">
        <v>60</v>
      </c>
      <c r="BP69" s="5">
        <v>60</v>
      </c>
      <c r="BQ69" s="5">
        <v>60</v>
      </c>
      <c r="BR69" s="5">
        <v>60</v>
      </c>
    </row>
    <row r="70" spans="26:70">
      <c r="Z7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map'!$F$2063:$J$2075,))))))))))))))))))))))))))))))))),BD70,FALSE),"-")</f>
        <v>-</v>
      </c>
      <c r="AA7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map'!$F$2063:$H$2075,0))))))))))))))))))))))))))))))))),BE70,FALSE),"-")</f>
        <v>-</v>
      </c>
      <c r="AB7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map'!$F$2063:$J$2075,))))))))))))))))))))))))))))))))),BF70,FALSE),"-")</f>
        <v>-</v>
      </c>
      <c r="AC70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map'!$F$2063:$J$2075,))))))))))))))))))))))))))))))))),BG70,FALSE),"-")</f>
        <v>-</v>
      </c>
      <c r="AD7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map'!$F$2063:$J$2075,))))))))))))))))))))))))))))))))),BH70,FALSE),"-")</f>
        <v>-</v>
      </c>
      <c r="BB70" s="5">
        <v>61</v>
      </c>
      <c r="BC70" s="5">
        <v>61</v>
      </c>
      <c r="BD70" s="5">
        <v>61</v>
      </c>
      <c r="BE70" s="5">
        <v>61</v>
      </c>
      <c r="BF70" s="5">
        <v>61</v>
      </c>
      <c r="BG70" s="5">
        <v>61</v>
      </c>
      <c r="BH70" s="5">
        <v>61</v>
      </c>
      <c r="BI70" s="5">
        <v>61</v>
      </c>
      <c r="BJ70" s="5">
        <v>61</v>
      </c>
      <c r="BK70" s="5">
        <v>61</v>
      </c>
      <c r="BL70" s="5">
        <v>61</v>
      </c>
      <c r="BM70" s="5">
        <v>61</v>
      </c>
      <c r="BN70" s="5">
        <v>61</v>
      </c>
      <c r="BO70" s="5">
        <v>61</v>
      </c>
      <c r="BP70" s="5">
        <v>61</v>
      </c>
      <c r="BQ70" s="5">
        <v>61</v>
      </c>
      <c r="BR70" s="5">
        <v>61</v>
      </c>
    </row>
    <row r="71" spans="26:70">
      <c r="Z7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map'!$F$2063:$J$2075,))))))))))))))))))))))))))))))))),BD71,FALSE),"-")</f>
        <v>-</v>
      </c>
      <c r="AA7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map'!$F$2063:$H$2075,0))))))))))))))))))))))))))))))))),BE71,FALSE),"-")</f>
        <v>-</v>
      </c>
      <c r="AB7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map'!$F$2063:$J$2075,))))))))))))))))))))))))))))))))),BF71,FALSE),"-")</f>
        <v>-</v>
      </c>
      <c r="AC71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map'!$F$2063:$J$2075,))))))))))))))))))))))))))))))))),BG71,FALSE),"-")</f>
        <v>-</v>
      </c>
      <c r="AD7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map'!$F$2063:$J$2075,))))))))))))))))))))))))))))))))),BH71,FALSE),"-")</f>
        <v>-</v>
      </c>
      <c r="BB71" s="5">
        <v>62</v>
      </c>
      <c r="BC71" s="5">
        <v>62</v>
      </c>
      <c r="BD71" s="5">
        <v>62</v>
      </c>
      <c r="BE71" s="5">
        <v>62</v>
      </c>
      <c r="BF71" s="5">
        <v>62</v>
      </c>
      <c r="BG71" s="5">
        <v>62</v>
      </c>
      <c r="BH71" s="5">
        <v>62</v>
      </c>
      <c r="BI71" s="5">
        <v>62</v>
      </c>
      <c r="BJ71" s="5">
        <v>62</v>
      </c>
      <c r="BK71" s="5">
        <v>62</v>
      </c>
      <c r="BL71" s="5">
        <v>62</v>
      </c>
      <c r="BM71" s="5">
        <v>62</v>
      </c>
      <c r="BN71" s="5">
        <v>62</v>
      </c>
      <c r="BO71" s="5">
        <v>62</v>
      </c>
      <c r="BP71" s="5">
        <v>62</v>
      </c>
      <c r="BQ71" s="5">
        <v>62</v>
      </c>
      <c r="BR71" s="5">
        <v>62</v>
      </c>
    </row>
    <row r="72" spans="26:70">
      <c r="Z7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map'!$F$2063:$J$2075,))))))))))))))))))))))))))))))))),BD72,FALSE),"-")</f>
        <v>-</v>
      </c>
      <c r="AA7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map'!$F$2063:$H$2075,0))))))))))))))))))))))))))))))))),BE72,FALSE),"-")</f>
        <v>-</v>
      </c>
      <c r="AB7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map'!$F$2063:$J$2075,))))))))))))))))))))))))))))))))),BF72,FALSE),"-")</f>
        <v>-</v>
      </c>
      <c r="AC72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map'!$F$2063:$J$2075,))))))))))))))))))))))))))))))))),BG72,FALSE),"-")</f>
        <v>-</v>
      </c>
      <c r="AD7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map'!$F$2063:$J$2075,))))))))))))))))))))))))))))))))),BH72,FALSE),"-")</f>
        <v>-</v>
      </c>
      <c r="BB72" s="5">
        <v>63</v>
      </c>
      <c r="BC72" s="5">
        <v>63</v>
      </c>
      <c r="BD72" s="5">
        <v>63</v>
      </c>
      <c r="BE72" s="5">
        <v>63</v>
      </c>
      <c r="BF72" s="5">
        <v>63</v>
      </c>
      <c r="BG72" s="5">
        <v>63</v>
      </c>
      <c r="BH72" s="5">
        <v>63</v>
      </c>
      <c r="BI72" s="5">
        <v>63</v>
      </c>
      <c r="BJ72" s="5">
        <v>63</v>
      </c>
      <c r="BK72" s="5">
        <v>63</v>
      </c>
      <c r="BL72" s="5">
        <v>63</v>
      </c>
      <c r="BM72" s="5">
        <v>63</v>
      </c>
      <c r="BN72" s="5">
        <v>63</v>
      </c>
      <c r="BO72" s="5">
        <v>63</v>
      </c>
      <c r="BP72" s="5">
        <v>63</v>
      </c>
      <c r="BQ72" s="5">
        <v>63</v>
      </c>
      <c r="BR72" s="5">
        <v>63</v>
      </c>
    </row>
    <row r="73" spans="26:70">
      <c r="Z7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map'!$F$2063:$J$2075,))))))))))))))))))))))))))))))))),BD73,FALSE),"-")</f>
        <v>-</v>
      </c>
      <c r="AA7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map'!$F$2063:$H$2075,0))))))))))))))))))))))))))))))))),BE73,FALSE),"-")</f>
        <v>-</v>
      </c>
      <c r="AB7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map'!$F$2063:$J$2075,))))))))))))))))))))))))))))))))),BF73,FALSE),"-")</f>
        <v>-</v>
      </c>
      <c r="AC73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map'!$F$2063:$J$2075,))))))))))))))))))))))))))))))))),BG73,FALSE),"-")</f>
        <v>-</v>
      </c>
      <c r="AD7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map'!$F$2063:$J$2075,))))))))))))))))))))))))))))))))),BH73,FALSE),"-")</f>
        <v>-</v>
      </c>
      <c r="BB73" s="5">
        <v>64</v>
      </c>
      <c r="BC73" s="5">
        <v>64</v>
      </c>
      <c r="BD73" s="5">
        <v>64</v>
      </c>
      <c r="BE73" s="5">
        <v>64</v>
      </c>
      <c r="BF73" s="5">
        <v>64</v>
      </c>
      <c r="BG73" s="5">
        <v>64</v>
      </c>
      <c r="BH73" s="5">
        <v>64</v>
      </c>
      <c r="BI73" s="5">
        <v>64</v>
      </c>
      <c r="BJ73" s="5">
        <v>64</v>
      </c>
      <c r="BK73" s="5">
        <v>64</v>
      </c>
      <c r="BL73" s="5">
        <v>64</v>
      </c>
      <c r="BM73" s="5">
        <v>64</v>
      </c>
      <c r="BN73" s="5">
        <v>64</v>
      </c>
      <c r="BO73" s="5">
        <v>64</v>
      </c>
      <c r="BP73" s="5">
        <v>64</v>
      </c>
      <c r="BQ73" s="5">
        <v>64</v>
      </c>
      <c r="BR73" s="5">
        <v>64</v>
      </c>
    </row>
    <row r="74" spans="26:70">
      <c r="Z7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map'!$F$2063:$J$2075,))))))))))))))))))))))))))))))))),BD74,FALSE),"-")</f>
        <v>-</v>
      </c>
      <c r="AA7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map'!$F$2063:$H$2075,0))))))))))))))))))))))))))))))))),BE74,FALSE),"-")</f>
        <v>-</v>
      </c>
      <c r="AB7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map'!$F$2063:$J$2075,))))))))))))))))))))))))))))))))),BF74,FALSE),"-")</f>
        <v>-</v>
      </c>
      <c r="AC7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map'!$F$2063:$J$2075,))))))))))))))))))))))))))))))))),BG74,FALSE),"-")</f>
        <v>-</v>
      </c>
      <c r="AD7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map'!$F$2063:$J$2075,))))))))))))))))))))))))))))))))),BH74,FALSE),"-")</f>
        <v>-</v>
      </c>
      <c r="BB74" s="5">
        <v>65</v>
      </c>
      <c r="BC74" s="5">
        <v>65</v>
      </c>
      <c r="BD74" s="5">
        <v>65</v>
      </c>
      <c r="BE74" s="5">
        <v>65</v>
      </c>
      <c r="BF74" s="5">
        <v>65</v>
      </c>
      <c r="BG74" s="5">
        <v>65</v>
      </c>
      <c r="BH74" s="5">
        <v>65</v>
      </c>
      <c r="BI74" s="5">
        <v>65</v>
      </c>
      <c r="BJ74" s="5">
        <v>65</v>
      </c>
      <c r="BK74" s="5">
        <v>65</v>
      </c>
      <c r="BL74" s="5">
        <v>65</v>
      </c>
      <c r="BM74" s="5">
        <v>65</v>
      </c>
      <c r="BN74" s="5">
        <v>65</v>
      </c>
      <c r="BO74" s="5">
        <v>65</v>
      </c>
      <c r="BP74" s="5">
        <v>65</v>
      </c>
      <c r="BQ74" s="5">
        <v>65</v>
      </c>
      <c r="BR74" s="5">
        <v>65</v>
      </c>
    </row>
    <row r="75" spans="26:70">
      <c r="Z7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map'!$F$2063:$J$2075,))))))))))))))))))))))))))))))))),BD75,FALSE),"-")</f>
        <v>-</v>
      </c>
      <c r="AA7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map'!$F$2063:$H$2075,0))))))))))))))))))))))))))))))))),BE75,FALSE),"-")</f>
        <v>-</v>
      </c>
      <c r="AB7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map'!$F$2063:$J$2075,))))))))))))))))))))))))))))))))),BF75,FALSE),"-")</f>
        <v>-</v>
      </c>
      <c r="AC7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map'!$F$2063:$J$2075,))))))))))))))))))))))))))))))))),BG75,FALSE),"-")</f>
        <v>-</v>
      </c>
      <c r="AD7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map'!$F$2063:$J$2075,))))))))))))))))))))))))))))))))),BH75,FALSE),"-")</f>
        <v>-</v>
      </c>
      <c r="BB75" s="5">
        <v>66</v>
      </c>
      <c r="BC75" s="5">
        <v>66</v>
      </c>
      <c r="BD75" s="5">
        <v>66</v>
      </c>
      <c r="BE75" s="5">
        <v>66</v>
      </c>
      <c r="BF75" s="5">
        <v>66</v>
      </c>
      <c r="BG75" s="5">
        <v>66</v>
      </c>
      <c r="BH75" s="5">
        <v>66</v>
      </c>
      <c r="BI75" s="5">
        <v>66</v>
      </c>
      <c r="BJ75" s="5">
        <v>66</v>
      </c>
      <c r="BK75" s="5">
        <v>66</v>
      </c>
      <c r="BL75" s="5">
        <v>66</v>
      </c>
      <c r="BM75" s="5">
        <v>66</v>
      </c>
      <c r="BN75" s="5">
        <v>66</v>
      </c>
      <c r="BO75" s="5">
        <v>66</v>
      </c>
      <c r="BP75" s="5">
        <v>66</v>
      </c>
      <c r="BQ75" s="5">
        <v>66</v>
      </c>
      <c r="BR75" s="5">
        <v>66</v>
      </c>
    </row>
    <row r="76" spans="26:70">
      <c r="Z7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map'!$F$2063:$J$2075,))))))))))))))))))))))))))))))))),BD76,FALSE),"-")</f>
        <v>-</v>
      </c>
      <c r="AA7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map'!$F$2063:$H$2075,0))))))))))))))))))))))))))))))))),BE76,FALSE),"-")</f>
        <v>-</v>
      </c>
      <c r="AB7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map'!$F$2063:$J$2075,))))))))))))))))))))))))))))))))),BF76,FALSE),"-")</f>
        <v>-</v>
      </c>
      <c r="AC7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map'!$F$2063:$J$2075,))))))))))))))))))))))))))))))))),BG76,FALSE),"-")</f>
        <v>-</v>
      </c>
      <c r="AD7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map'!$F$2063:$J$2075,))))))))))))))))))))))))))))))))),BH76,FALSE),"-")</f>
        <v>-</v>
      </c>
      <c r="BB76" s="5">
        <v>67</v>
      </c>
      <c r="BC76" s="5">
        <v>67</v>
      </c>
      <c r="BD76" s="5">
        <v>67</v>
      </c>
      <c r="BE76" s="5">
        <v>67</v>
      </c>
      <c r="BF76" s="5">
        <v>67</v>
      </c>
      <c r="BG76" s="5">
        <v>67</v>
      </c>
      <c r="BH76" s="5">
        <v>67</v>
      </c>
      <c r="BI76" s="5">
        <v>67</v>
      </c>
      <c r="BJ76" s="5">
        <v>67</v>
      </c>
      <c r="BK76" s="5">
        <v>67</v>
      </c>
      <c r="BL76" s="5">
        <v>67</v>
      </c>
      <c r="BM76" s="5">
        <v>67</v>
      </c>
      <c r="BN76" s="5">
        <v>67</v>
      </c>
      <c r="BO76" s="5">
        <v>67</v>
      </c>
      <c r="BP76" s="5">
        <v>67</v>
      </c>
      <c r="BQ76" s="5">
        <v>67</v>
      </c>
      <c r="BR76" s="5">
        <v>67</v>
      </c>
    </row>
    <row r="77" spans="26:70">
      <c r="Z7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map'!$F$2063:$J$2075,))))))))))))))))))))))))))))))))),BD77,FALSE),"-")</f>
        <v>-</v>
      </c>
      <c r="AA7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map'!$F$2063:$H$2075,0))))))))))))))))))))))))))))))))),BE77,FALSE),"-")</f>
        <v>-</v>
      </c>
      <c r="AB7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map'!$F$2063:$J$2075,))))))))))))))))))))))))))))))))),BF77,FALSE),"-")</f>
        <v>-</v>
      </c>
      <c r="AC7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map'!$F$2063:$J$2075,))))))))))))))))))))))))))))))))),BG77,FALSE),"-")</f>
        <v>-</v>
      </c>
      <c r="AD7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map'!$F$2063:$J$2075,))))))))))))))))))))))))))))))))),BH77,FALSE),"-")</f>
        <v>-</v>
      </c>
      <c r="BB77" s="5">
        <v>68</v>
      </c>
      <c r="BC77" s="5">
        <v>68</v>
      </c>
      <c r="BD77" s="5">
        <v>68</v>
      </c>
      <c r="BE77" s="5">
        <v>68</v>
      </c>
      <c r="BF77" s="5">
        <v>68</v>
      </c>
      <c r="BG77" s="5">
        <v>68</v>
      </c>
      <c r="BH77" s="5">
        <v>68</v>
      </c>
      <c r="BI77" s="5">
        <v>68</v>
      </c>
      <c r="BJ77" s="5">
        <v>68</v>
      </c>
      <c r="BK77" s="5">
        <v>68</v>
      </c>
      <c r="BL77" s="5">
        <v>68</v>
      </c>
      <c r="BM77" s="5">
        <v>68</v>
      </c>
      <c r="BN77" s="5">
        <v>68</v>
      </c>
      <c r="BO77" s="5">
        <v>68</v>
      </c>
      <c r="BP77" s="5">
        <v>68</v>
      </c>
      <c r="BQ77" s="5">
        <v>68</v>
      </c>
      <c r="BR77" s="5">
        <v>68</v>
      </c>
    </row>
    <row r="78" spans="26:70">
      <c r="Z7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map'!$F$2063:$J$2075,))))))))))))))))))))))))))))))))),BD78,FALSE),"-")</f>
        <v>-</v>
      </c>
      <c r="AA7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map'!$F$2063:$H$2075,0))))))))))))))))))))))))))))))))),BE78,FALSE),"-")</f>
        <v>-</v>
      </c>
      <c r="AB7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map'!$F$2063:$J$2075,))))))))))))))))))))))))))))))))),BF78,FALSE),"-")</f>
        <v>-</v>
      </c>
      <c r="AC7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map'!$F$2063:$J$2075,))))))))))))))))))))))))))))))))),BG78,FALSE),"-")</f>
        <v>-</v>
      </c>
      <c r="AD7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map'!$F$2063:$J$2075,))))))))))))))))))))))))))))))))),BH78,FALSE),"-")</f>
        <v>-</v>
      </c>
      <c r="BB78" s="5">
        <v>69</v>
      </c>
      <c r="BC78" s="5">
        <v>69</v>
      </c>
      <c r="BD78" s="5">
        <v>69</v>
      </c>
      <c r="BE78" s="5">
        <v>69</v>
      </c>
      <c r="BF78" s="5">
        <v>69</v>
      </c>
      <c r="BG78" s="5">
        <v>69</v>
      </c>
      <c r="BH78" s="5">
        <v>69</v>
      </c>
      <c r="BI78" s="5">
        <v>69</v>
      </c>
      <c r="BJ78" s="5">
        <v>69</v>
      </c>
      <c r="BK78" s="5">
        <v>69</v>
      </c>
      <c r="BL78" s="5">
        <v>69</v>
      </c>
      <c r="BM78" s="5">
        <v>69</v>
      </c>
      <c r="BN78" s="5">
        <v>69</v>
      </c>
      <c r="BO78" s="5">
        <v>69</v>
      </c>
      <c r="BP78" s="5">
        <v>69</v>
      </c>
      <c r="BQ78" s="5">
        <v>69</v>
      </c>
      <c r="BR78" s="5">
        <v>69</v>
      </c>
    </row>
    <row r="79" spans="26:70">
      <c r="Z7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map'!$F$2063:$J$2075,))))))))))))))))))))))))))))))))),BD79,FALSE),"-")</f>
        <v>-</v>
      </c>
      <c r="AA7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map'!$F$2063:$H$2075,0))))))))))))))))))))))))))))))))),BE79,FALSE),"-")</f>
        <v>-</v>
      </c>
      <c r="AB7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map'!$F$2063:$J$2075,))))))))))))))))))))))))))))))))),BF79,FALSE),"-")</f>
        <v>-</v>
      </c>
      <c r="AC7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map'!$F$2063:$J$2075,))))))))))))))))))))))))))))))))),BG79,FALSE),"-")</f>
        <v>-</v>
      </c>
      <c r="AD7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map'!$F$2063:$J$2075,))))))))))))))))))))))))))))))))),BH79,FALSE),"-")</f>
        <v>-</v>
      </c>
      <c r="BB79" s="5">
        <v>70</v>
      </c>
      <c r="BC79" s="5">
        <v>70</v>
      </c>
      <c r="BD79" s="5">
        <v>70</v>
      </c>
      <c r="BE79" s="5">
        <v>70</v>
      </c>
      <c r="BF79" s="5">
        <v>70</v>
      </c>
      <c r="BG79" s="5">
        <v>70</v>
      </c>
      <c r="BH79" s="5">
        <v>70</v>
      </c>
      <c r="BI79" s="5">
        <v>70</v>
      </c>
      <c r="BJ79" s="5">
        <v>70</v>
      </c>
      <c r="BK79" s="5">
        <v>70</v>
      </c>
      <c r="BL79" s="5">
        <v>70</v>
      </c>
      <c r="BM79" s="5">
        <v>70</v>
      </c>
      <c r="BN79" s="5">
        <v>70</v>
      </c>
      <c r="BO79" s="5">
        <v>70</v>
      </c>
      <c r="BP79" s="5">
        <v>70</v>
      </c>
      <c r="BQ79" s="5">
        <v>70</v>
      </c>
      <c r="BR79" s="5">
        <v>70</v>
      </c>
    </row>
    <row r="80" spans="26:70">
      <c r="Z8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map'!$F$2063:$J$2075,))))))))))))))))))))))))))))))))),BD80,FALSE),"-")</f>
        <v>-</v>
      </c>
      <c r="AA8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map'!$F$2063:$H$2075,0))))))))))))))))))))))))))))))))),BE80,FALSE),"-")</f>
        <v>-</v>
      </c>
      <c r="AB8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map'!$F$2063:$J$2075,))))))))))))))))))))))))))))))))),BF80,FALSE),"-")</f>
        <v>-</v>
      </c>
      <c r="AC80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map'!$F$2063:$J$2075,))))))))))))))))))))))))))))))))),BG80,FALSE),"-")</f>
        <v>-</v>
      </c>
      <c r="AD8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map'!$F$2063:$J$2075,))))))))))))))))))))))))))))))))),BH80,FALSE),"-")</f>
        <v>-</v>
      </c>
      <c r="BB80" s="5">
        <v>71</v>
      </c>
      <c r="BC80" s="5">
        <v>71</v>
      </c>
      <c r="BD80" s="5">
        <v>71</v>
      </c>
      <c r="BE80" s="5">
        <v>71</v>
      </c>
      <c r="BF80" s="5">
        <v>71</v>
      </c>
      <c r="BG80" s="5">
        <v>71</v>
      </c>
      <c r="BH80" s="5">
        <v>71</v>
      </c>
      <c r="BI80" s="5">
        <v>71</v>
      </c>
      <c r="BJ80" s="5">
        <v>71</v>
      </c>
      <c r="BK80" s="5">
        <v>71</v>
      </c>
      <c r="BL80" s="5">
        <v>71</v>
      </c>
      <c r="BM80" s="5">
        <v>71</v>
      </c>
      <c r="BN80" s="5">
        <v>71</v>
      </c>
      <c r="BO80" s="5">
        <v>71</v>
      </c>
      <c r="BP80" s="5">
        <v>71</v>
      </c>
      <c r="BQ80" s="5">
        <v>71</v>
      </c>
      <c r="BR80" s="5">
        <v>71</v>
      </c>
    </row>
    <row r="81" spans="26:70">
      <c r="Z8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map'!$F$2063:$J$2075,))))))))))))))))))))))))))))))))),BD81,FALSE),"-")</f>
        <v>-</v>
      </c>
      <c r="AA8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map'!$F$2063:$H$2075,0))))))))))))))))))))))))))))))))),BE81,FALSE),"-")</f>
        <v>-</v>
      </c>
      <c r="AB8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map'!$F$2063:$J$2075,))))))))))))))))))))))))))))))))),BF81,FALSE),"-")</f>
        <v>-</v>
      </c>
      <c r="AC81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map'!$F$2063:$J$2075,))))))))))))))))))))))))))))))))),BG81,FALSE),"-")</f>
        <v>-</v>
      </c>
      <c r="AD8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map'!$F$2063:$J$2075,))))))))))))))))))))))))))))))))),BH81,FALSE),"-")</f>
        <v>-</v>
      </c>
      <c r="BB81" s="5">
        <v>72</v>
      </c>
      <c r="BC81" s="5">
        <v>72</v>
      </c>
      <c r="BD81" s="5">
        <v>72</v>
      </c>
      <c r="BE81" s="5">
        <v>72</v>
      </c>
      <c r="BF81" s="5">
        <v>72</v>
      </c>
      <c r="BG81" s="5">
        <v>72</v>
      </c>
      <c r="BH81" s="5">
        <v>72</v>
      </c>
      <c r="BI81" s="5">
        <v>72</v>
      </c>
      <c r="BJ81" s="5">
        <v>72</v>
      </c>
      <c r="BK81" s="5">
        <v>72</v>
      </c>
      <c r="BL81" s="5">
        <v>72</v>
      </c>
      <c r="BM81" s="5">
        <v>72</v>
      </c>
      <c r="BN81" s="5">
        <v>72</v>
      </c>
      <c r="BO81" s="5">
        <v>72</v>
      </c>
      <c r="BP81" s="5">
        <v>72</v>
      </c>
      <c r="BQ81" s="5">
        <v>72</v>
      </c>
      <c r="BR81" s="5">
        <v>72</v>
      </c>
    </row>
    <row r="82" spans="26:70">
      <c r="Z8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map'!$F$2063:$J$2075,))))))))))))))))))))))))))))))))),BD82,FALSE),"-")</f>
        <v>-</v>
      </c>
      <c r="AA8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map'!$F$2063:$H$2075,0))))))))))))))))))))))))))))))))),BE82,FALSE),"-")</f>
        <v>-</v>
      </c>
      <c r="AB8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map'!$F$2063:$J$2075,))))))))))))))))))))))))))))))))),BF82,FALSE),"-")</f>
        <v>-</v>
      </c>
      <c r="AC82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map'!$F$2063:$J$2075,))))))))))))))))))))))))))))))))),BG82,FALSE),"-")</f>
        <v>-</v>
      </c>
      <c r="AD8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map'!$F$2063:$J$2075,))))))))))))))))))))))))))))))))),BH82,FALSE),"-")</f>
        <v>-</v>
      </c>
      <c r="BB82" s="5">
        <v>73</v>
      </c>
      <c r="BC82" s="5">
        <v>73</v>
      </c>
      <c r="BD82" s="5">
        <v>73</v>
      </c>
      <c r="BE82" s="5">
        <v>73</v>
      </c>
      <c r="BF82" s="5">
        <v>73</v>
      </c>
      <c r="BG82" s="5">
        <v>73</v>
      </c>
      <c r="BH82" s="5">
        <v>73</v>
      </c>
      <c r="BI82" s="5">
        <v>73</v>
      </c>
      <c r="BJ82" s="5">
        <v>73</v>
      </c>
      <c r="BK82" s="5">
        <v>73</v>
      </c>
      <c r="BL82" s="5">
        <v>73</v>
      </c>
      <c r="BM82" s="5">
        <v>73</v>
      </c>
      <c r="BN82" s="5">
        <v>73</v>
      </c>
      <c r="BO82" s="5">
        <v>73</v>
      </c>
      <c r="BP82" s="5">
        <v>73</v>
      </c>
      <c r="BQ82" s="5">
        <v>73</v>
      </c>
      <c r="BR82" s="5">
        <v>73</v>
      </c>
    </row>
    <row r="83" spans="26:70">
      <c r="Z8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map'!$F$2063:$J$2075,))))))))))))))))))))))))))))))))),BD83,FALSE),"-")</f>
        <v>-</v>
      </c>
      <c r="AA8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map'!$F$2063:$H$2075,0))))))))))))))))))))))))))))))))),BE83,FALSE),"-")</f>
        <v>-</v>
      </c>
      <c r="AB8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map'!$F$2063:$J$2075,))))))))))))))))))))))))))))))))),BF83,FALSE),"-")</f>
        <v>-</v>
      </c>
      <c r="AC83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map'!$F$2063:$J$2075,))))))))))))))))))))))))))))))))),BG83,FALSE),"-")</f>
        <v>-</v>
      </c>
      <c r="AD8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map'!$F$2063:$J$2075,))))))))))))))))))))))))))))))))),BH83,FALSE),"-")</f>
        <v>-</v>
      </c>
      <c r="BB83" s="5">
        <v>74</v>
      </c>
      <c r="BC83" s="5">
        <v>74</v>
      </c>
      <c r="BD83" s="5">
        <v>74</v>
      </c>
      <c r="BE83" s="5">
        <v>74</v>
      </c>
      <c r="BF83" s="5">
        <v>74</v>
      </c>
      <c r="BG83" s="5">
        <v>74</v>
      </c>
      <c r="BH83" s="5">
        <v>74</v>
      </c>
      <c r="BI83" s="5">
        <v>74</v>
      </c>
      <c r="BJ83" s="5">
        <v>74</v>
      </c>
      <c r="BK83" s="5">
        <v>74</v>
      </c>
      <c r="BL83" s="5">
        <v>74</v>
      </c>
      <c r="BM83" s="5">
        <v>74</v>
      </c>
      <c r="BN83" s="5">
        <v>74</v>
      </c>
      <c r="BO83" s="5">
        <v>74</v>
      </c>
      <c r="BP83" s="5">
        <v>74</v>
      </c>
      <c r="BQ83" s="5">
        <v>74</v>
      </c>
      <c r="BR83" s="5">
        <v>74</v>
      </c>
    </row>
    <row r="84" spans="26:70">
      <c r="Z8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map'!$F$2063:$J$2075,))))))))))))))))))))))))))))))))),BD84,FALSE),"-")</f>
        <v>-</v>
      </c>
      <c r="AA8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map'!$F$2063:$H$2075,0))))))))))))))))))))))))))))))))),BE84,FALSE),"-")</f>
        <v>-</v>
      </c>
      <c r="AB8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map'!$F$2063:$J$2075,))))))))))))))))))))))))))))))))),BF84,FALSE),"-")</f>
        <v>-</v>
      </c>
      <c r="AC8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map'!$F$2063:$J$2075,))))))))))))))))))))))))))))))))),BG84,FALSE),"-")</f>
        <v>-</v>
      </c>
      <c r="AD8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map'!$F$2063:$J$2075,))))))))))))))))))))))))))))))))),BH84,FALSE),"-")</f>
        <v>-</v>
      </c>
      <c r="BB84" s="5">
        <v>75</v>
      </c>
      <c r="BC84" s="5">
        <v>75</v>
      </c>
      <c r="BD84" s="5">
        <v>75</v>
      </c>
      <c r="BE84" s="5">
        <v>75</v>
      </c>
      <c r="BF84" s="5">
        <v>75</v>
      </c>
      <c r="BG84" s="5">
        <v>75</v>
      </c>
      <c r="BH84" s="5">
        <v>75</v>
      </c>
      <c r="BI84" s="5">
        <v>75</v>
      </c>
      <c r="BJ84" s="5">
        <v>75</v>
      </c>
      <c r="BK84" s="5">
        <v>75</v>
      </c>
      <c r="BL84" s="5">
        <v>75</v>
      </c>
      <c r="BM84" s="5">
        <v>75</v>
      </c>
      <c r="BN84" s="5">
        <v>75</v>
      </c>
      <c r="BO84" s="5">
        <v>75</v>
      </c>
      <c r="BP84" s="5">
        <v>75</v>
      </c>
      <c r="BQ84" s="5">
        <v>75</v>
      </c>
      <c r="BR84" s="5">
        <v>75</v>
      </c>
    </row>
    <row r="85" spans="26:70">
      <c r="Z8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map'!$F$2063:$J$2075,))))))))))))))))))))))))))))))))),BD85,FALSE),"-")</f>
        <v>-</v>
      </c>
      <c r="AA8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map'!$F$2063:$H$2075,0))))))))))))))))))))))))))))))))),BE85,FALSE),"-")</f>
        <v>-</v>
      </c>
      <c r="AB8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map'!$F$2063:$J$2075,))))))))))))))))))))))))))))))))),BF85,FALSE),"-")</f>
        <v>-</v>
      </c>
      <c r="AC8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map'!$F$2063:$J$2075,))))))))))))))))))))))))))))))))),BG85,FALSE),"-")</f>
        <v>-</v>
      </c>
      <c r="AD8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map'!$F$2063:$J$2075,))))))))))))))))))))))))))))))))),BH85,FALSE),"-")</f>
        <v>-</v>
      </c>
      <c r="BB85" s="5">
        <v>76</v>
      </c>
      <c r="BC85" s="5">
        <v>76</v>
      </c>
      <c r="BD85" s="5">
        <v>76</v>
      </c>
      <c r="BE85" s="5">
        <v>76</v>
      </c>
      <c r="BF85" s="5">
        <v>76</v>
      </c>
      <c r="BG85" s="5">
        <v>76</v>
      </c>
      <c r="BH85" s="5">
        <v>76</v>
      </c>
      <c r="BI85" s="5">
        <v>76</v>
      </c>
      <c r="BJ85" s="5">
        <v>76</v>
      </c>
      <c r="BK85" s="5">
        <v>76</v>
      </c>
      <c r="BL85" s="5">
        <v>76</v>
      </c>
      <c r="BM85" s="5">
        <v>76</v>
      </c>
      <c r="BN85" s="5">
        <v>76</v>
      </c>
      <c r="BO85" s="5">
        <v>76</v>
      </c>
      <c r="BP85" s="5">
        <v>76</v>
      </c>
      <c r="BQ85" s="5">
        <v>76</v>
      </c>
      <c r="BR85" s="5">
        <v>76</v>
      </c>
    </row>
    <row r="86" spans="26:70">
      <c r="Z8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map'!$F$2063:$J$2075,))))))))))))))))))))))))))))))))),BD86,FALSE),"-")</f>
        <v>-</v>
      </c>
      <c r="AA8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map'!$F$2063:$H$2075,0))))))))))))))))))))))))))))))))),BE86,FALSE),"-")</f>
        <v>-</v>
      </c>
      <c r="AB8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map'!$F$2063:$J$2075,))))))))))))))))))))))))))))))))),BF86,FALSE),"-")</f>
        <v>-</v>
      </c>
      <c r="AC8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map'!$F$2063:$J$2075,))))))))))))))))))))))))))))))))),BG86,FALSE),"-")</f>
        <v>-</v>
      </c>
      <c r="AD8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map'!$F$2063:$J$2075,))))))))))))))))))))))))))))))))),BH86,FALSE),"-")</f>
        <v>-</v>
      </c>
      <c r="BB86" s="5">
        <v>77</v>
      </c>
      <c r="BC86" s="5">
        <v>77</v>
      </c>
      <c r="BD86" s="5">
        <v>77</v>
      </c>
      <c r="BE86" s="5">
        <v>77</v>
      </c>
      <c r="BF86" s="5">
        <v>77</v>
      </c>
      <c r="BG86" s="5">
        <v>77</v>
      </c>
      <c r="BH86" s="5">
        <v>77</v>
      </c>
      <c r="BI86" s="5">
        <v>77</v>
      </c>
      <c r="BJ86" s="5">
        <v>77</v>
      </c>
      <c r="BK86" s="5">
        <v>77</v>
      </c>
      <c r="BL86" s="5">
        <v>77</v>
      </c>
      <c r="BM86" s="5">
        <v>77</v>
      </c>
      <c r="BN86" s="5">
        <v>77</v>
      </c>
      <c r="BO86" s="5">
        <v>77</v>
      </c>
      <c r="BP86" s="5">
        <v>77</v>
      </c>
      <c r="BQ86" s="5">
        <v>77</v>
      </c>
      <c r="BR86" s="5">
        <v>77</v>
      </c>
    </row>
    <row r="87" spans="26:70">
      <c r="Z8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map'!$F$2063:$J$2075,))))))))))))))))))))))))))))))))),BD87,FALSE),"-")</f>
        <v>-</v>
      </c>
      <c r="AA8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map'!$F$2063:$H$2075,0))))))))))))))))))))))))))))))))),BE87,FALSE),"-")</f>
        <v>-</v>
      </c>
      <c r="AB8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map'!$F$2063:$J$2075,))))))))))))))))))))))))))))))))),BF87,FALSE),"-")</f>
        <v>-</v>
      </c>
      <c r="AC8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map'!$F$2063:$J$2075,))))))))))))))))))))))))))))))))),BG87,FALSE),"-")</f>
        <v>-</v>
      </c>
      <c r="AD8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map'!$F$2063:$J$2075,))))))))))))))))))))))))))))))))),BH87,FALSE),"-")</f>
        <v>-</v>
      </c>
      <c r="BB87" s="5">
        <v>78</v>
      </c>
      <c r="BC87" s="5">
        <v>78</v>
      </c>
      <c r="BD87" s="5">
        <v>78</v>
      </c>
      <c r="BE87" s="5">
        <v>78</v>
      </c>
      <c r="BF87" s="5">
        <v>78</v>
      </c>
      <c r="BG87" s="5">
        <v>78</v>
      </c>
      <c r="BH87" s="5">
        <v>78</v>
      </c>
      <c r="BI87" s="5">
        <v>78</v>
      </c>
      <c r="BJ87" s="5">
        <v>78</v>
      </c>
      <c r="BK87" s="5">
        <v>78</v>
      </c>
      <c r="BL87" s="5">
        <v>78</v>
      </c>
      <c r="BM87" s="5">
        <v>78</v>
      </c>
      <c r="BN87" s="5">
        <v>78</v>
      </c>
      <c r="BO87" s="5">
        <v>78</v>
      </c>
      <c r="BP87" s="5">
        <v>78</v>
      </c>
      <c r="BQ87" s="5">
        <v>78</v>
      </c>
      <c r="BR87" s="5">
        <v>78</v>
      </c>
    </row>
    <row r="88" spans="26:70">
      <c r="Z8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map'!$F$2063:$J$2075,))))))))))))))))))))))))))))))))),BD88,FALSE),"-")</f>
        <v>-</v>
      </c>
      <c r="AA8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map'!$F$2063:$H$2075,0))))))))))))))))))))))))))))))))),BE88,FALSE),"-")</f>
        <v>-</v>
      </c>
      <c r="AB8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map'!$F$2063:$J$2075,))))))))))))))))))))))))))))))))),BF88,FALSE),"-")</f>
        <v>-</v>
      </c>
      <c r="AC8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map'!$F$2063:$J$2075,))))))))))))))))))))))))))))))))),BG88,FALSE),"-")</f>
        <v>-</v>
      </c>
      <c r="AD8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map'!$F$2063:$J$2075,))))))))))))))))))))))))))))))))),BH88,FALSE),"-")</f>
        <v>-</v>
      </c>
      <c r="BB88" s="5">
        <v>79</v>
      </c>
      <c r="BC88" s="5">
        <v>79</v>
      </c>
      <c r="BD88" s="5">
        <v>79</v>
      </c>
      <c r="BE88" s="5">
        <v>79</v>
      </c>
      <c r="BF88" s="5">
        <v>79</v>
      </c>
      <c r="BG88" s="5">
        <v>79</v>
      </c>
      <c r="BH88" s="5">
        <v>79</v>
      </c>
      <c r="BI88" s="5">
        <v>79</v>
      </c>
      <c r="BJ88" s="5">
        <v>79</v>
      </c>
      <c r="BK88" s="5">
        <v>79</v>
      </c>
      <c r="BL88" s="5">
        <v>79</v>
      </c>
      <c r="BM88" s="5">
        <v>79</v>
      </c>
      <c r="BN88" s="5">
        <v>79</v>
      </c>
      <c r="BO88" s="5">
        <v>79</v>
      </c>
      <c r="BP88" s="5">
        <v>79</v>
      </c>
      <c r="BQ88" s="5">
        <v>79</v>
      </c>
      <c r="BR88" s="5">
        <v>79</v>
      </c>
    </row>
    <row r="89" spans="26:70">
      <c r="Z8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map'!$F$2063:$J$2075,))))))))))))))))))))))))))))))))),BD89,FALSE),"-")</f>
        <v>-</v>
      </c>
      <c r="AA8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map'!$F$2063:$H$2075,0))))))))))))))))))))))))))))))))),BE89,FALSE),"-")</f>
        <v>-</v>
      </c>
      <c r="AB8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map'!$F$2063:$J$2075,))))))))))))))))))))))))))))))))),BF89,FALSE),"-")</f>
        <v>-</v>
      </c>
      <c r="AC8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map'!$F$2063:$J$2075,))))))))))))))))))))))))))))))))),BG89,FALSE),"-")</f>
        <v>-</v>
      </c>
      <c r="AD8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map'!$F$2063:$J$2075,))))))))))))))))))))))))))))))))),BH89,FALSE),"-")</f>
        <v>-</v>
      </c>
      <c r="BB89" s="5">
        <v>80</v>
      </c>
      <c r="BC89" s="5">
        <v>80</v>
      </c>
      <c r="BD89" s="5">
        <v>80</v>
      </c>
      <c r="BE89" s="5">
        <v>80</v>
      </c>
      <c r="BF89" s="5">
        <v>80</v>
      </c>
      <c r="BG89" s="5">
        <v>80</v>
      </c>
      <c r="BH89" s="5">
        <v>80</v>
      </c>
      <c r="BI89" s="5">
        <v>80</v>
      </c>
      <c r="BJ89" s="5">
        <v>80</v>
      </c>
      <c r="BK89" s="5">
        <v>80</v>
      </c>
      <c r="BL89" s="5">
        <v>80</v>
      </c>
      <c r="BM89" s="5">
        <v>80</v>
      </c>
      <c r="BN89" s="5">
        <v>80</v>
      </c>
      <c r="BO89" s="5">
        <v>80</v>
      </c>
      <c r="BP89" s="5">
        <v>80</v>
      </c>
      <c r="BQ89" s="5">
        <v>80</v>
      </c>
      <c r="BR89" s="5">
        <v>80</v>
      </c>
    </row>
    <row r="90" spans="26:70">
      <c r="Z9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map'!$F$2063:$J$2075,))))))))))))))))))))))))))))))))),BD90,FALSE),"-")</f>
        <v>-</v>
      </c>
      <c r="AA9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map'!$F$2063:$H$2075,0))))))))))))))))))))))))))))))))),BE90,FALSE),"-")</f>
        <v>-</v>
      </c>
      <c r="AB9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map'!$F$2063:$J$2075,))))))))))))))))))))))))))))))))),BF90,FALSE),"-")</f>
        <v>-</v>
      </c>
      <c r="AC90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map'!$F$2063:$J$2075,))))))))))))))))))))))))))))))))),BG90,FALSE),"-")</f>
        <v>-</v>
      </c>
      <c r="AD9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map'!$F$2063:$J$2075,))))))))))))))))))))))))))))))))),BH90,FALSE),"-")</f>
        <v>-</v>
      </c>
      <c r="BB90" s="5">
        <v>81</v>
      </c>
      <c r="BC90" s="5">
        <v>81</v>
      </c>
      <c r="BD90" s="5">
        <v>81</v>
      </c>
      <c r="BE90" s="5">
        <v>81</v>
      </c>
      <c r="BF90" s="5">
        <v>81</v>
      </c>
      <c r="BG90" s="5">
        <v>81</v>
      </c>
      <c r="BH90" s="5">
        <v>81</v>
      </c>
      <c r="BI90" s="5">
        <v>81</v>
      </c>
      <c r="BJ90" s="5">
        <v>81</v>
      </c>
      <c r="BK90" s="5">
        <v>81</v>
      </c>
      <c r="BL90" s="5">
        <v>81</v>
      </c>
      <c r="BM90" s="5">
        <v>81</v>
      </c>
      <c r="BN90" s="5">
        <v>81</v>
      </c>
      <c r="BO90" s="5">
        <v>81</v>
      </c>
      <c r="BP90" s="5">
        <v>81</v>
      </c>
      <c r="BQ90" s="5">
        <v>81</v>
      </c>
      <c r="BR90" s="5">
        <v>81</v>
      </c>
    </row>
    <row r="91" spans="26:70">
      <c r="Z9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map'!$F$2063:$J$2075,))))))))))))))))))))))))))))))))),BD91,FALSE),"-")</f>
        <v>-</v>
      </c>
      <c r="AA9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map'!$F$2063:$H$2075,0))))))))))))))))))))))))))))))))),BE91,FALSE),"-")</f>
        <v>-</v>
      </c>
      <c r="AB9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map'!$F$2063:$J$2075,))))))))))))))))))))))))))))))))),BF91,FALSE),"-")</f>
        <v>-</v>
      </c>
      <c r="AC91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map'!$F$2063:$J$2075,))))))))))))))))))))))))))))))))),BG91,FALSE),"-")</f>
        <v>-</v>
      </c>
      <c r="AD9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map'!$F$2063:$J$2075,))))))))))))))))))))))))))))))))),BH91,FALSE),"-")</f>
        <v>-</v>
      </c>
      <c r="BB91" s="5">
        <v>82</v>
      </c>
      <c r="BC91" s="5">
        <v>82</v>
      </c>
      <c r="BD91" s="5">
        <v>82</v>
      </c>
      <c r="BE91" s="5">
        <v>82</v>
      </c>
      <c r="BF91" s="5">
        <v>82</v>
      </c>
      <c r="BG91" s="5">
        <v>82</v>
      </c>
      <c r="BH91" s="5">
        <v>82</v>
      </c>
      <c r="BI91" s="5">
        <v>82</v>
      </c>
      <c r="BJ91" s="5">
        <v>82</v>
      </c>
      <c r="BK91" s="5">
        <v>82</v>
      </c>
      <c r="BL91" s="5">
        <v>82</v>
      </c>
      <c r="BM91" s="5">
        <v>82</v>
      </c>
      <c r="BN91" s="5">
        <v>82</v>
      </c>
      <c r="BO91" s="5">
        <v>82</v>
      </c>
      <c r="BP91" s="5">
        <v>82</v>
      </c>
      <c r="BQ91" s="5">
        <v>82</v>
      </c>
      <c r="BR91" s="5">
        <v>82</v>
      </c>
    </row>
    <row r="92" spans="26:70">
      <c r="Z9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map'!$F$2063:$J$2075,))))))))))))))))))))))))))))))))),BD92,FALSE),"-")</f>
        <v>-</v>
      </c>
      <c r="AA9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map'!$F$2063:$H$2075,0))))))))))))))))))))))))))))))))),BE92,FALSE),"-")</f>
        <v>-</v>
      </c>
      <c r="AB9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map'!$F$2063:$J$2075,))))))))))))))))))))))))))))))))),BF92,FALSE),"-")</f>
        <v>-</v>
      </c>
      <c r="AC92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map'!$F$2063:$J$2075,))))))))))))))))))))))))))))))))),BG92,FALSE),"-")</f>
        <v>-</v>
      </c>
      <c r="AD9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map'!$F$2063:$J$2075,))))))))))))))))))))))))))))))))),BH92,FALSE),"-")</f>
        <v>-</v>
      </c>
      <c r="BB92" s="5">
        <v>83</v>
      </c>
      <c r="BC92" s="5">
        <v>83</v>
      </c>
      <c r="BD92" s="5">
        <v>83</v>
      </c>
      <c r="BE92" s="5">
        <v>83</v>
      </c>
      <c r="BF92" s="5">
        <v>83</v>
      </c>
      <c r="BG92" s="5">
        <v>83</v>
      </c>
      <c r="BH92" s="5">
        <v>83</v>
      </c>
      <c r="BI92" s="5">
        <v>83</v>
      </c>
      <c r="BJ92" s="5">
        <v>83</v>
      </c>
      <c r="BK92" s="5">
        <v>83</v>
      </c>
      <c r="BL92" s="5">
        <v>83</v>
      </c>
      <c r="BM92" s="5">
        <v>83</v>
      </c>
      <c r="BN92" s="5">
        <v>83</v>
      </c>
      <c r="BO92" s="5">
        <v>83</v>
      </c>
      <c r="BP92" s="5">
        <v>83</v>
      </c>
      <c r="BQ92" s="5">
        <v>83</v>
      </c>
      <c r="BR92" s="5">
        <v>83</v>
      </c>
    </row>
    <row r="93" spans="26:70">
      <c r="Z9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map'!$F$2063:$J$2075,))))))))))))))))))))))))))))))))),BD93,FALSE),"-")</f>
        <v>-</v>
      </c>
      <c r="AA9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map'!$F$2063:$H$2075,0))))))))))))))))))))))))))))))))),BE93,FALSE),"-")</f>
        <v>-</v>
      </c>
      <c r="AB9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map'!$F$2063:$J$2075,))))))))))))))))))))))))))))))))),BF93,FALSE),"-")</f>
        <v>-</v>
      </c>
      <c r="AC93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map'!$F$2063:$J$2075,))))))))))))))))))))))))))))))))),BG93,FALSE),"-")</f>
        <v>-</v>
      </c>
      <c r="AD9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map'!$F$2063:$J$2075,))))))))))))))))))))))))))))))))),BH93,FALSE),"-")</f>
        <v>-</v>
      </c>
      <c r="BB93" s="5">
        <v>84</v>
      </c>
      <c r="BC93" s="5">
        <v>84</v>
      </c>
      <c r="BD93" s="5">
        <v>84</v>
      </c>
      <c r="BE93" s="5">
        <v>84</v>
      </c>
      <c r="BF93" s="5">
        <v>84</v>
      </c>
      <c r="BG93" s="5">
        <v>84</v>
      </c>
      <c r="BH93" s="5">
        <v>84</v>
      </c>
      <c r="BI93" s="5">
        <v>84</v>
      </c>
      <c r="BJ93" s="5">
        <v>84</v>
      </c>
      <c r="BK93" s="5">
        <v>84</v>
      </c>
      <c r="BL93" s="5">
        <v>84</v>
      </c>
      <c r="BM93" s="5">
        <v>84</v>
      </c>
      <c r="BN93" s="5">
        <v>84</v>
      </c>
      <c r="BO93" s="5">
        <v>84</v>
      </c>
      <c r="BP93" s="5">
        <v>84</v>
      </c>
      <c r="BQ93" s="5">
        <v>84</v>
      </c>
      <c r="BR93" s="5">
        <v>84</v>
      </c>
    </row>
    <row r="94" spans="26:70">
      <c r="Z9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map'!$F$2063:$J$2075,))))))))))))))))))))))))))))))))),BD94,FALSE),"-")</f>
        <v>-</v>
      </c>
      <c r="AA9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map'!$F$2063:$H$2075,0))))))))))))))))))))))))))))))))),BE94,FALSE),"-")</f>
        <v>-</v>
      </c>
      <c r="AB9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map'!$F$2063:$J$2075,))))))))))))))))))))))))))))))))),BF94,FALSE),"-")</f>
        <v>-</v>
      </c>
      <c r="AC9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map'!$F$2063:$J$2075,))))))))))))))))))))))))))))))))),BG94,FALSE),"-")</f>
        <v>-</v>
      </c>
      <c r="AD9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map'!$F$2063:$J$2075,))))))))))))))))))))))))))))))))),BH94,FALSE),"-")</f>
        <v>-</v>
      </c>
      <c r="BB94" s="5">
        <v>85</v>
      </c>
      <c r="BC94" s="5">
        <v>85</v>
      </c>
      <c r="BD94" s="5">
        <v>85</v>
      </c>
      <c r="BE94" s="5">
        <v>85</v>
      </c>
      <c r="BF94" s="5">
        <v>85</v>
      </c>
      <c r="BG94" s="5">
        <v>85</v>
      </c>
      <c r="BH94" s="5">
        <v>85</v>
      </c>
      <c r="BI94" s="5">
        <v>85</v>
      </c>
      <c r="BJ94" s="5">
        <v>85</v>
      </c>
      <c r="BK94" s="5">
        <v>85</v>
      </c>
      <c r="BL94" s="5">
        <v>85</v>
      </c>
      <c r="BM94" s="5">
        <v>85</v>
      </c>
      <c r="BN94" s="5">
        <v>85</v>
      </c>
      <c r="BO94" s="5">
        <v>85</v>
      </c>
      <c r="BP94" s="5">
        <v>85</v>
      </c>
      <c r="BQ94" s="5">
        <v>85</v>
      </c>
      <c r="BR94" s="5">
        <v>85</v>
      </c>
    </row>
    <row r="95" spans="26:70">
      <c r="Z9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map'!$F$2063:$J$2075,))))))))))))))))))))))))))))))))),BD95,FALSE),"-")</f>
        <v>-</v>
      </c>
      <c r="AA9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map'!$F$2063:$H$2075,0))))))))))))))))))))))))))))))))),BE95,FALSE),"-")</f>
        <v>-</v>
      </c>
      <c r="AB9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map'!$F$2063:$J$2075,))))))))))))))))))))))))))))))))),BF95,FALSE),"-")</f>
        <v>-</v>
      </c>
      <c r="AC9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map'!$F$2063:$J$2075,))))))))))))))))))))))))))))))))),BG95,FALSE),"-")</f>
        <v>-</v>
      </c>
      <c r="AD9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map'!$F$2063:$J$2075,))))))))))))))))))))))))))))))))),BH95,FALSE),"-")</f>
        <v>-</v>
      </c>
      <c r="BB95" s="5">
        <v>86</v>
      </c>
      <c r="BC95" s="5">
        <v>86</v>
      </c>
      <c r="BD95" s="5">
        <v>86</v>
      </c>
      <c r="BE95" s="5">
        <v>86</v>
      </c>
      <c r="BF95" s="5">
        <v>86</v>
      </c>
      <c r="BG95" s="5">
        <v>86</v>
      </c>
      <c r="BH95" s="5">
        <v>86</v>
      </c>
      <c r="BI95" s="5">
        <v>86</v>
      </c>
      <c r="BJ95" s="5">
        <v>86</v>
      </c>
      <c r="BK95" s="5">
        <v>86</v>
      </c>
      <c r="BL95" s="5">
        <v>86</v>
      </c>
      <c r="BM95" s="5">
        <v>86</v>
      </c>
      <c r="BN95" s="5">
        <v>86</v>
      </c>
      <c r="BO95" s="5">
        <v>86</v>
      </c>
      <c r="BP95" s="5">
        <v>86</v>
      </c>
      <c r="BQ95" s="5">
        <v>86</v>
      </c>
      <c r="BR95" s="5">
        <v>86</v>
      </c>
    </row>
    <row r="96" spans="26:70">
      <c r="Z9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map'!$F$2063:$J$2075,))))))))))))))))))))))))))))))))),BD96,FALSE),"-")</f>
        <v>-</v>
      </c>
      <c r="AA9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map'!$F$2063:$H$2075,0))))))))))))))))))))))))))))))))),BE96,FALSE),"-")</f>
        <v>-</v>
      </c>
      <c r="AB9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map'!$F$2063:$J$2075,))))))))))))))))))))))))))))))))),BF96,FALSE),"-")</f>
        <v>-</v>
      </c>
      <c r="AC9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map'!$F$2063:$J$2075,))))))))))))))))))))))))))))))))),BG96,FALSE),"-")</f>
        <v>-</v>
      </c>
      <c r="AD9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map'!$F$2063:$J$2075,))))))))))))))))))))))))))))))))),BH96,FALSE),"-")</f>
        <v>-</v>
      </c>
      <c r="BB96" s="5">
        <v>87</v>
      </c>
      <c r="BC96" s="5">
        <v>87</v>
      </c>
      <c r="BD96" s="5">
        <v>87</v>
      </c>
      <c r="BE96" s="5">
        <v>87</v>
      </c>
      <c r="BF96" s="5">
        <v>87</v>
      </c>
      <c r="BG96" s="5">
        <v>87</v>
      </c>
      <c r="BH96" s="5">
        <v>87</v>
      </c>
      <c r="BI96" s="5">
        <v>87</v>
      </c>
      <c r="BJ96" s="5">
        <v>87</v>
      </c>
      <c r="BK96" s="5">
        <v>87</v>
      </c>
      <c r="BL96" s="5">
        <v>87</v>
      </c>
      <c r="BM96" s="5">
        <v>87</v>
      </c>
      <c r="BN96" s="5">
        <v>87</v>
      </c>
      <c r="BO96" s="5">
        <v>87</v>
      </c>
      <c r="BP96" s="5">
        <v>87</v>
      </c>
      <c r="BQ96" s="5">
        <v>87</v>
      </c>
      <c r="BR96" s="5">
        <v>87</v>
      </c>
    </row>
    <row r="97" spans="26:70">
      <c r="Z9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map'!$F$2063:$J$2075,))))))))))))))))))))))))))))))))),BD97,FALSE),"-")</f>
        <v>-</v>
      </c>
      <c r="AA9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map'!$F$2063:$H$2075,0))))))))))))))))))))))))))))))))),BE97,FALSE),"-")</f>
        <v>-</v>
      </c>
      <c r="AB9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map'!$F$2063:$J$2075,))))))))))))))))))))))))))))))))),BF97,FALSE),"-")</f>
        <v>-</v>
      </c>
      <c r="AC9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map'!$F$2063:$J$2075,))))))))))))))))))))))))))))))))),BG97,FALSE),"-")</f>
        <v>-</v>
      </c>
      <c r="AD9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map'!$F$2063:$J$2075,))))))))))))))))))))))))))))))))),BH97,FALSE),"-")</f>
        <v>-</v>
      </c>
      <c r="BB97" s="5">
        <v>88</v>
      </c>
      <c r="BC97" s="5">
        <v>88</v>
      </c>
      <c r="BD97" s="5">
        <v>88</v>
      </c>
      <c r="BE97" s="5">
        <v>88</v>
      </c>
      <c r="BF97" s="5">
        <v>88</v>
      </c>
      <c r="BG97" s="5">
        <v>88</v>
      </c>
      <c r="BH97" s="5">
        <v>88</v>
      </c>
      <c r="BI97" s="5">
        <v>88</v>
      </c>
      <c r="BJ97" s="5">
        <v>88</v>
      </c>
      <c r="BK97" s="5">
        <v>88</v>
      </c>
      <c r="BL97" s="5">
        <v>88</v>
      </c>
      <c r="BM97" s="5">
        <v>88</v>
      </c>
      <c r="BN97" s="5">
        <v>88</v>
      </c>
      <c r="BO97" s="5">
        <v>88</v>
      </c>
      <c r="BP97" s="5">
        <v>88</v>
      </c>
      <c r="BQ97" s="5">
        <v>88</v>
      </c>
      <c r="BR97" s="5">
        <v>88</v>
      </c>
    </row>
    <row r="98" spans="26:70">
      <c r="Z9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map'!$F$2063:$J$2075,))))))))))))))))))))))))))))))))),BD98,FALSE),"-")</f>
        <v>-</v>
      </c>
      <c r="AA9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map'!$F$2063:$H$2075,0))))))))))))))))))))))))))))))))),BE98,FALSE),"-")</f>
        <v>-</v>
      </c>
      <c r="AB9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map'!$F$2063:$J$2075,))))))))))))))))))))))))))))))))),BF98,FALSE),"-")</f>
        <v>-</v>
      </c>
      <c r="AC9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map'!$F$2063:$J$2075,))))))))))))))))))))))))))))))))),BG98,FALSE),"-")</f>
        <v>-</v>
      </c>
      <c r="AD9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map'!$F$2063:$J$2075,))))))))))))))))))))))))))))))))),BH98,FALSE),"-")</f>
        <v>-</v>
      </c>
      <c r="BB98" s="5">
        <v>89</v>
      </c>
      <c r="BC98" s="5">
        <v>89</v>
      </c>
      <c r="BD98" s="5">
        <v>89</v>
      </c>
      <c r="BE98" s="5">
        <v>89</v>
      </c>
      <c r="BF98" s="5">
        <v>89</v>
      </c>
      <c r="BG98" s="5">
        <v>89</v>
      </c>
      <c r="BH98" s="5">
        <v>89</v>
      </c>
      <c r="BI98" s="5">
        <v>89</v>
      </c>
      <c r="BJ98" s="5">
        <v>89</v>
      </c>
      <c r="BK98" s="5">
        <v>89</v>
      </c>
      <c r="BL98" s="5">
        <v>89</v>
      </c>
      <c r="BM98" s="5">
        <v>89</v>
      </c>
      <c r="BN98" s="5">
        <v>89</v>
      </c>
      <c r="BO98" s="5">
        <v>89</v>
      </c>
      <c r="BP98" s="5">
        <v>89</v>
      </c>
      <c r="BQ98" s="5">
        <v>89</v>
      </c>
      <c r="BR98" s="5">
        <v>89</v>
      </c>
    </row>
    <row r="99" spans="26:70">
      <c r="Z9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map'!$F$2063:$J$2075,))))))))))))))))))))))))))))))))),BD99,FALSE),"-")</f>
        <v>-</v>
      </c>
      <c r="AA9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map'!$F$2063:$H$2075,0))))))))))))))))))))))))))))))))),BE99,FALSE),"-")</f>
        <v>-</v>
      </c>
      <c r="AB9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map'!$F$2063:$J$2075,))))))))))))))))))))))))))))))))),BF99,FALSE),"-")</f>
        <v>-</v>
      </c>
      <c r="AC9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map'!$F$2063:$J$2075,))))))))))))))))))))))))))))))))),BG99,FALSE),"-")</f>
        <v>-</v>
      </c>
      <c r="AD9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map'!$F$2063:$J$2075,))))))))))))))))))))))))))))))))),BH99,FALSE),"-")</f>
        <v>-</v>
      </c>
      <c r="BB99" s="5">
        <v>90</v>
      </c>
      <c r="BC99" s="5">
        <v>90</v>
      </c>
      <c r="BD99" s="5">
        <v>90</v>
      </c>
      <c r="BE99" s="5">
        <v>90</v>
      </c>
      <c r="BF99" s="5">
        <v>90</v>
      </c>
      <c r="BG99" s="5">
        <v>90</v>
      </c>
      <c r="BH99" s="5">
        <v>90</v>
      </c>
      <c r="BI99" s="5">
        <v>90</v>
      </c>
      <c r="BJ99" s="5">
        <v>90</v>
      </c>
      <c r="BK99" s="5">
        <v>90</v>
      </c>
      <c r="BL99" s="5">
        <v>90</v>
      </c>
      <c r="BM99" s="5">
        <v>90</v>
      </c>
      <c r="BN99" s="5">
        <v>90</v>
      </c>
      <c r="BO99" s="5">
        <v>90</v>
      </c>
      <c r="BP99" s="5">
        <v>90</v>
      </c>
      <c r="BQ99" s="5">
        <v>90</v>
      </c>
      <c r="BR99" s="5">
        <v>90</v>
      </c>
    </row>
    <row r="100" spans="26:70">
      <c r="Z100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map'!$F$2063:$J$2075,))))))))))))))))))))))))))))))))),BD100,FALSE),"-")</f>
        <v>-</v>
      </c>
      <c r="AA100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map'!$F$2063:$H$2075,0))))))))))))))))))))))))))))))))),BE100,FALSE),"-")</f>
        <v>-</v>
      </c>
      <c r="AB100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map'!$F$2063:$J$2075,))))))))))))))))))))))))))))))))),BF100,FALSE),"-")</f>
        <v>-</v>
      </c>
      <c r="AC100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map'!$F$2063:$J$2075,))))))))))))))))))))))))))))))))),BG100,FALSE),"-")</f>
        <v>-</v>
      </c>
      <c r="AD100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map'!$F$2063:$J$2075,))))))))))))))))))))))))))))))))),BH100,FALSE),"-")</f>
        <v>-</v>
      </c>
      <c r="BB100" s="5">
        <v>91</v>
      </c>
      <c r="BC100" s="5">
        <v>91</v>
      </c>
      <c r="BD100" s="5">
        <v>91</v>
      </c>
      <c r="BE100" s="5">
        <v>91</v>
      </c>
      <c r="BF100" s="5">
        <v>91</v>
      </c>
      <c r="BG100" s="5">
        <v>91</v>
      </c>
      <c r="BH100" s="5">
        <v>91</v>
      </c>
      <c r="BI100" s="5">
        <v>91</v>
      </c>
      <c r="BJ100" s="5">
        <v>91</v>
      </c>
      <c r="BK100" s="5">
        <v>91</v>
      </c>
      <c r="BL100" s="5">
        <v>91</v>
      </c>
      <c r="BM100" s="5">
        <v>91</v>
      </c>
      <c r="BN100" s="5">
        <v>91</v>
      </c>
      <c r="BO100" s="5">
        <v>91</v>
      </c>
      <c r="BP100" s="5">
        <v>91</v>
      </c>
      <c r="BQ100" s="5">
        <v>91</v>
      </c>
      <c r="BR100" s="5">
        <v>91</v>
      </c>
    </row>
    <row r="101" spans="26:70">
      <c r="Z101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map'!$F$2063:$J$2075,))))))))))))))))))))))))))))))))),BD101,FALSE),"-")</f>
        <v>-</v>
      </c>
      <c r="AA101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map'!$F$2063:$H$2075,0))))))))))))))))))))))))))))))))),BE101,FALSE),"-")</f>
        <v>-</v>
      </c>
      <c r="AB101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map'!$F$2063:$J$2075,))))))))))))))))))))))))))))))))),BF101,FALSE),"-")</f>
        <v>-</v>
      </c>
      <c r="AC101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map'!$F$2063:$J$2075,))))))))))))))))))))))))))))))))),BG101,FALSE),"-")</f>
        <v>-</v>
      </c>
      <c r="AD101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map'!$F$2063:$J$2075,))))))))))))))))))))))))))))))))),BH101,FALSE),"-")</f>
        <v>-</v>
      </c>
      <c r="BB101" s="5">
        <v>92</v>
      </c>
      <c r="BC101" s="5">
        <v>92</v>
      </c>
      <c r="BD101" s="5">
        <v>92</v>
      </c>
      <c r="BE101" s="5">
        <v>92</v>
      </c>
      <c r="BF101" s="5">
        <v>92</v>
      </c>
      <c r="BG101" s="5">
        <v>92</v>
      </c>
      <c r="BH101" s="5">
        <v>92</v>
      </c>
      <c r="BI101" s="5">
        <v>92</v>
      </c>
      <c r="BJ101" s="5">
        <v>92</v>
      </c>
      <c r="BK101" s="5">
        <v>92</v>
      </c>
      <c r="BL101" s="5">
        <v>92</v>
      </c>
      <c r="BM101" s="5">
        <v>92</v>
      </c>
      <c r="BN101" s="5">
        <v>92</v>
      </c>
      <c r="BO101" s="5">
        <v>92</v>
      </c>
      <c r="BP101" s="5">
        <v>92</v>
      </c>
      <c r="BQ101" s="5">
        <v>92</v>
      </c>
      <c r="BR101" s="5">
        <v>92</v>
      </c>
    </row>
    <row r="102" spans="26:70">
      <c r="Z102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map'!$F$2063:$J$2075,))))))))))))))))))))))))))))))))),BD102,FALSE),"-")</f>
        <v>-</v>
      </c>
      <c r="AA102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map'!$F$2063:$H$2075,0))))))))))))))))))))))))))))))))),BE102,FALSE),"-")</f>
        <v>-</v>
      </c>
      <c r="AB102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map'!$F$2063:$J$2075,))))))))))))))))))))))))))))))))),BF102,FALSE),"-")</f>
        <v>-</v>
      </c>
      <c r="AC102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map'!$F$2063:$J$2075,))))))))))))))))))))))))))))))))),BG102,FALSE),"-")</f>
        <v>-</v>
      </c>
      <c r="AD102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map'!$F$2063:$J$2075,))))))))))))))))))))))))))))))))),BH102,FALSE),"-")</f>
        <v>-</v>
      </c>
      <c r="BB102" s="5">
        <v>93</v>
      </c>
      <c r="BC102" s="5">
        <v>93</v>
      </c>
      <c r="BD102" s="5">
        <v>93</v>
      </c>
      <c r="BE102" s="5">
        <v>93</v>
      </c>
      <c r="BF102" s="5">
        <v>93</v>
      </c>
      <c r="BG102" s="5">
        <v>93</v>
      </c>
      <c r="BH102" s="5">
        <v>93</v>
      </c>
      <c r="BI102" s="5">
        <v>93</v>
      </c>
      <c r="BJ102" s="5">
        <v>93</v>
      </c>
      <c r="BK102" s="5">
        <v>93</v>
      </c>
      <c r="BL102" s="5">
        <v>93</v>
      </c>
      <c r="BM102" s="5">
        <v>93</v>
      </c>
      <c r="BN102" s="5">
        <v>93</v>
      </c>
      <c r="BO102" s="5">
        <v>93</v>
      </c>
      <c r="BP102" s="5">
        <v>93</v>
      </c>
      <c r="BQ102" s="5">
        <v>93</v>
      </c>
      <c r="BR102" s="5">
        <v>93</v>
      </c>
    </row>
    <row r="103" spans="26:70">
      <c r="Z103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map'!$F$2063:$J$2075,))))))))))))))))))))))))))))))))),BD103,FALSE),"-")</f>
        <v>-</v>
      </c>
      <c r="AA103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map'!$F$2063:$H$2075,0))))))))))))))))))))))))))))))))),BE103,FALSE),"-")</f>
        <v>-</v>
      </c>
      <c r="AB103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map'!$F$2063:$J$2075,))))))))))))))))))))))))))))))))),BF103,FALSE),"-")</f>
        <v>-</v>
      </c>
      <c r="AC103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map'!$F$2063:$J$2075,))))))))))))))))))))))))))))))))),BG103,FALSE),"-")</f>
        <v>-</v>
      </c>
      <c r="AD103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map'!$F$2063:$J$2075,))))))))))))))))))))))))))))))))),BH103,FALSE),"-")</f>
        <v>-</v>
      </c>
      <c r="BB103" s="5">
        <v>94</v>
      </c>
      <c r="BC103" s="5">
        <v>94</v>
      </c>
      <c r="BD103" s="5">
        <v>94</v>
      </c>
      <c r="BE103" s="5">
        <v>94</v>
      </c>
      <c r="BF103" s="5">
        <v>94</v>
      </c>
      <c r="BG103" s="5">
        <v>94</v>
      </c>
      <c r="BH103" s="5">
        <v>94</v>
      </c>
      <c r="BI103" s="5">
        <v>94</v>
      </c>
      <c r="BJ103" s="5">
        <v>94</v>
      </c>
      <c r="BK103" s="5">
        <v>94</v>
      </c>
      <c r="BL103" s="5">
        <v>94</v>
      </c>
      <c r="BM103" s="5">
        <v>94</v>
      </c>
      <c r="BN103" s="5">
        <v>94</v>
      </c>
      <c r="BO103" s="5">
        <v>94</v>
      </c>
      <c r="BP103" s="5">
        <v>94</v>
      </c>
      <c r="BQ103" s="5">
        <v>94</v>
      </c>
      <c r="BR103" s="5">
        <v>94</v>
      </c>
    </row>
    <row r="104" spans="26:70">
      <c r="Z104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map'!$F$2063:$J$2075,))))))))))))))))))))))))))))))))),BD104,FALSE),"-")</f>
        <v>-</v>
      </c>
      <c r="AA104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map'!$F$2063:$H$2075,0))))))))))))))))))))))))))))))))),BE104,FALSE),"-")</f>
        <v>-</v>
      </c>
      <c r="AB104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map'!$F$2063:$J$2075,))))))))))))))))))))))))))))))))),BF104,FALSE),"-")</f>
        <v>-</v>
      </c>
      <c r="AC104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map'!$F$2063:$J$2075,))))))))))))))))))))))))))))))))),BG104,FALSE),"-")</f>
        <v>-</v>
      </c>
      <c r="AD104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map'!$F$2063:$J$2075,))))))))))))))))))))))))))))))))),BH104,FALSE),"-")</f>
        <v>-</v>
      </c>
      <c r="BB104" s="5">
        <v>95</v>
      </c>
      <c r="BC104" s="5">
        <v>95</v>
      </c>
      <c r="BD104" s="5">
        <v>95</v>
      </c>
      <c r="BE104" s="5">
        <v>95</v>
      </c>
      <c r="BF104" s="5">
        <v>95</v>
      </c>
      <c r="BG104" s="5">
        <v>95</v>
      </c>
      <c r="BH104" s="5">
        <v>95</v>
      </c>
      <c r="BI104" s="5">
        <v>95</v>
      </c>
      <c r="BJ104" s="5">
        <v>95</v>
      </c>
      <c r="BK104" s="5">
        <v>95</v>
      </c>
      <c r="BL104" s="5">
        <v>95</v>
      </c>
      <c r="BM104" s="5">
        <v>95</v>
      </c>
      <c r="BN104" s="5">
        <v>95</v>
      </c>
      <c r="BO104" s="5">
        <v>95</v>
      </c>
      <c r="BP104" s="5">
        <v>95</v>
      </c>
      <c r="BQ104" s="5">
        <v>95</v>
      </c>
      <c r="BR104" s="5">
        <v>95</v>
      </c>
    </row>
    <row r="105" spans="26:70">
      <c r="Z105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map'!$F$2063:$J$2075,))))))))))))))))))))))))))))))))),BD105,FALSE),"-")</f>
        <v>-</v>
      </c>
      <c r="AA105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map'!$F$2063:$H$2075,0))))))))))))))))))))))))))))))))),BE105,FALSE),"-")</f>
        <v>-</v>
      </c>
      <c r="AB105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map'!$F$2063:$J$2075,))))))))))))))))))))))))))))))))),BF105,FALSE),"-")</f>
        <v>-</v>
      </c>
      <c r="AC105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map'!$F$2063:$J$2075,))))))))))))))))))))))))))))))))),BG105,FALSE),"-")</f>
        <v>-</v>
      </c>
      <c r="AD105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map'!$F$2063:$J$2075,))))))))))))))))))))))))))))))))),BH105,FALSE),"-")</f>
        <v>-</v>
      </c>
      <c r="BB105" s="5">
        <v>96</v>
      </c>
      <c r="BC105" s="5">
        <v>96</v>
      </c>
      <c r="BD105" s="5">
        <v>96</v>
      </c>
      <c r="BE105" s="5">
        <v>96</v>
      </c>
      <c r="BF105" s="5">
        <v>96</v>
      </c>
      <c r="BG105" s="5">
        <v>96</v>
      </c>
      <c r="BH105" s="5">
        <v>96</v>
      </c>
      <c r="BI105" s="5">
        <v>96</v>
      </c>
      <c r="BJ105" s="5">
        <v>96</v>
      </c>
      <c r="BK105" s="5">
        <v>96</v>
      </c>
      <c r="BL105" s="5">
        <v>96</v>
      </c>
      <c r="BM105" s="5">
        <v>96</v>
      </c>
      <c r="BN105" s="5">
        <v>96</v>
      </c>
      <c r="BO105" s="5">
        <v>96</v>
      </c>
      <c r="BP105" s="5">
        <v>96</v>
      </c>
      <c r="BQ105" s="5">
        <v>96</v>
      </c>
      <c r="BR105" s="5">
        <v>96</v>
      </c>
    </row>
    <row r="106" spans="26:70">
      <c r="Z106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map'!$F$2063:$J$2075,))))))))))))))))))))))))))))))))),BD106,FALSE),"-")</f>
        <v>-</v>
      </c>
      <c r="AA106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map'!$F$2063:$H$2075,0))))))))))))))))))))))))))))))))),BE106,FALSE),"-")</f>
        <v>-</v>
      </c>
      <c r="AB106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map'!$F$2063:$J$2075,))))))))))))))))))))))))))))))))),BF106,FALSE),"-")</f>
        <v>-</v>
      </c>
      <c r="AC106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map'!$F$2063:$J$2075,))))))))))))))))))))))))))))))))),BG106,FALSE),"-")</f>
        <v>-</v>
      </c>
      <c r="AD106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map'!$F$2063:$J$2075,))))))))))))))))))))))))))))))))),BH106,FALSE),"-")</f>
        <v>-</v>
      </c>
      <c r="BB106" s="5">
        <v>97</v>
      </c>
      <c r="BC106" s="5">
        <v>97</v>
      </c>
      <c r="BD106" s="5">
        <v>97</v>
      </c>
      <c r="BE106" s="5">
        <v>97</v>
      </c>
      <c r="BF106" s="5">
        <v>97</v>
      </c>
      <c r="BG106" s="5">
        <v>97</v>
      </c>
      <c r="BH106" s="5">
        <v>97</v>
      </c>
      <c r="BI106" s="5">
        <v>97</v>
      </c>
      <c r="BJ106" s="5">
        <v>97</v>
      </c>
      <c r="BK106" s="5">
        <v>97</v>
      </c>
      <c r="BL106" s="5">
        <v>97</v>
      </c>
      <c r="BM106" s="5">
        <v>97</v>
      </c>
      <c r="BN106" s="5">
        <v>97</v>
      </c>
      <c r="BO106" s="5">
        <v>97</v>
      </c>
      <c r="BP106" s="5">
        <v>97</v>
      </c>
      <c r="BQ106" s="5">
        <v>97</v>
      </c>
      <c r="BR106" s="5">
        <v>97</v>
      </c>
    </row>
    <row r="107" spans="26:70">
      <c r="Z107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map'!$F$2063:$J$2075,))))))))))))))))))))))))))))))))),BD107,FALSE),"-")</f>
        <v>-</v>
      </c>
      <c r="AA107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map'!$F$2063:$H$2075,0))))))))))))))))))))))))))))))))),BE107,FALSE),"-")</f>
        <v>-</v>
      </c>
      <c r="AB107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map'!$F$2063:$J$2075,))))))))))))))))))))))))))))))))),BF107,FALSE),"-")</f>
        <v>-</v>
      </c>
      <c r="AC107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map'!$F$2063:$J$2075,))))))))))))))))))))))))))))))))),BG107,FALSE),"-")</f>
        <v>-</v>
      </c>
      <c r="AD107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map'!$F$2063:$J$2075,))))))))))))))))))))))))))))))))),BH107,FALSE),"-")</f>
        <v>-</v>
      </c>
      <c r="BB107" s="5">
        <v>98</v>
      </c>
      <c r="BC107" s="5">
        <v>98</v>
      </c>
      <c r="BD107" s="5">
        <v>98</v>
      </c>
      <c r="BE107" s="5">
        <v>98</v>
      </c>
      <c r="BF107" s="5">
        <v>98</v>
      </c>
      <c r="BG107" s="5">
        <v>98</v>
      </c>
      <c r="BH107" s="5">
        <v>98</v>
      </c>
      <c r="BI107" s="5">
        <v>98</v>
      </c>
      <c r="BJ107" s="5">
        <v>98</v>
      </c>
      <c r="BK107" s="5">
        <v>98</v>
      </c>
      <c r="BL107" s="5">
        <v>98</v>
      </c>
      <c r="BM107" s="5">
        <v>98</v>
      </c>
      <c r="BN107" s="5">
        <v>98</v>
      </c>
      <c r="BO107" s="5">
        <v>98</v>
      </c>
      <c r="BP107" s="5">
        <v>98</v>
      </c>
      <c r="BQ107" s="5">
        <v>98</v>
      </c>
      <c r="BR107" s="5">
        <v>98</v>
      </c>
    </row>
    <row r="108" spans="26:70">
      <c r="Z108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map'!$F$2063:$J$2075,))))))))))))))))))))))))))))))))),BD108,FALSE),"-")</f>
        <v>-</v>
      </c>
      <c r="AA108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map'!$F$2063:$H$2075,0))))))))))))))))))))))))))))))))),BE108,FALSE),"-")</f>
        <v>-</v>
      </c>
      <c r="AB108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map'!$F$2063:$J$2075,))))))))))))))))))))))))))))))))),BF108,FALSE),"-")</f>
        <v>-</v>
      </c>
      <c r="AC108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map'!$F$2063:$J$2075,))))))))))))))))))))))))))))))))),BG108,FALSE),"-")</f>
        <v>-</v>
      </c>
      <c r="AD108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map'!$F$2063:$J$2075,))))))))))))))))))))))))))))))))),BH108,FALSE),"-")</f>
        <v>-</v>
      </c>
      <c r="BB108" s="5">
        <v>99</v>
      </c>
      <c r="BC108" s="5">
        <v>99</v>
      </c>
      <c r="BD108" s="5">
        <v>99</v>
      </c>
      <c r="BE108" s="5">
        <v>99</v>
      </c>
      <c r="BF108" s="5">
        <v>99</v>
      </c>
      <c r="BG108" s="5">
        <v>99</v>
      </c>
      <c r="BH108" s="5">
        <v>99</v>
      </c>
      <c r="BI108" s="5">
        <v>99</v>
      </c>
      <c r="BJ108" s="5">
        <v>99</v>
      </c>
      <c r="BK108" s="5">
        <v>99</v>
      </c>
      <c r="BL108" s="5">
        <v>99</v>
      </c>
      <c r="BM108" s="5">
        <v>99</v>
      </c>
      <c r="BN108" s="5">
        <v>99</v>
      </c>
      <c r="BO108" s="5">
        <v>99</v>
      </c>
      <c r="BP108" s="5">
        <v>99</v>
      </c>
      <c r="BQ108" s="5">
        <v>99</v>
      </c>
      <c r="BR108" s="5">
        <v>99</v>
      </c>
    </row>
    <row r="109" spans="26:70">
      <c r="Z109" s="85" t="str">
        <f>IFERROR(HLOOKUP(VLOOKUP((VLOOKUP($Y$10,$B$10:$C$22,2,FALSE)),'All data map'!$C$1:$J$3005,4,FALSE),IF($Y$14="XBE-DC08A",'All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map'!$F$2063:$J$2075,))))))))))))))))))))))))))))))))),BD109,FALSE),"-")</f>
        <v>-</v>
      </c>
      <c r="AA109" s="86" t="str">
        <f>IFERROR(HLOOKUP(VLOOKUP((VLOOKUP($Y$10,$B$10:$C$22,2,FALSE)),'All data map'!$C$1:$J$3005,5,FALSE),IF($Y$14="XBE-DC08A",'All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map'!$F$2063:$H$2075,0))))))))))))))))))))))))))))))))),BE109,FALSE),"-")</f>
        <v>-</v>
      </c>
      <c r="AB109" s="85" t="str">
        <f>IFERROR(HLOOKUP(VLOOKUP((VLOOKUP($Y$10,$B$10:$C$22,2,FALSE)),'All data map'!$C$1:$J$3005,6,FALSE),IF($Y$14="XBE-DC08A",'All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map'!$F$2063:$J$2075,))))))))))))))))))))))))))))))))),BF109,FALSE),"-")</f>
        <v>-</v>
      </c>
      <c r="AC109" s="85" t="str">
        <f>IFERROR(HLOOKUP(VLOOKUP((VLOOKUP($Y$10,$B$10:$C$22,2,FALSE)),'All data map'!$C$1:$J$3005,7,FALSE),IF($Y$14="XBE-DC08A",'All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map'!$F$2063:$J$2075,))))))))))))))))))))))))))))))))),BG109,FALSE),"-")</f>
        <v>-</v>
      </c>
      <c r="AD109" s="86" t="str">
        <f>IFERROR(HLOOKUP(VLOOKUP((VLOOKUP($Y$10,$B$10:$C$22,2,FALSE)),'All data map'!$C$1:$J$3005,8,FALSE),IF($Y$14="XBE-DC08A",'All data map'!$F$1359:$J$1359, IF($Y$14="XBE-DC16A",'All data map'!$F$1360:$J$1360, IF($Y$14="XBE-DC16B",'All data map'!$F$1361:$J$1361, IF($Y$14="XBE-DC32A",'All data map'!$F$1362:$J$1362, IF($Y$14="XBE-AC08A",'All data map'!$F$1363:$J$1363, IF($Y$14="XBE-TN08A",'All data map'!$F$1364:$J$1364, IF($Y$14="XBE-TP08A",'All data map'!$F$1365:$J$1365, IF($Y$14="XBE-TN16A",'All data map'!$F$1366:$J$1366, IF($Y$14="XBE-TP16A",'All data map'!$F$1367:$J$1367, IF($Y$14="XBE-TN32A",'All data map'!$F$1368:$J$1368, IF($Y$14="XBE-TP32A",'All data map'!$F$1369:$J$1369, IF($Y$14="XBE-RY08A",'All data map'!$F$1370:$J$1370, IF($Y$14="XBE-RY08B",'All data map'!$F$1371:$J$1371, IF($Y$14="XBE-RY16A",'All data map'!$F$1372:$J$1372, IF($Y$14="XBE-DR16A",'All data map'!$F$1373:$J$1374, IF($Y$14="XBE-DN32A",'All data map'!$F$1375:$J$1376, IF($Y$14="XBF-AD04A",'All data map'!$F$1377:$J$1387, IF($Y$14="XBF-AD08A",'All data map'!$F$1388:$J$1422, IF($Y$14="XBF-AD04C",'All data map'!$F$1423:$J$1453, IF($Y$14="XBF-DV04A",'All data map'!$F$1454:$J$1470, IF($Y$14="XBF-DC04A",'All data map'!$F$1471:$J$1487, IF($Y$14="XBF-DC04B",'All data map'!$F$1488:$J$1504, IF($Y$14="XBF-DV04C",'All data map'!$F$1505:$J$1525, IF($Y$14="XBF-DC04C",'All data map'!$F$1526:$J$1550, IF($Y$14="XBF-AH04A",'All data map'!$F$1551:$J$1570, IF($Y$14="XBF-RD04A",'All data map'!$F$1571:$J$1590, IF($Y$14="XBF-RD01A",'All data map'!$F$1591:$J$1604, IF($Y$14="XBF-TC04B",'All data map'!$F$1605:$J$1650, IF($Y$14="XBF-TC04S",'All data map'!$F$1651:$J$1696, IF($Y$14="XBF-LD02S",'All data map'!$F$1697:$J$1805, IF($Y$14="XBF-HO02A",'All data map'!$F$1806:$J$1866, IF($Y$14="XBF-HD02A",'All data map'!$F$1867:$J$1927,IF($Y$14="Header",'All data map'!$F$2063:$J$2075,))))))))))))))))))))))))))))))))),BH109,FALSE),"-")</f>
        <v>-</v>
      </c>
      <c r="BB109" s="5">
        <v>100</v>
      </c>
      <c r="BC109" s="5">
        <v>100</v>
      </c>
      <c r="BD109" s="5">
        <v>100</v>
      </c>
      <c r="BE109" s="5">
        <v>100</v>
      </c>
      <c r="BF109" s="5">
        <v>100</v>
      </c>
      <c r="BG109" s="5">
        <v>100</v>
      </c>
      <c r="BH109" s="5">
        <v>100</v>
      </c>
      <c r="BI109" s="5">
        <v>100</v>
      </c>
      <c r="BJ109" s="5">
        <v>100</v>
      </c>
      <c r="BK109" s="5">
        <v>100</v>
      </c>
      <c r="BL109" s="5">
        <v>100</v>
      </c>
      <c r="BM109" s="5">
        <v>100</v>
      </c>
      <c r="BN109" s="5">
        <v>100</v>
      </c>
      <c r="BO109" s="5">
        <v>100</v>
      </c>
      <c r="BP109" s="5">
        <v>100</v>
      </c>
      <c r="BQ109" s="5">
        <v>100</v>
      </c>
      <c r="BR109" s="5">
        <v>100</v>
      </c>
    </row>
    <row r="1048576" spans="2:3">
      <c r="B1048576" s="9" t="s">
        <v>122</v>
      </c>
      <c r="C1048576" s="36" t="s">
        <v>119</v>
      </c>
    </row>
  </sheetData>
  <dataConsolidate/>
  <mergeCells count="18">
    <mergeCell ref="AA7:AA9"/>
    <mergeCell ref="AB7:AB9"/>
    <mergeCell ref="AC7:AC9"/>
    <mergeCell ref="AD7:AD9"/>
    <mergeCell ref="D7:E8"/>
    <mergeCell ref="F7:G8"/>
    <mergeCell ref="H7:L8"/>
    <mergeCell ref="Y7:Y8"/>
    <mergeCell ref="Z7:Z9"/>
    <mergeCell ref="Q7:T7"/>
    <mergeCell ref="U7:X7"/>
    <mergeCell ref="M7:P7"/>
    <mergeCell ref="Y10:Y12"/>
    <mergeCell ref="Y14:Y16"/>
    <mergeCell ref="B23:C23"/>
    <mergeCell ref="B24:C24"/>
    <mergeCell ref="B7:B9"/>
    <mergeCell ref="C7:C9"/>
  </mergeCells>
  <phoneticPr fontId="1" type="noConversion"/>
  <conditionalFormatting sqref="B11">
    <cfRule type="expression" dxfId="74" priority="55">
      <formula>$C$1048576 = "Smart_IO"</formula>
    </cfRule>
  </conditionalFormatting>
  <conditionalFormatting sqref="B11:B18">
    <cfRule type="expression" dxfId="73" priority="56">
      <formula>$C$1048576 = "Expansion_Smart_IO"</formula>
    </cfRule>
  </conditionalFormatting>
  <conditionalFormatting sqref="B11:B22">
    <cfRule type="expression" dxfId="72" priority="57">
      <formula>$C$1048576 = "Expansion_Driver"</formula>
    </cfRule>
  </conditionalFormatting>
  <conditionalFormatting sqref="C11">
    <cfRule type="expression" dxfId="71" priority="58">
      <formula>$C$1048576 = "Smart_IO"</formula>
    </cfRule>
  </conditionalFormatting>
  <conditionalFormatting sqref="C11:C18">
    <cfRule type="expression" dxfId="70" priority="59">
      <formula>$C$1048576 = "Expansion_Smart_IO"</formula>
    </cfRule>
  </conditionalFormatting>
  <conditionalFormatting sqref="C11:C22">
    <cfRule type="expression" dxfId="69" priority="60">
      <formula>$C$1048576 = "Expansion_Driver"</formula>
    </cfRule>
  </conditionalFormatting>
  <conditionalFormatting sqref="D11:E11">
    <cfRule type="expression" dxfId="68" priority="61">
      <formula>$C$1048576 = "Smart_IO"</formula>
    </cfRule>
  </conditionalFormatting>
  <conditionalFormatting sqref="D11:E18">
    <cfRule type="expression" dxfId="67" priority="62">
      <formula>$C$1048576 = "Expansion_Smart_IO"</formula>
    </cfRule>
  </conditionalFormatting>
  <conditionalFormatting sqref="D11:E22">
    <cfRule type="expression" dxfId="66" priority="63">
      <formula>$C$1048576 = "Expansion_Driver"</formula>
    </cfRule>
  </conditionalFormatting>
  <conditionalFormatting sqref="F11:P11">
    <cfRule type="expression" dxfId="65" priority="12">
      <formula>$C$6 = "Smart_IO"</formula>
    </cfRule>
  </conditionalFormatting>
  <conditionalFormatting sqref="F11:P18">
    <cfRule type="expression" dxfId="64" priority="13">
      <formula>$C$6 = "Expansion_Smart_IO"</formula>
    </cfRule>
  </conditionalFormatting>
  <conditionalFormatting sqref="F11:P22">
    <cfRule type="expression" dxfId="63" priority="14">
      <formula>$C$6 = "Expansion_Driver"</formula>
    </cfRule>
  </conditionalFormatting>
  <conditionalFormatting sqref="Q27:Q38">
    <cfRule type="expression" dxfId="62" priority="3">
      <formula>$C$6 = "Smart_IO"</formula>
    </cfRule>
    <cfRule type="expression" dxfId="61" priority="4">
      <formula>$C$6 = "Expansion_Smart_IO"</formula>
    </cfRule>
    <cfRule type="expression" dxfId="60" priority="5">
      <formula>$C$6 = "Expansion_Driver"</formula>
    </cfRule>
  </conditionalFormatting>
  <conditionalFormatting sqref="Q11:R18 T11:T18 Q12:Q22">
    <cfRule type="expression" dxfId="59" priority="9">
      <formula>$C$6 = "Expansion_Smart_IO"</formula>
    </cfRule>
  </conditionalFormatting>
  <conditionalFormatting sqref="Q11:T22">
    <cfRule type="expression" dxfId="58" priority="2">
      <formula>$C$6 = "Expansion_Driver"</formula>
    </cfRule>
  </conditionalFormatting>
  <conditionalFormatting sqref="R11 T11">
    <cfRule type="expression" dxfId="57" priority="7">
      <formula>$C$6 = "Smart_IO"</formula>
    </cfRule>
  </conditionalFormatting>
  <conditionalFormatting sqref="S11:S22">
    <cfRule type="expression" dxfId="56" priority="1">
      <formula>$C$6 = "Expansion_Smart_IO"</formula>
    </cfRule>
  </conditionalFormatting>
  <conditionalFormatting sqref="U11:X11">
    <cfRule type="expression" dxfId="55" priority="6">
      <formula>$C$6 = "Smart_IO"</formula>
    </cfRule>
  </conditionalFormatting>
  <conditionalFormatting sqref="U11:X18">
    <cfRule type="expression" dxfId="54" priority="8">
      <formula>$C$6 = "Expansion_Smart_IO"</formula>
    </cfRule>
  </conditionalFormatting>
  <conditionalFormatting sqref="U11:X22">
    <cfRule type="expression" dxfId="53" priority="10">
      <formula>$C$6 = "Expansion_Driver"</formula>
    </cfRule>
  </conditionalFormatting>
  <conditionalFormatting sqref="Z10:AD109">
    <cfRule type="expression" dxfId="52" priority="27">
      <formula>$Z10:$Z109="Output"</formula>
    </cfRule>
    <cfRule type="expression" dxfId="51" priority="28">
      <formula>$Z10:$Z109="Input"</formula>
    </cfRule>
  </conditionalFormatting>
  <dataValidations count="2">
    <dataValidation type="list" showInputMessage="1" showErrorMessage="1" sqref="C11:C18" xr:uid="{B558EF38-3C8D-4651-95CB-4DD9DABE3ED7}">
      <formula1>INDIRECT($C$1048576)</formula1>
    </dataValidation>
    <dataValidation type="list" allowBlank="1" showInputMessage="1" showErrorMessage="1" sqref="C19:C22" xr:uid="{F7F86BF7-7651-4E08-B265-BA16D93DA29D}">
      <formula1>INDIRECT($C$1048576)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EFA84A-2A11-45AA-9681-DDB316535FE6}">
          <x14:formula1>
            <xm:f>ref!$D$2:$F$2</xm:f>
          </x14:formula1>
          <xm:sqref>C1048576</xm:sqref>
        </x14:dataValidation>
        <x14:dataValidation type="list" allowBlank="1" showInputMessage="1" showErrorMessage="1" xr:uid="{0CAC773B-37FD-48D4-AF49-2154D86C9E85}">
          <x14:formula1>
            <xm:f>slot!$C$5:$C$17</xm:f>
          </x14:formula1>
          <xm:sqref>Y10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358A-7CAE-4D9B-9384-236645820C3A}">
  <dimension ref="B3:BR1048576"/>
  <sheetViews>
    <sheetView showGridLines="0" zoomScale="85" zoomScaleNormal="85" workbookViewId="0">
      <selection activeCell="Q29" sqref="Q29"/>
    </sheetView>
  </sheetViews>
  <sheetFormatPr defaultColWidth="8.83203125" defaultRowHeight="17"/>
  <cols>
    <col min="1" max="1" width="2" style="12" customWidth="1"/>
    <col min="2" max="2" width="9.83203125" style="12" customWidth="1"/>
    <col min="3" max="3" width="18.75" style="12" customWidth="1"/>
    <col min="4" max="4" width="6.5" style="5" customWidth="1"/>
    <col min="5" max="5" width="6.83203125" style="5" customWidth="1"/>
    <col min="6" max="6" width="6.58203125" style="5" customWidth="1"/>
    <col min="7" max="7" width="7.25" style="5" customWidth="1"/>
    <col min="8" max="10" width="8.33203125" style="5" hidden="1" customWidth="1"/>
    <col min="11" max="11" width="12.25" style="5" hidden="1" customWidth="1"/>
    <col min="12" max="12" width="13.83203125" style="5" hidden="1" customWidth="1"/>
    <col min="13" max="13" width="6.08203125" style="5" customWidth="1"/>
    <col min="14" max="14" width="6.25" style="5" customWidth="1"/>
    <col min="15" max="16" width="6" style="5" customWidth="1"/>
    <col min="17" max="24" width="8.33203125" style="5" customWidth="1"/>
    <col min="25" max="25" width="17.08203125" style="12" customWidth="1"/>
    <col min="26" max="26" width="11" style="99" bestFit="1" customWidth="1"/>
    <col min="27" max="27" width="34.33203125" style="12" bestFit="1" customWidth="1"/>
    <col min="28" max="28" width="8.83203125" style="12" bestFit="1" customWidth="1"/>
    <col min="29" max="29" width="17.08203125" style="12" bestFit="1" customWidth="1"/>
    <col min="30" max="30" width="74.83203125" style="12" bestFit="1" customWidth="1"/>
    <col min="31" max="31" width="10" style="12" bestFit="1" customWidth="1"/>
    <col min="32" max="32" width="8.83203125" style="100"/>
    <col min="33" max="53" width="8.83203125" style="12"/>
    <col min="54" max="56" width="8.83203125" style="12" customWidth="1"/>
    <col min="57" max="57" width="4.08203125" style="12" customWidth="1"/>
    <col min="58" max="70" width="8.83203125" style="12" customWidth="1"/>
    <col min="71" max="16384" width="8.83203125" style="12"/>
  </cols>
  <sheetData>
    <row r="3" spans="2:70">
      <c r="AA3" s="109"/>
    </row>
    <row r="4" spans="2:70" ht="17.5" thickBot="1">
      <c r="Z4" s="101"/>
      <c r="AA4" s="109"/>
      <c r="AB4" s="102"/>
    </row>
    <row r="5" spans="2:70" ht="17.5" thickBot="1">
      <c r="U5" s="6" t="s">
        <v>120</v>
      </c>
      <c r="V5" s="27">
        <v>0</v>
      </c>
      <c r="Z5" s="101"/>
      <c r="AB5" s="103"/>
    </row>
    <row r="6" spans="2:70" ht="17.5" thickBot="1"/>
    <row r="7" spans="2:70" ht="32.25" customHeight="1" thickBot="1">
      <c r="B7" s="148" t="s">
        <v>1</v>
      </c>
      <c r="C7" s="151" t="s">
        <v>16</v>
      </c>
      <c r="D7" s="160" t="s">
        <v>3624</v>
      </c>
      <c r="E7" s="161"/>
      <c r="F7" s="164" t="s">
        <v>3625</v>
      </c>
      <c r="G7" s="165"/>
      <c r="H7" s="168" t="s">
        <v>7</v>
      </c>
      <c r="I7" s="169"/>
      <c r="J7" s="169"/>
      <c r="K7" s="169"/>
      <c r="L7" s="161"/>
      <c r="M7" s="179" t="s">
        <v>3621</v>
      </c>
      <c r="N7" s="180"/>
      <c r="O7" s="180"/>
      <c r="P7" s="181"/>
      <c r="Q7" s="173" t="s">
        <v>3620</v>
      </c>
      <c r="R7" s="174"/>
      <c r="S7" s="174"/>
      <c r="T7" s="175"/>
      <c r="U7" s="176" t="s">
        <v>121</v>
      </c>
      <c r="V7" s="177"/>
      <c r="W7" s="177"/>
      <c r="X7" s="178"/>
      <c r="Y7" s="171" t="s">
        <v>171</v>
      </c>
      <c r="Z7" s="154" t="s">
        <v>3580</v>
      </c>
      <c r="AA7" s="154" t="s">
        <v>149</v>
      </c>
      <c r="AB7" s="157" t="s">
        <v>3597</v>
      </c>
      <c r="AC7" s="154" t="s">
        <v>3598</v>
      </c>
      <c r="AD7" s="154" t="s">
        <v>19</v>
      </c>
    </row>
    <row r="8" spans="2:70" ht="45" customHeight="1" thickBot="1">
      <c r="B8" s="149"/>
      <c r="C8" s="152"/>
      <c r="D8" s="162"/>
      <c r="E8" s="163"/>
      <c r="F8" s="166"/>
      <c r="G8" s="167"/>
      <c r="H8" s="162"/>
      <c r="I8" s="170"/>
      <c r="J8" s="170"/>
      <c r="K8" s="170"/>
      <c r="L8" s="163"/>
      <c r="M8" s="125" t="s">
        <v>11</v>
      </c>
      <c r="N8" s="127" t="s">
        <v>12</v>
      </c>
      <c r="O8" s="128" t="s">
        <v>11</v>
      </c>
      <c r="P8" s="127" t="s">
        <v>13</v>
      </c>
      <c r="Q8" s="33" t="s">
        <v>28</v>
      </c>
      <c r="R8" s="34" t="s">
        <v>26</v>
      </c>
      <c r="S8" s="34" t="s">
        <v>29</v>
      </c>
      <c r="T8" s="35" t="s">
        <v>26</v>
      </c>
      <c r="U8" s="30" t="s">
        <v>28</v>
      </c>
      <c r="V8" s="31" t="s">
        <v>26</v>
      </c>
      <c r="W8" s="31" t="s">
        <v>29</v>
      </c>
      <c r="X8" s="32" t="s">
        <v>26</v>
      </c>
      <c r="Y8" s="172"/>
      <c r="Z8" s="155"/>
      <c r="AA8" s="155"/>
      <c r="AB8" s="158"/>
      <c r="AC8" s="155"/>
      <c r="AD8" s="155"/>
    </row>
    <row r="9" spans="2:70" ht="37.5" customHeight="1" thickBot="1">
      <c r="B9" s="150"/>
      <c r="C9" s="153"/>
      <c r="D9" s="118" t="s">
        <v>14</v>
      </c>
      <c r="E9" s="119" t="s">
        <v>15</v>
      </c>
      <c r="F9" s="125" t="s">
        <v>3622</v>
      </c>
      <c r="G9" s="126" t="s">
        <v>3623</v>
      </c>
      <c r="H9" s="120" t="s">
        <v>3</v>
      </c>
      <c r="I9" s="121" t="s">
        <v>4</v>
      </c>
      <c r="J9" s="121" t="s">
        <v>5</v>
      </c>
      <c r="K9" s="116" t="s">
        <v>8</v>
      </c>
      <c r="L9" s="117" t="s">
        <v>9</v>
      </c>
      <c r="M9" s="131" t="s">
        <v>10</v>
      </c>
      <c r="N9" s="132">
        <v>0</v>
      </c>
      <c r="O9" s="133" t="s">
        <v>10</v>
      </c>
      <c r="P9" s="134">
        <v>100</v>
      </c>
      <c r="Q9" s="135"/>
      <c r="R9" s="136" t="s">
        <v>27</v>
      </c>
      <c r="S9" s="137"/>
      <c r="T9" s="138" t="s">
        <v>27</v>
      </c>
      <c r="U9" s="135"/>
      <c r="V9" s="136" t="s">
        <v>27</v>
      </c>
      <c r="W9" s="137"/>
      <c r="X9" s="138" t="s">
        <v>27</v>
      </c>
      <c r="Y9" s="87" t="s">
        <v>147</v>
      </c>
      <c r="Z9" s="156"/>
      <c r="AA9" s="156"/>
      <c r="AB9" s="159"/>
      <c r="AC9" s="156"/>
      <c r="AD9" s="156"/>
    </row>
    <row r="10" spans="2:70" ht="16.5" customHeight="1">
      <c r="B10" s="45" t="s">
        <v>2</v>
      </c>
      <c r="C10" s="45" t="s">
        <v>2</v>
      </c>
      <c r="D10" s="97">
        <v>4</v>
      </c>
      <c r="E10" s="98">
        <v>0</v>
      </c>
      <c r="F10" s="122">
        <f>D10</f>
        <v>4</v>
      </c>
      <c r="G10" s="122">
        <f>E10</f>
        <v>0</v>
      </c>
      <c r="H10" s="114" t="s">
        <v>6</v>
      </c>
      <c r="I10" s="114" t="s">
        <v>6</v>
      </c>
      <c r="J10" s="114" t="s">
        <v>6</v>
      </c>
      <c r="K10" s="115">
        <f>IFERROR(F10-D10,0)</f>
        <v>0</v>
      </c>
      <c r="L10" s="115">
        <f>IFERROR(G10-E10,"-")</f>
        <v>0</v>
      </c>
      <c r="M10" s="51"/>
      <c r="N10" s="52"/>
      <c r="O10" s="51"/>
      <c r="P10" s="53"/>
      <c r="Q10" s="46" t="str">
        <f>IF(D10&lt;&gt;0,"H302"&amp;TEXT(DEC2HEX(K10/2,2),"00"),0)</f>
        <v>H30200</v>
      </c>
      <c r="R10" s="129">
        <f>D10/2</f>
        <v>2</v>
      </c>
      <c r="S10" s="47">
        <f>IF(E10&lt;&gt;0,"H402"&amp;TEXT(DEC2HEX(L10/2,2),"00"),0)</f>
        <v>0</v>
      </c>
      <c r="T10" s="130">
        <f t="shared" ref="T10:T16" si="0">E10/2</f>
        <v>0</v>
      </c>
      <c r="U10" s="46" t="str">
        <f t="shared" ref="U10:U22" si="1">IF(D10&lt;&gt;0,"305"&amp;TEXT(K10/2+12+$V$5,"00"),0)</f>
        <v>30512</v>
      </c>
      <c r="V10" s="129">
        <f>D10/2</f>
        <v>2</v>
      </c>
      <c r="W10" s="47">
        <f t="shared" ref="W10:W22" si="2">IF(E10&lt;&gt;0,"405"&amp;TEXT(L10/2+12+$V$5,"00"),0)</f>
        <v>0</v>
      </c>
      <c r="X10" s="130">
        <f>E10/2</f>
        <v>0</v>
      </c>
      <c r="Y10" s="139">
        <v>0</v>
      </c>
      <c r="Z1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)))))))))))))))))))))))))))))))))))))))))))))))),BD10,FALSE),"-")</f>
        <v>Input</v>
      </c>
      <c r="AA1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)))))))))))))))))))))))))))))))))))))))))))))))),BE10,FALSE),"-")</f>
        <v>Digital Input 4Byte</v>
      </c>
      <c r="AB1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)))))))))))))))))))))))))))))))))))))))))))))))),BF10,FALSE),"-")</f>
        <v>WORD</v>
      </c>
      <c r="AC10" s="85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)))))))))))))))))))))))))))))))))))))))))))))))),BG10,FALSE),"-")</f>
        <v>0</v>
      </c>
      <c r="AD1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)))))))))))))))))))))))))))))))))))))))))))))))),BH10,FALSE),"-")</f>
        <v>Digital Input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12">
        <v>1</v>
      </c>
      <c r="BH10" s="12">
        <v>1</v>
      </c>
      <c r="BI10" s="12">
        <v>1</v>
      </c>
      <c r="BJ10" s="12">
        <v>1</v>
      </c>
      <c r="BK10" s="12">
        <v>1</v>
      </c>
      <c r="BL10" s="12">
        <v>1</v>
      </c>
      <c r="BM10" s="12">
        <v>1</v>
      </c>
      <c r="BN10" s="12">
        <v>1</v>
      </c>
      <c r="BO10" s="12">
        <v>1</v>
      </c>
      <c r="BP10" s="12">
        <v>1</v>
      </c>
      <c r="BQ10" s="12">
        <v>1</v>
      </c>
      <c r="BR10" s="12">
        <v>1</v>
      </c>
    </row>
    <row r="11" spans="2:70" ht="16.5" customHeight="1">
      <c r="B11" s="104">
        <v>0</v>
      </c>
      <c r="C11" s="105" t="s">
        <v>35</v>
      </c>
      <c r="D11" s="90">
        <f>IFERROR(VLOOKUP(C11,'refresh size'!C:E,2,FALSE),0)</f>
        <v>4</v>
      </c>
      <c r="E11" s="88">
        <f>IFERROR(VLOOKUP(C11,'refresh size'!C:E,3,FALSE),0)</f>
        <v>0</v>
      </c>
      <c r="F11" s="123">
        <f>IF(LEN(C11)&gt;0,IF(D11&gt;0,MAX(F$10:F10)+D11,"-"),"-")</f>
        <v>8</v>
      </c>
      <c r="G11" s="123">
        <f>IF(LEN(C11)&gt;0,IF(E11&gt;0,MAX(G$10:G10)+E11,0),0)</f>
        <v>0</v>
      </c>
      <c r="H11" s="8">
        <f>B11*8</f>
        <v>0</v>
      </c>
      <c r="I11" s="8">
        <f>B11*8</f>
        <v>0</v>
      </c>
      <c r="J11" s="8">
        <f>B11*64</f>
        <v>0</v>
      </c>
      <c r="K11" s="9">
        <f>IFERROR(F11-D11,0)</f>
        <v>4</v>
      </c>
      <c r="L11" s="9">
        <f>IFERROR(G11-E11,0)</f>
        <v>0</v>
      </c>
      <c r="M11" s="10" t="str">
        <f>$M$9</f>
        <v>MW</v>
      </c>
      <c r="N11" s="11">
        <f>IF(D11,IF(D11,$N$9+(K11/2),0),"-")</f>
        <v>2</v>
      </c>
      <c r="O11" s="10" t="str">
        <f>$M$9</f>
        <v>MW</v>
      </c>
      <c r="P11" s="23" t="str">
        <f>IF(E11,IF(E11,$P$9+(L11/2),0),"-")</f>
        <v>-</v>
      </c>
      <c r="Q11" s="24" t="str">
        <f>IF(D11&lt;&gt;0,"H302"&amp;TEXT(DEC2HEX(K11/2,2),"00"),0)</f>
        <v>H30202</v>
      </c>
      <c r="R11" s="28">
        <f t="shared" ref="R11:R22" si="3">D11/2</f>
        <v>2</v>
      </c>
      <c r="S11" s="24">
        <f t="shared" ref="S11:S22" si="4">IF(E11&lt;&gt;0,"H402"&amp;TEXT(DEC2HEX(L11/2,2),"00"),0)</f>
        <v>0</v>
      </c>
      <c r="T11" s="29">
        <f t="shared" si="0"/>
        <v>0</v>
      </c>
      <c r="U11" s="24" t="str">
        <f t="shared" si="1"/>
        <v>30514</v>
      </c>
      <c r="V11" s="28">
        <f t="shared" ref="V11:V22" si="5">D11/2</f>
        <v>2</v>
      </c>
      <c r="W11" s="7">
        <f t="shared" si="2"/>
        <v>0</v>
      </c>
      <c r="X11" s="29">
        <f>E11/2</f>
        <v>0</v>
      </c>
      <c r="Y11" s="140"/>
      <c r="Z1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)))))))))))))))))))))))))))))))))))))))))))))))),BD11,FALSE),"-")</f>
        <v>-</v>
      </c>
      <c r="AA1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)))))))))))))))))))))))))))))))))))))))))))))))),BE11,FALSE),"-")</f>
        <v>-</v>
      </c>
      <c r="AB1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)))))))))))))))))))))))))))))))))))))))))))))))),BF11,FALSE),"-")</f>
        <v>-</v>
      </c>
      <c r="AC1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)))))))))))))))))))))))))))))))))))))))))))))))),BG11,FALSE),"-")</f>
        <v>-</v>
      </c>
      <c r="AD1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)))))))))))))))))))))))))))))))))))))))))))))))),BH11,FALSE),"-")</f>
        <v>-</v>
      </c>
      <c r="BB11" s="12">
        <v>2</v>
      </c>
      <c r="BC11" s="12">
        <v>2</v>
      </c>
      <c r="BD11" s="12">
        <v>2</v>
      </c>
      <c r="BE11" s="12">
        <v>2</v>
      </c>
      <c r="BF11" s="12">
        <v>2</v>
      </c>
      <c r="BG11" s="12">
        <v>2</v>
      </c>
      <c r="BH11" s="12">
        <v>2</v>
      </c>
      <c r="BI11" s="12">
        <v>2</v>
      </c>
      <c r="BJ11" s="12">
        <v>2</v>
      </c>
      <c r="BK11" s="12">
        <v>2</v>
      </c>
      <c r="BL11" s="12">
        <v>2</v>
      </c>
      <c r="BM11" s="12">
        <v>2</v>
      </c>
      <c r="BN11" s="12">
        <v>2</v>
      </c>
      <c r="BO11" s="12">
        <v>2</v>
      </c>
      <c r="BP11" s="12">
        <v>2</v>
      </c>
      <c r="BQ11" s="12">
        <v>2</v>
      </c>
      <c r="BR11" s="12">
        <v>2</v>
      </c>
    </row>
    <row r="12" spans="2:70" ht="16.5" customHeight="1" thickBot="1">
      <c r="B12" s="104">
        <v>1</v>
      </c>
      <c r="C12" s="105" t="s">
        <v>0</v>
      </c>
      <c r="D12" s="90">
        <f>IFERROR(VLOOKUP(C12,'refresh size'!C:E,2,FALSE),0)</f>
        <v>2</v>
      </c>
      <c r="E12" s="88">
        <f>IFERROR(VLOOKUP(C12,'refresh size'!C:E,3,FALSE),0)</f>
        <v>2</v>
      </c>
      <c r="F12" s="123">
        <f>IF(LEN(C12)&gt;0,IF(D12&gt;0,MAX(F$10:F11)+D12,"-"),"-")</f>
        <v>10</v>
      </c>
      <c r="G12" s="123">
        <f>IF(LEN(C12)&gt;0,IF(E12&gt;0,MAX(G$10:G11)+E12,0),0)</f>
        <v>2</v>
      </c>
      <c r="H12" s="8">
        <f t="shared" ref="H12:H22" si="6">B12*8</f>
        <v>8</v>
      </c>
      <c r="I12" s="8">
        <f t="shared" ref="I12:I22" si="7">B12*8</f>
        <v>8</v>
      </c>
      <c r="J12" s="8">
        <f t="shared" ref="J12:J22" si="8">B12*64</f>
        <v>64</v>
      </c>
      <c r="K12" s="9">
        <f t="shared" ref="K12:L22" si="9">IFERROR(F12-D12,0)</f>
        <v>8</v>
      </c>
      <c r="L12" s="9">
        <f t="shared" si="9"/>
        <v>0</v>
      </c>
      <c r="M12" s="10" t="str">
        <f t="shared" ref="M12:O22" si="10">$M$9</f>
        <v>MW</v>
      </c>
      <c r="N12" s="11">
        <f t="shared" ref="N12:N22" si="11">IF(D12,IF(D12,$N$9+(K12/2),0),"-")</f>
        <v>4</v>
      </c>
      <c r="O12" s="10" t="str">
        <f t="shared" si="10"/>
        <v>MW</v>
      </c>
      <c r="P12" s="23">
        <f t="shared" ref="P12:P22" si="12">IF(E12,IF(E12,$P$9+(L12/2),0),"-")</f>
        <v>100</v>
      </c>
      <c r="Q12" s="24" t="str">
        <f t="shared" ref="Q12:Q22" si="13">IF(D12&lt;&gt;0,"H302"&amp;TEXT(DEC2HEX(K12/2,2),"00"),0)</f>
        <v>H30204</v>
      </c>
      <c r="R12" s="28">
        <f t="shared" si="3"/>
        <v>1</v>
      </c>
      <c r="S12" s="24" t="str">
        <f t="shared" si="4"/>
        <v>H40200</v>
      </c>
      <c r="T12" s="29">
        <f t="shared" si="0"/>
        <v>1</v>
      </c>
      <c r="U12" s="24" t="str">
        <f t="shared" si="1"/>
        <v>30516</v>
      </c>
      <c r="V12" s="28">
        <f t="shared" si="5"/>
        <v>1</v>
      </c>
      <c r="W12" s="7" t="str">
        <f t="shared" si="2"/>
        <v>40512</v>
      </c>
      <c r="X12" s="29">
        <f>E12/2</f>
        <v>1</v>
      </c>
      <c r="Y12" s="140"/>
      <c r="Z1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)))))))))))))))))))))))))))))))))))))))))))))))),BD12,FALSE),"-")</f>
        <v>-</v>
      </c>
      <c r="AA1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)))))))))))))))))))))))))))))))))))))))))))))))),BE12,FALSE),"-")</f>
        <v>-</v>
      </c>
      <c r="AB1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)))))))))))))))))))))))))))))))))))))))))))))))),BF12,FALSE),"-")</f>
        <v>-</v>
      </c>
      <c r="AC1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)))))))))))))))))))))))))))))))))))))))))))))))),BG12,FALSE),"-")</f>
        <v>-</v>
      </c>
      <c r="AD1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)))))))))))))))))))))))))))))))))))))))))))))))),BH12,FALSE),"-")</f>
        <v>-</v>
      </c>
      <c r="BB12" s="12">
        <v>3</v>
      </c>
      <c r="BC12" s="12">
        <v>3</v>
      </c>
      <c r="BD12" s="12">
        <v>3</v>
      </c>
      <c r="BE12" s="12">
        <v>3</v>
      </c>
      <c r="BF12" s="12">
        <v>3</v>
      </c>
      <c r="BG12" s="12">
        <v>3</v>
      </c>
      <c r="BH12" s="12">
        <v>3</v>
      </c>
      <c r="BI12" s="12">
        <v>3</v>
      </c>
      <c r="BJ12" s="12">
        <v>3</v>
      </c>
      <c r="BK12" s="12">
        <v>3</v>
      </c>
      <c r="BL12" s="12">
        <v>3</v>
      </c>
      <c r="BM12" s="12">
        <v>3</v>
      </c>
      <c r="BN12" s="12">
        <v>3</v>
      </c>
      <c r="BO12" s="12">
        <v>3</v>
      </c>
      <c r="BP12" s="12">
        <v>3</v>
      </c>
      <c r="BQ12" s="12">
        <v>3</v>
      </c>
      <c r="BR12" s="12">
        <v>3</v>
      </c>
    </row>
    <row r="13" spans="2:70" ht="16.5" customHeight="1">
      <c r="B13" s="104">
        <v>2</v>
      </c>
      <c r="C13" s="91" t="s">
        <v>70</v>
      </c>
      <c r="D13" s="90">
        <f>IFERROR(VLOOKUP(C13,'refresh size'!C:E,2,FALSE),0)</f>
        <v>46</v>
      </c>
      <c r="E13" s="88">
        <f>IFERROR(VLOOKUP(C13,'refresh size'!C:E,3,FALSE),0)</f>
        <v>4</v>
      </c>
      <c r="F13" s="123">
        <f>IF(LEN(C13)&gt;0,IF(D13&gt;0,MAX(F$10:F12)+D13,"-"),"-")</f>
        <v>56</v>
      </c>
      <c r="G13" s="123">
        <f>IF(LEN(C13)&gt;0,IF(E13&gt;0,MAX(G$10:G12)+E13,0),0)</f>
        <v>6</v>
      </c>
      <c r="H13" s="8">
        <f t="shared" si="6"/>
        <v>16</v>
      </c>
      <c r="I13" s="8">
        <f t="shared" si="7"/>
        <v>16</v>
      </c>
      <c r="J13" s="8">
        <f t="shared" si="8"/>
        <v>128</v>
      </c>
      <c r="K13" s="9">
        <f t="shared" si="9"/>
        <v>10</v>
      </c>
      <c r="L13" s="9">
        <f t="shared" si="9"/>
        <v>2</v>
      </c>
      <c r="M13" s="10" t="str">
        <f t="shared" si="10"/>
        <v>MW</v>
      </c>
      <c r="N13" s="11">
        <f t="shared" si="11"/>
        <v>5</v>
      </c>
      <c r="O13" s="10" t="str">
        <f t="shared" si="10"/>
        <v>MW</v>
      </c>
      <c r="P13" s="23">
        <f t="shared" si="12"/>
        <v>101</v>
      </c>
      <c r="Q13" s="24" t="str">
        <f t="shared" si="13"/>
        <v>H30205</v>
      </c>
      <c r="R13" s="28">
        <f t="shared" si="3"/>
        <v>23</v>
      </c>
      <c r="S13" s="24" t="str">
        <f t="shared" si="4"/>
        <v>H40201</v>
      </c>
      <c r="T13" s="29">
        <f t="shared" si="0"/>
        <v>2</v>
      </c>
      <c r="U13" s="24" t="str">
        <f t="shared" si="1"/>
        <v>30517</v>
      </c>
      <c r="V13" s="28">
        <f t="shared" si="5"/>
        <v>23</v>
      </c>
      <c r="W13" s="7" t="str">
        <f t="shared" si="2"/>
        <v>40513</v>
      </c>
      <c r="X13" s="29">
        <f t="shared" ref="X13:X22" si="14">E13/2</f>
        <v>2</v>
      </c>
      <c r="Y13" s="112" t="s">
        <v>360</v>
      </c>
      <c r="Z1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)))))))))))))))))))))))))))))))))))))))))))))))),BD13,FALSE),"-")</f>
        <v>-</v>
      </c>
      <c r="AA1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)))))))))))))))))))))))))))))))))))))))))))))))),BE13,FALSE),"-")</f>
        <v>-</v>
      </c>
      <c r="AB1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)))))))))))))))))))))))))))))))))))))))))))))))),BF13,FALSE),"-")</f>
        <v>-</v>
      </c>
      <c r="AC1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)))))))))))))))))))))))))))))))))))))))))))))))),BG13,FALSE),"-")</f>
        <v>-</v>
      </c>
      <c r="AD1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)))))))))))))))))))))))))))))))))))))))))))))))),BH13,FALSE),"-")</f>
        <v>-</v>
      </c>
      <c r="BB13" s="12">
        <v>4</v>
      </c>
      <c r="BC13" s="12">
        <v>4</v>
      </c>
      <c r="BD13" s="12">
        <v>4</v>
      </c>
      <c r="BE13" s="12">
        <v>4</v>
      </c>
      <c r="BF13" s="12">
        <v>4</v>
      </c>
      <c r="BG13" s="12">
        <v>4</v>
      </c>
      <c r="BH13" s="12">
        <v>4</v>
      </c>
      <c r="BI13" s="12">
        <v>4</v>
      </c>
      <c r="BJ13" s="12">
        <v>4</v>
      </c>
      <c r="BK13" s="12">
        <v>4</v>
      </c>
      <c r="BL13" s="12">
        <v>4</v>
      </c>
      <c r="BM13" s="12">
        <v>4</v>
      </c>
      <c r="BN13" s="12">
        <v>4</v>
      </c>
      <c r="BO13" s="12">
        <v>4</v>
      </c>
      <c r="BP13" s="12">
        <v>4</v>
      </c>
      <c r="BQ13" s="12">
        <v>4</v>
      </c>
      <c r="BR13" s="12">
        <v>4</v>
      </c>
    </row>
    <row r="14" spans="2:70" ht="16.5" customHeight="1">
      <c r="B14" s="104">
        <v>3</v>
      </c>
      <c r="C14" s="91" t="s">
        <v>69</v>
      </c>
      <c r="D14" s="90">
        <f>IFERROR(VLOOKUP(C14,'refresh size'!C:E,2,FALSE),0)</f>
        <v>14</v>
      </c>
      <c r="E14" s="88">
        <f>IFERROR(VLOOKUP(C14,'refresh size'!C:E,3,FALSE),0)</f>
        <v>10</v>
      </c>
      <c r="F14" s="123">
        <f>IF(LEN(C14)&gt;0,IF(D14&gt;0,MAX(F$10:F13)+D14,"-"),"-")</f>
        <v>70</v>
      </c>
      <c r="G14" s="123">
        <f>IF(LEN(C14)&gt;0,IF(E14&gt;0,MAX(G$10:G13)+E14,0),0)</f>
        <v>16</v>
      </c>
      <c r="H14" s="8">
        <f t="shared" si="6"/>
        <v>24</v>
      </c>
      <c r="I14" s="8">
        <f t="shared" si="7"/>
        <v>24</v>
      </c>
      <c r="J14" s="8">
        <f t="shared" si="8"/>
        <v>192</v>
      </c>
      <c r="K14" s="9">
        <f t="shared" si="9"/>
        <v>56</v>
      </c>
      <c r="L14" s="9">
        <f t="shared" si="9"/>
        <v>6</v>
      </c>
      <c r="M14" s="10" t="str">
        <f t="shared" si="10"/>
        <v>MW</v>
      </c>
      <c r="N14" s="11">
        <f t="shared" si="11"/>
        <v>28</v>
      </c>
      <c r="O14" s="10" t="str">
        <f t="shared" si="10"/>
        <v>MW</v>
      </c>
      <c r="P14" s="23">
        <f t="shared" si="12"/>
        <v>103</v>
      </c>
      <c r="Q14" s="24" t="str">
        <f t="shared" si="13"/>
        <v>H3021C</v>
      </c>
      <c r="R14" s="28">
        <f t="shared" si="3"/>
        <v>7</v>
      </c>
      <c r="S14" s="24" t="str">
        <f t="shared" si="4"/>
        <v>H40203</v>
      </c>
      <c r="T14" s="29">
        <f t="shared" si="0"/>
        <v>5</v>
      </c>
      <c r="U14" s="24" t="str">
        <f t="shared" si="1"/>
        <v>30540</v>
      </c>
      <c r="V14" s="28">
        <f t="shared" si="5"/>
        <v>7</v>
      </c>
      <c r="W14" s="7" t="str">
        <f t="shared" si="2"/>
        <v>40515</v>
      </c>
      <c r="X14" s="29">
        <f t="shared" si="14"/>
        <v>5</v>
      </c>
      <c r="Y14" s="141" t="str">
        <f>IF(Y10="Header","Header",(VLOOKUP($Y$10,$B$10:$C$22,2,FALSE)))</f>
        <v>XGI-D24A</v>
      </c>
      <c r="Z1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)))))))))))))))))))))))))))))))))))))))))))))))),BD14,FALSE),"-")</f>
        <v>-</v>
      </c>
      <c r="AA1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)))))))))))))))))))))))))))))))))))))))))))))))),BE14,FALSE),"-")</f>
        <v>-</v>
      </c>
      <c r="AB1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)))))))))))))))))))))))))))))))))))))))))))))))),BF14,FALSE),"-")</f>
        <v>-</v>
      </c>
      <c r="AC1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)))))))))))))))))))))))))))))))))))))))))))))))),BG14,FALSE),"-")</f>
        <v>-</v>
      </c>
      <c r="AD1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)))))))))))))))))))))))))))))))))))))))))))))))),BH14,FALSE),"-")</f>
        <v>-</v>
      </c>
      <c r="BB14" s="12">
        <v>5</v>
      </c>
      <c r="BC14" s="12">
        <v>5</v>
      </c>
      <c r="BD14" s="12">
        <v>5</v>
      </c>
      <c r="BE14" s="12">
        <v>5</v>
      </c>
      <c r="BF14" s="12">
        <v>5</v>
      </c>
      <c r="BG14" s="12">
        <v>5</v>
      </c>
      <c r="BH14" s="12">
        <v>5</v>
      </c>
      <c r="BI14" s="12">
        <v>5</v>
      </c>
      <c r="BJ14" s="12">
        <v>5</v>
      </c>
      <c r="BK14" s="12">
        <v>5</v>
      </c>
      <c r="BL14" s="12">
        <v>5</v>
      </c>
      <c r="BM14" s="12">
        <v>5</v>
      </c>
      <c r="BN14" s="12">
        <v>5</v>
      </c>
      <c r="BO14" s="12">
        <v>5</v>
      </c>
      <c r="BP14" s="12">
        <v>5</v>
      </c>
      <c r="BQ14" s="12">
        <v>5</v>
      </c>
      <c r="BR14" s="12">
        <v>5</v>
      </c>
    </row>
    <row r="15" spans="2:70" ht="16.5" customHeight="1">
      <c r="B15" s="104">
        <v>4</v>
      </c>
      <c r="C15" s="91" t="s">
        <v>75</v>
      </c>
      <c r="D15" s="90">
        <f>IFERROR(VLOOKUP(C15,'refresh size'!C:E,2,FALSE),0)</f>
        <v>58</v>
      </c>
      <c r="E15" s="88">
        <f>IFERROR(VLOOKUP(C15,'refresh size'!C:E,3,FALSE),0)</f>
        <v>2</v>
      </c>
      <c r="F15" s="123">
        <f>IF(LEN(C15)&gt;0,IF(D15&gt;0,MAX(F$10:F14)+D15,"-"),"-")</f>
        <v>128</v>
      </c>
      <c r="G15" s="123">
        <f>IF(LEN(C15)&gt;0,IF(E15&gt;0,MAX(G$10:G14)+E15,0),0)</f>
        <v>18</v>
      </c>
      <c r="H15" s="8">
        <f t="shared" si="6"/>
        <v>32</v>
      </c>
      <c r="I15" s="8">
        <f t="shared" si="7"/>
        <v>32</v>
      </c>
      <c r="J15" s="8">
        <f t="shared" si="8"/>
        <v>256</v>
      </c>
      <c r="K15" s="9">
        <f t="shared" si="9"/>
        <v>70</v>
      </c>
      <c r="L15" s="9">
        <f t="shared" si="9"/>
        <v>16</v>
      </c>
      <c r="M15" s="10" t="str">
        <f t="shared" si="10"/>
        <v>MW</v>
      </c>
      <c r="N15" s="11">
        <f t="shared" si="11"/>
        <v>35</v>
      </c>
      <c r="O15" s="10" t="str">
        <f t="shared" si="10"/>
        <v>MW</v>
      </c>
      <c r="P15" s="23">
        <f t="shared" si="12"/>
        <v>108</v>
      </c>
      <c r="Q15" s="24" t="str">
        <f t="shared" si="13"/>
        <v>H30223</v>
      </c>
      <c r="R15" s="28">
        <f t="shared" si="3"/>
        <v>29</v>
      </c>
      <c r="S15" s="24" t="str">
        <f t="shared" si="4"/>
        <v>H40208</v>
      </c>
      <c r="T15" s="29">
        <f t="shared" si="0"/>
        <v>1</v>
      </c>
      <c r="U15" s="24" t="str">
        <f t="shared" si="1"/>
        <v>30547</v>
      </c>
      <c r="V15" s="28">
        <f t="shared" si="5"/>
        <v>29</v>
      </c>
      <c r="W15" s="7" t="str">
        <f t="shared" si="2"/>
        <v>40520</v>
      </c>
      <c r="X15" s="29">
        <f t="shared" si="14"/>
        <v>1</v>
      </c>
      <c r="Y15" s="142"/>
      <c r="Z1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)))))))))))))))))))))))))))))))))))))))))))))))),BD15,FALSE),"-")</f>
        <v>-</v>
      </c>
      <c r="AA1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)))))))))))))))))))))))))))))))))))))))))))))))),BE15,FALSE),"-")</f>
        <v>-</v>
      </c>
      <c r="AB1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)))))))))))))))))))))))))))))))))))))))))))))))),BF15,FALSE),"-")</f>
        <v>-</v>
      </c>
      <c r="AC1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)))))))))))))))))))))))))))))))))))))))))))))))),BG15,FALSE),"-")</f>
        <v>-</v>
      </c>
      <c r="AD1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)))))))))))))))))))))))))))))))))))))))))))))))),BH15,FALSE),"-")</f>
        <v>-</v>
      </c>
      <c r="BB15" s="12">
        <v>6</v>
      </c>
      <c r="BC15" s="12">
        <v>6</v>
      </c>
      <c r="BD15" s="12">
        <v>6</v>
      </c>
      <c r="BE15" s="12">
        <v>6</v>
      </c>
      <c r="BF15" s="12">
        <v>6</v>
      </c>
      <c r="BG15" s="12">
        <v>6</v>
      </c>
      <c r="BH15" s="12">
        <v>6</v>
      </c>
      <c r="BI15" s="12">
        <v>6</v>
      </c>
      <c r="BJ15" s="12">
        <v>6</v>
      </c>
      <c r="BK15" s="12">
        <v>6</v>
      </c>
      <c r="BL15" s="12">
        <v>6</v>
      </c>
      <c r="BM15" s="12">
        <v>6</v>
      </c>
      <c r="BN15" s="12">
        <v>6</v>
      </c>
      <c r="BO15" s="12">
        <v>6</v>
      </c>
      <c r="BP15" s="12">
        <v>6</v>
      </c>
      <c r="BQ15" s="12">
        <v>6</v>
      </c>
      <c r="BR15" s="12">
        <v>6</v>
      </c>
    </row>
    <row r="16" spans="2:70" ht="16.5" customHeight="1" thickBot="1">
      <c r="B16" s="104">
        <v>5</v>
      </c>
      <c r="C16" s="91" t="s">
        <v>57</v>
      </c>
      <c r="D16" s="90">
        <f>IFERROR(VLOOKUP(C16,'refresh size'!C:E,2,FALSE),0)</f>
        <v>22</v>
      </c>
      <c r="E16" s="88">
        <f>IFERROR(VLOOKUP(C16,'refresh size'!C:E,3,FALSE),0)</f>
        <v>2</v>
      </c>
      <c r="F16" s="123">
        <f>IF(LEN(C16)&gt;0,IF(D16&gt;0,MAX(F$10:F15)+D16,"-"),"-")</f>
        <v>150</v>
      </c>
      <c r="G16" s="123">
        <f>IF(LEN(C16)&gt;0,IF(E16&gt;0,MAX(G$10:G15)+E16,0),0)</f>
        <v>20</v>
      </c>
      <c r="H16" s="8">
        <f t="shared" si="6"/>
        <v>40</v>
      </c>
      <c r="I16" s="8">
        <f t="shared" si="7"/>
        <v>40</v>
      </c>
      <c r="J16" s="8">
        <f t="shared" si="8"/>
        <v>320</v>
      </c>
      <c r="K16" s="9">
        <f t="shared" si="9"/>
        <v>128</v>
      </c>
      <c r="L16" s="9">
        <f t="shared" si="9"/>
        <v>18</v>
      </c>
      <c r="M16" s="10" t="str">
        <f t="shared" si="10"/>
        <v>MW</v>
      </c>
      <c r="N16" s="11">
        <f t="shared" si="11"/>
        <v>64</v>
      </c>
      <c r="O16" s="10" t="str">
        <f t="shared" si="10"/>
        <v>MW</v>
      </c>
      <c r="P16" s="23">
        <f t="shared" si="12"/>
        <v>109</v>
      </c>
      <c r="Q16" s="24" t="str">
        <f t="shared" si="13"/>
        <v>H30240</v>
      </c>
      <c r="R16" s="28">
        <f t="shared" si="3"/>
        <v>11</v>
      </c>
      <c r="S16" s="24" t="str">
        <f t="shared" si="4"/>
        <v>H40209</v>
      </c>
      <c r="T16" s="29">
        <f t="shared" si="0"/>
        <v>1</v>
      </c>
      <c r="U16" s="24" t="str">
        <f t="shared" si="1"/>
        <v>30576</v>
      </c>
      <c r="V16" s="28">
        <f t="shared" si="5"/>
        <v>11</v>
      </c>
      <c r="W16" s="7" t="str">
        <f t="shared" si="2"/>
        <v>40521</v>
      </c>
      <c r="X16" s="29">
        <f t="shared" si="14"/>
        <v>1</v>
      </c>
      <c r="Y16" s="143"/>
      <c r="Z1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)))))))))))))))))))))))))))))))))))))))))))))))),BD16,FALSE),"-")</f>
        <v>-</v>
      </c>
      <c r="AA1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)))))))))))))))))))))))))))))))))))))))))))))))),BE16,FALSE),"-")</f>
        <v>-</v>
      </c>
      <c r="AB1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)))))))))))))))))))))))))))))))))))))))))))))))),BF16,FALSE),"-")</f>
        <v>-</v>
      </c>
      <c r="AC1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)))))))))))))))))))))))))))))))))))))))))))))))),BG16,FALSE),"-")</f>
        <v>-</v>
      </c>
      <c r="AD1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)))))))))))))))))))))))))))))))))))))))))))))))),BH16,FALSE),"-")</f>
        <v>-</v>
      </c>
      <c r="BB16" s="12">
        <v>7</v>
      </c>
      <c r="BC16" s="12">
        <v>7</v>
      </c>
      <c r="BD16" s="12">
        <v>7</v>
      </c>
      <c r="BE16" s="12">
        <v>7</v>
      </c>
      <c r="BF16" s="12">
        <v>7</v>
      </c>
      <c r="BG16" s="12">
        <v>7</v>
      </c>
      <c r="BH16" s="12">
        <v>7</v>
      </c>
      <c r="BI16" s="12">
        <v>7</v>
      </c>
      <c r="BJ16" s="12">
        <v>7</v>
      </c>
      <c r="BK16" s="12">
        <v>7</v>
      </c>
      <c r="BL16" s="12">
        <v>7</v>
      </c>
      <c r="BM16" s="12">
        <v>7</v>
      </c>
      <c r="BN16" s="12">
        <v>7</v>
      </c>
      <c r="BO16" s="12">
        <v>7</v>
      </c>
      <c r="BP16" s="12">
        <v>7</v>
      </c>
      <c r="BQ16" s="12">
        <v>7</v>
      </c>
      <c r="BR16" s="12">
        <v>7</v>
      </c>
    </row>
    <row r="17" spans="2:70" ht="16.5" customHeight="1">
      <c r="B17" s="104">
        <v>6</v>
      </c>
      <c r="C17" s="91" t="s">
        <v>76</v>
      </c>
      <c r="D17" s="90">
        <f>IFERROR(VLOOKUP(C17,'refresh size'!C:E,2,FALSE),0)</f>
        <v>44</v>
      </c>
      <c r="E17" s="88">
        <f>IFERROR(VLOOKUP(C17,'refresh size'!C:E,3,FALSE),0)</f>
        <v>2</v>
      </c>
      <c r="F17" s="123">
        <f>IF(LEN(C17)&gt;0,IF(D17&gt;0,MAX(F$10:F16)+D17,"-"),"-")</f>
        <v>194</v>
      </c>
      <c r="G17" s="123">
        <f>IF(LEN(C17)&gt;0,IF(E17&gt;0,MAX(G$10:G16)+E17,0),0)</f>
        <v>22</v>
      </c>
      <c r="H17" s="8">
        <f t="shared" si="6"/>
        <v>48</v>
      </c>
      <c r="I17" s="8">
        <f t="shared" si="7"/>
        <v>48</v>
      </c>
      <c r="J17" s="8">
        <f t="shared" si="8"/>
        <v>384</v>
      </c>
      <c r="K17" s="9">
        <f t="shared" si="9"/>
        <v>150</v>
      </c>
      <c r="L17" s="9">
        <f t="shared" si="9"/>
        <v>20</v>
      </c>
      <c r="M17" s="10" t="str">
        <f t="shared" si="10"/>
        <v>MW</v>
      </c>
      <c r="N17" s="11">
        <f t="shared" si="11"/>
        <v>75</v>
      </c>
      <c r="O17" s="10" t="str">
        <f t="shared" si="10"/>
        <v>MW</v>
      </c>
      <c r="P17" s="23">
        <f t="shared" si="12"/>
        <v>110</v>
      </c>
      <c r="Q17" s="24" t="str">
        <f t="shared" si="13"/>
        <v>H3024B</v>
      </c>
      <c r="R17" s="28">
        <f t="shared" si="3"/>
        <v>22</v>
      </c>
      <c r="S17" s="24" t="str">
        <f t="shared" si="4"/>
        <v>H4020A</v>
      </c>
      <c r="T17" s="29">
        <f>E17/2</f>
        <v>1</v>
      </c>
      <c r="U17" s="24" t="str">
        <f t="shared" si="1"/>
        <v>30587</v>
      </c>
      <c r="V17" s="28">
        <f t="shared" si="5"/>
        <v>22</v>
      </c>
      <c r="W17" s="7" t="str">
        <f t="shared" si="2"/>
        <v>40522</v>
      </c>
      <c r="X17" s="29">
        <f t="shared" si="14"/>
        <v>1</v>
      </c>
      <c r="Y17" s="112" t="s">
        <v>361</v>
      </c>
      <c r="Z1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)))))))))))))))))))))))))))))))))))))))))))))))),BD17,FALSE),"-")</f>
        <v>-</v>
      </c>
      <c r="AA1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)))))))))))))))))))))))))))))))))))))))))))))))),BE17,FALSE),"-")</f>
        <v>-</v>
      </c>
      <c r="AB1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)))))))))))))))))))))))))))))))))))))))))))))))),BF17,FALSE),"-")</f>
        <v>-</v>
      </c>
      <c r="AC1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)))))))))))))))))))))))))))))))))))))))))))))))),BG17,FALSE),"-")</f>
        <v>-</v>
      </c>
      <c r="AD1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)))))))))))))))))))))))))))))))))))))))))))))))),BH17,FALSE),"-")</f>
        <v>-</v>
      </c>
      <c r="BB17" s="12">
        <v>8</v>
      </c>
      <c r="BC17" s="12">
        <v>8</v>
      </c>
      <c r="BD17" s="12">
        <v>8</v>
      </c>
      <c r="BE17" s="12">
        <v>8</v>
      </c>
      <c r="BF17" s="12">
        <v>8</v>
      </c>
      <c r="BG17" s="12">
        <v>8</v>
      </c>
      <c r="BH17" s="12">
        <v>8</v>
      </c>
      <c r="BI17" s="12">
        <v>8</v>
      </c>
      <c r="BJ17" s="12">
        <v>8</v>
      </c>
      <c r="BK17" s="12">
        <v>8</v>
      </c>
      <c r="BL17" s="12">
        <v>8</v>
      </c>
      <c r="BM17" s="12">
        <v>8</v>
      </c>
      <c r="BN17" s="12">
        <v>8</v>
      </c>
      <c r="BO17" s="12">
        <v>8</v>
      </c>
      <c r="BP17" s="12">
        <v>8</v>
      </c>
      <c r="BQ17" s="12">
        <v>8</v>
      </c>
      <c r="BR17" s="12">
        <v>8</v>
      </c>
    </row>
    <row r="18" spans="2:70" ht="16.5" customHeight="1" thickBot="1">
      <c r="B18" s="104">
        <v>7</v>
      </c>
      <c r="C18" s="91" t="s">
        <v>77</v>
      </c>
      <c r="D18" s="90">
        <f>IFERROR(VLOOKUP(C18,'refresh size'!C:E,2,FALSE),0)</f>
        <v>36</v>
      </c>
      <c r="E18" s="88">
        <f>IFERROR(VLOOKUP(C18,'refresh size'!C:E,3,FALSE),0)</f>
        <v>26</v>
      </c>
      <c r="F18" s="123">
        <f>IF(LEN(C18)&gt;0,IF(D18&gt;0,MAX(F$10:F17)+D18,"-"),"-")</f>
        <v>230</v>
      </c>
      <c r="G18" s="123">
        <f>IF(LEN(C18)&gt;0,IF(E18&gt;0,MAX(G$10:G17)+E18,"-"),"-")</f>
        <v>48</v>
      </c>
      <c r="H18" s="8">
        <f t="shared" si="6"/>
        <v>56</v>
      </c>
      <c r="I18" s="8">
        <f t="shared" si="7"/>
        <v>56</v>
      </c>
      <c r="J18" s="8">
        <f t="shared" si="8"/>
        <v>448</v>
      </c>
      <c r="K18" s="9">
        <f t="shared" si="9"/>
        <v>194</v>
      </c>
      <c r="L18" s="9">
        <f t="shared" si="9"/>
        <v>22</v>
      </c>
      <c r="M18" s="10" t="str">
        <f t="shared" si="10"/>
        <v>MW</v>
      </c>
      <c r="N18" s="11">
        <f t="shared" si="11"/>
        <v>97</v>
      </c>
      <c r="O18" s="10" t="str">
        <f t="shared" si="10"/>
        <v>MW</v>
      </c>
      <c r="P18" s="23">
        <f t="shared" si="12"/>
        <v>111</v>
      </c>
      <c r="Q18" s="24" t="str">
        <f t="shared" si="13"/>
        <v>H30261</v>
      </c>
      <c r="R18" s="28">
        <f t="shared" si="3"/>
        <v>18</v>
      </c>
      <c r="S18" s="24" t="str">
        <f t="shared" si="4"/>
        <v>H4020B</v>
      </c>
      <c r="T18" s="29">
        <f>E18/2</f>
        <v>13</v>
      </c>
      <c r="U18" s="24" t="str">
        <f t="shared" si="1"/>
        <v>305109</v>
      </c>
      <c r="V18" s="28">
        <f t="shared" si="5"/>
        <v>18</v>
      </c>
      <c r="W18" s="7" t="str">
        <f t="shared" si="2"/>
        <v>40523</v>
      </c>
      <c r="X18" s="29">
        <f t="shared" si="14"/>
        <v>13</v>
      </c>
      <c r="Y18" s="113">
        <f>IFERROR(IFERROR(VLOOKUP(Y14,'All data map'!$C$2:$O$2062,11,FALSE),VLOOKUP(Y14,'All data map'!$C$2076:$O$2086,11,FALSE)),"-")</f>
        <v>1</v>
      </c>
      <c r="Z1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)))))))))))))))))))))))))))))))))))))))))))))))),BD18,FALSE),"-")</f>
        <v>-</v>
      </c>
      <c r="AA1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)))))))))))))))))))))))))))))))))))))))))))))))),BE18,FALSE),"-")</f>
        <v>-</v>
      </c>
      <c r="AB1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)))))))))))))))))))))))))))))))))))))))))))))))),BF18,FALSE),"-")</f>
        <v>-</v>
      </c>
      <c r="AC1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)))))))))))))))))))))))))))))))))))))))))))))))),BG18,FALSE),"-")</f>
        <v>-</v>
      </c>
      <c r="AD1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)))))))))))))))))))))))))))))))))))))))))))))))),BH18,FALSE),"-")</f>
        <v>-</v>
      </c>
      <c r="BB18" s="12">
        <v>9</v>
      </c>
      <c r="BC18" s="12">
        <v>9</v>
      </c>
      <c r="BD18" s="12">
        <v>9</v>
      </c>
      <c r="BE18" s="12">
        <v>9</v>
      </c>
      <c r="BF18" s="12">
        <v>9</v>
      </c>
      <c r="BG18" s="12">
        <v>9</v>
      </c>
      <c r="BH18" s="12">
        <v>9</v>
      </c>
      <c r="BI18" s="12">
        <v>9</v>
      </c>
      <c r="BJ18" s="12">
        <v>9</v>
      </c>
      <c r="BK18" s="12">
        <v>9</v>
      </c>
      <c r="BL18" s="12">
        <v>9</v>
      </c>
      <c r="BM18" s="12">
        <v>9</v>
      </c>
      <c r="BN18" s="12">
        <v>9</v>
      </c>
      <c r="BO18" s="12">
        <v>9</v>
      </c>
      <c r="BP18" s="12">
        <v>9</v>
      </c>
      <c r="BQ18" s="12">
        <v>9</v>
      </c>
      <c r="BR18" s="12">
        <v>9</v>
      </c>
    </row>
    <row r="19" spans="2:70" ht="16.5" customHeight="1">
      <c r="B19" s="104">
        <v>8</v>
      </c>
      <c r="C19" s="91" t="s">
        <v>34</v>
      </c>
      <c r="D19" s="90">
        <f>IFERROR(VLOOKUP(C19,'refresh size'!C:E,2,FALSE),0)</f>
        <v>2</v>
      </c>
      <c r="E19" s="88">
        <f>IFERROR(VLOOKUP(C19,'refresh size'!C:E,3,FALSE),0)</f>
        <v>0</v>
      </c>
      <c r="F19" s="123">
        <f>IF(LEN(C19)&gt;0,IF(D19&gt;0,MAX(F$10:F18)+D19,"-"),"-")</f>
        <v>232</v>
      </c>
      <c r="G19" s="123" t="str">
        <f>IF(LEN(C19)&gt;0,IF(E19&gt;0,MAX(G$10:G18)+E19,"-"),"-")</f>
        <v>-</v>
      </c>
      <c r="H19" s="8">
        <f t="shared" si="6"/>
        <v>64</v>
      </c>
      <c r="I19" s="8">
        <f t="shared" si="7"/>
        <v>64</v>
      </c>
      <c r="J19" s="8">
        <f t="shared" si="8"/>
        <v>512</v>
      </c>
      <c r="K19" s="9">
        <f t="shared" si="9"/>
        <v>230</v>
      </c>
      <c r="L19" s="9">
        <f t="shared" si="9"/>
        <v>0</v>
      </c>
      <c r="M19" s="10" t="str">
        <f t="shared" si="10"/>
        <v>MW</v>
      </c>
      <c r="N19" s="11">
        <f t="shared" si="11"/>
        <v>115</v>
      </c>
      <c r="O19" s="10" t="str">
        <f t="shared" si="10"/>
        <v>MW</v>
      </c>
      <c r="P19" s="23" t="str">
        <f t="shared" si="12"/>
        <v>-</v>
      </c>
      <c r="Q19" s="24" t="str">
        <f t="shared" si="13"/>
        <v>H30273</v>
      </c>
      <c r="R19" s="28">
        <f t="shared" si="3"/>
        <v>1</v>
      </c>
      <c r="S19" s="24">
        <f t="shared" si="4"/>
        <v>0</v>
      </c>
      <c r="T19" s="29">
        <f t="shared" ref="T19:T22" si="15">E19/2</f>
        <v>0</v>
      </c>
      <c r="U19" s="25" t="str">
        <f t="shared" si="1"/>
        <v>305127</v>
      </c>
      <c r="V19" s="28">
        <f t="shared" si="5"/>
        <v>1</v>
      </c>
      <c r="W19" s="7">
        <f t="shared" si="2"/>
        <v>0</v>
      </c>
      <c r="X19" s="29">
        <f t="shared" si="14"/>
        <v>0</v>
      </c>
      <c r="Y19" s="112" t="s">
        <v>362</v>
      </c>
      <c r="Z1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)))))))))))))))))))))))))))))))))))))))))))))))),BD19,FALSE),"-")</f>
        <v>-</v>
      </c>
      <c r="AA1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)))))))))))))))))))))))))))))))))))))))))))))))),BE19,FALSE),"-")</f>
        <v>-</v>
      </c>
      <c r="AB1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)))))))))))))))))))))))))))))))))))))))))))))))),BF19,FALSE),"-")</f>
        <v>-</v>
      </c>
      <c r="AC1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)))))))))))))))))))))))))))))))))))))))))))))))),BG19,FALSE),"-")</f>
        <v>-</v>
      </c>
      <c r="AD1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)))))))))))))))))))))))))))))))))))))))))))))))),BH19,FALSE),"-")</f>
        <v>-</v>
      </c>
      <c r="BB19" s="12">
        <v>10</v>
      </c>
      <c r="BC19" s="12">
        <v>10</v>
      </c>
      <c r="BD19" s="12">
        <v>10</v>
      </c>
      <c r="BE19" s="12">
        <v>10</v>
      </c>
      <c r="BF19" s="12">
        <v>10</v>
      </c>
      <c r="BG19" s="12">
        <v>10</v>
      </c>
      <c r="BH19" s="12">
        <v>10</v>
      </c>
      <c r="BI19" s="12">
        <v>10</v>
      </c>
      <c r="BJ19" s="12">
        <v>10</v>
      </c>
      <c r="BK19" s="12">
        <v>10</v>
      </c>
      <c r="BL19" s="12">
        <v>10</v>
      </c>
      <c r="BM19" s="12">
        <v>10</v>
      </c>
      <c r="BN19" s="12">
        <v>10</v>
      </c>
      <c r="BO19" s="12">
        <v>10</v>
      </c>
      <c r="BP19" s="12">
        <v>10</v>
      </c>
      <c r="BQ19" s="12">
        <v>10</v>
      </c>
      <c r="BR19" s="12">
        <v>10</v>
      </c>
    </row>
    <row r="20" spans="2:70" ht="16.5" customHeight="1" thickBot="1">
      <c r="B20" s="104">
        <v>9</v>
      </c>
      <c r="C20" s="91" t="s">
        <v>32</v>
      </c>
      <c r="D20" s="90">
        <f>IFERROR(VLOOKUP(C20,'refresh size'!C:E,2,FALSE),0)</f>
        <v>2</v>
      </c>
      <c r="E20" s="88">
        <f>IFERROR(VLOOKUP(C20,'refresh size'!C:E,3,FALSE),0)</f>
        <v>0</v>
      </c>
      <c r="F20" s="123">
        <f>IF(LEN(C20)&gt;0,IF(D20&gt;0,MAX(F$10:F19)+D20,"-"),"-")</f>
        <v>234</v>
      </c>
      <c r="G20" s="123" t="str">
        <f>IF(LEN(C20)&gt;0,IF(E20&gt;0,MAX(G$10:G19)+E20,"-"),"-")</f>
        <v>-</v>
      </c>
      <c r="H20" s="8">
        <f t="shared" si="6"/>
        <v>72</v>
      </c>
      <c r="I20" s="8">
        <f t="shared" si="7"/>
        <v>72</v>
      </c>
      <c r="J20" s="8">
        <f t="shared" si="8"/>
        <v>576</v>
      </c>
      <c r="K20" s="9">
        <f t="shared" si="9"/>
        <v>232</v>
      </c>
      <c r="L20" s="9">
        <f t="shared" si="9"/>
        <v>0</v>
      </c>
      <c r="M20" s="10" t="str">
        <f t="shared" si="10"/>
        <v>MW</v>
      </c>
      <c r="N20" s="11">
        <f t="shared" si="11"/>
        <v>116</v>
      </c>
      <c r="O20" s="10" t="str">
        <f t="shared" si="10"/>
        <v>MW</v>
      </c>
      <c r="P20" s="23" t="str">
        <f t="shared" si="12"/>
        <v>-</v>
      </c>
      <c r="Q20" s="24" t="str">
        <f t="shared" si="13"/>
        <v>H30274</v>
      </c>
      <c r="R20" s="28">
        <f t="shared" si="3"/>
        <v>1</v>
      </c>
      <c r="S20" s="24">
        <f t="shared" si="4"/>
        <v>0</v>
      </c>
      <c r="T20" s="29">
        <f t="shared" si="15"/>
        <v>0</v>
      </c>
      <c r="U20" s="25" t="str">
        <f t="shared" si="1"/>
        <v>305128</v>
      </c>
      <c r="V20" s="28">
        <f t="shared" si="5"/>
        <v>1</v>
      </c>
      <c r="W20" s="7">
        <f t="shared" si="2"/>
        <v>0</v>
      </c>
      <c r="X20" s="29">
        <f t="shared" si="14"/>
        <v>0</v>
      </c>
      <c r="Y20" s="113">
        <f>IFERROR(IFERROR(VLOOKUP(Y14, 'All data map'!$C$2:$O$2062,12,FALSE), VLOOKUP(Y14, 'All data map'!$C$2076:$O$2086,12, FALSE)),"-")</f>
        <v>0</v>
      </c>
      <c r="Z2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)))))))))))))))))))))))))))))))))))))))))))))))),BD20,FALSE),"-")</f>
        <v>-</v>
      </c>
      <c r="AA2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)))))))))))))))))))))))))))))))))))))))))))))))),BE20,FALSE),"-")</f>
        <v>-</v>
      </c>
      <c r="AB2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)))))))))))))))))))))))))))))))))))))))))))))))),BF20,FALSE),"-")</f>
        <v>-</v>
      </c>
      <c r="AC2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)))))))))))))))))))))))))))))))))))))))))))))))),BG20,FALSE),"-")</f>
        <v>-</v>
      </c>
      <c r="AD2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)))))))))))))))))))))))))))))))))))))))))))))))),BH20,FALSE),"-")</f>
        <v>-</v>
      </c>
      <c r="BB20" s="12">
        <v>11</v>
      </c>
      <c r="BC20" s="12">
        <v>11</v>
      </c>
      <c r="BD20" s="12">
        <v>11</v>
      </c>
      <c r="BE20" s="12">
        <v>11</v>
      </c>
      <c r="BF20" s="12">
        <v>11</v>
      </c>
      <c r="BG20" s="12">
        <v>11</v>
      </c>
      <c r="BH20" s="12">
        <v>11</v>
      </c>
      <c r="BI20" s="12">
        <v>11</v>
      </c>
      <c r="BJ20" s="12">
        <v>11</v>
      </c>
      <c r="BK20" s="12">
        <v>11</v>
      </c>
      <c r="BL20" s="12">
        <v>11</v>
      </c>
      <c r="BM20" s="12">
        <v>11</v>
      </c>
      <c r="BN20" s="12">
        <v>11</v>
      </c>
      <c r="BO20" s="12">
        <v>11</v>
      </c>
      <c r="BP20" s="12">
        <v>11</v>
      </c>
      <c r="BQ20" s="12">
        <v>11</v>
      </c>
      <c r="BR20" s="12">
        <v>11</v>
      </c>
    </row>
    <row r="21" spans="2:70" ht="16.5" customHeight="1">
      <c r="B21" s="104">
        <v>10</v>
      </c>
      <c r="C21" s="91" t="s">
        <v>67</v>
      </c>
      <c r="D21" s="90">
        <f>IFERROR(VLOOKUP(C21,'refresh size'!C:E,2,FALSE),0)</f>
        <v>4</v>
      </c>
      <c r="E21" s="88">
        <f>IFERROR(VLOOKUP(C21,'refresh size'!C:E,3,FALSE),0)</f>
        <v>20</v>
      </c>
      <c r="F21" s="123">
        <f>IF(LEN(C21)&gt;0,IF(D21&gt;0,MAX(F$10:F20)+D21,"-"),"-")</f>
        <v>238</v>
      </c>
      <c r="G21" s="123">
        <f>IF(LEN(C21)&gt;0,IF(E21&gt;0,MAX(G$10:G20)+E21,"-"),"-")</f>
        <v>68</v>
      </c>
      <c r="H21" s="8">
        <f t="shared" si="6"/>
        <v>80</v>
      </c>
      <c r="I21" s="8">
        <f t="shared" si="7"/>
        <v>80</v>
      </c>
      <c r="J21" s="8">
        <f t="shared" si="8"/>
        <v>640</v>
      </c>
      <c r="K21" s="9">
        <f t="shared" si="9"/>
        <v>234</v>
      </c>
      <c r="L21" s="9">
        <f t="shared" si="9"/>
        <v>48</v>
      </c>
      <c r="M21" s="10" t="str">
        <f t="shared" si="10"/>
        <v>MW</v>
      </c>
      <c r="N21" s="11">
        <f t="shared" si="11"/>
        <v>117</v>
      </c>
      <c r="O21" s="10" t="str">
        <f t="shared" si="10"/>
        <v>MW</v>
      </c>
      <c r="P21" s="23">
        <f t="shared" si="12"/>
        <v>124</v>
      </c>
      <c r="Q21" s="24" t="str">
        <f t="shared" si="13"/>
        <v>H30275</v>
      </c>
      <c r="R21" s="28">
        <f t="shared" si="3"/>
        <v>2</v>
      </c>
      <c r="S21" s="24" t="str">
        <f t="shared" si="4"/>
        <v>H40218</v>
      </c>
      <c r="T21" s="29">
        <f t="shared" si="15"/>
        <v>10</v>
      </c>
      <c r="U21" s="25" t="str">
        <f t="shared" si="1"/>
        <v>305129</v>
      </c>
      <c r="V21" s="28">
        <f t="shared" si="5"/>
        <v>2</v>
      </c>
      <c r="W21" s="7" t="str">
        <f t="shared" si="2"/>
        <v>40536</v>
      </c>
      <c r="X21" s="29">
        <f t="shared" si="14"/>
        <v>10</v>
      </c>
      <c r="Y21" s="112" t="s">
        <v>3210</v>
      </c>
      <c r="Z2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)))))))))))))))))))))))))))))))))))))))))))))))),BD21,FALSE),"-")</f>
        <v>-</v>
      </c>
      <c r="AA2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)))))))))))))))))))))))))))))))))))))))))))))))),BE21,FALSE),"-")</f>
        <v>-</v>
      </c>
      <c r="AB2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)))))))))))))))))))))))))))))))))))))))))))))))),BF21,FALSE),"-")</f>
        <v>-</v>
      </c>
      <c r="AC2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)))))))))))))))))))))))))))))))))))))))))))))))),BG21,FALSE),"-")</f>
        <v>-</v>
      </c>
      <c r="AD2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)))))))))))))))))))))))))))))))))))))))))))))))),BH21,FALSE),"-")</f>
        <v>-</v>
      </c>
      <c r="BB21" s="12">
        <v>12</v>
      </c>
      <c r="BC21" s="12">
        <v>12</v>
      </c>
      <c r="BD21" s="12">
        <v>12</v>
      </c>
      <c r="BE21" s="12">
        <v>12</v>
      </c>
      <c r="BF21" s="12">
        <v>12</v>
      </c>
      <c r="BG21" s="12">
        <v>12</v>
      </c>
      <c r="BH21" s="12">
        <v>12</v>
      </c>
      <c r="BI21" s="12">
        <v>12</v>
      </c>
      <c r="BJ21" s="12">
        <v>12</v>
      </c>
      <c r="BK21" s="12">
        <v>12</v>
      </c>
      <c r="BL21" s="12">
        <v>12</v>
      </c>
      <c r="BM21" s="12">
        <v>12</v>
      </c>
      <c r="BN21" s="12">
        <v>12</v>
      </c>
      <c r="BO21" s="12">
        <v>12</v>
      </c>
      <c r="BP21" s="12">
        <v>12</v>
      </c>
      <c r="BQ21" s="12">
        <v>12</v>
      </c>
      <c r="BR21" s="12">
        <v>12</v>
      </c>
    </row>
    <row r="22" spans="2:70" ht="17.25" customHeight="1" thickBot="1">
      <c r="B22" s="92">
        <v>11</v>
      </c>
      <c r="C22" s="93" t="s">
        <v>63</v>
      </c>
      <c r="D22" s="94">
        <f>IFERROR(VLOOKUP(C22,'refresh size'!C:E,2,FALSE),0)</f>
        <v>4</v>
      </c>
      <c r="E22" s="92">
        <f>IFERROR(VLOOKUP(C22,'refresh size'!C:E,3,FALSE),0)</f>
        <v>20</v>
      </c>
      <c r="F22" s="124">
        <f>IF(LEN(C22)&gt;0,IF(D22&gt;0,MAX(F$10:F21)+D22,"-"),"-")</f>
        <v>242</v>
      </c>
      <c r="G22" s="124">
        <f>IF(LEN(C22)&gt;0,IF(E22&gt;0,MAX(G$10:G21)+E22,"-"),"-")</f>
        <v>88</v>
      </c>
      <c r="H22" s="39">
        <f t="shared" si="6"/>
        <v>88</v>
      </c>
      <c r="I22" s="39">
        <f t="shared" si="7"/>
        <v>88</v>
      </c>
      <c r="J22" s="39">
        <f t="shared" si="8"/>
        <v>704</v>
      </c>
      <c r="K22" s="40">
        <f t="shared" si="9"/>
        <v>238</v>
      </c>
      <c r="L22" s="40">
        <f t="shared" si="9"/>
        <v>68</v>
      </c>
      <c r="M22" s="41" t="str">
        <f t="shared" si="10"/>
        <v>MW</v>
      </c>
      <c r="N22" s="42">
        <f t="shared" si="11"/>
        <v>119</v>
      </c>
      <c r="O22" s="41" t="str">
        <f t="shared" si="10"/>
        <v>MW</v>
      </c>
      <c r="P22" s="54">
        <f t="shared" si="12"/>
        <v>134</v>
      </c>
      <c r="Q22" s="37" t="str">
        <f t="shared" si="13"/>
        <v>H30277</v>
      </c>
      <c r="R22" s="48">
        <f t="shared" si="3"/>
        <v>2</v>
      </c>
      <c r="S22" s="37" t="str">
        <f t="shared" si="4"/>
        <v>H40222</v>
      </c>
      <c r="T22" s="49">
        <f t="shared" si="15"/>
        <v>10</v>
      </c>
      <c r="U22" s="50" t="str">
        <f t="shared" si="1"/>
        <v>305131</v>
      </c>
      <c r="V22" s="48">
        <f t="shared" si="5"/>
        <v>2</v>
      </c>
      <c r="W22" s="38" t="str">
        <f t="shared" si="2"/>
        <v>40546</v>
      </c>
      <c r="X22" s="49">
        <f t="shared" si="14"/>
        <v>10</v>
      </c>
      <c r="Y22" s="113">
        <f>IFERROR(IFERROR(VLOOKUP(Y14, 'All data map'!$C$2:$O$2062, 10, FALSE), VLOOKUP(Y14, 'All data map'!$C$2076:$O$2086, 10, FALSE)),"-")</f>
        <v>1</v>
      </c>
      <c r="Z2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)))))))))))))))))))))))))))))))))))))))))))))))),BD22,FALSE),"-")</f>
        <v>-</v>
      </c>
      <c r="AA2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)))))))))))))))))))))))))))))))))))))))))))))))),BE22,FALSE),"-")</f>
        <v>-</v>
      </c>
      <c r="AB2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)))))))))))))))))))))))))))))))))))))))))))))))),BF22,FALSE),"-")</f>
        <v>-</v>
      </c>
      <c r="AC2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)))))))))))))))))))))))))))))))))))))))))))))))),BG22,FALSE),"-")</f>
        <v>-</v>
      </c>
      <c r="AD2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)))))))))))))))))))))))))))))))))))))))))))))))),BH22,FALSE),"-")</f>
        <v>-</v>
      </c>
      <c r="BB22" s="12">
        <v>13</v>
      </c>
      <c r="BC22" s="12">
        <v>13</v>
      </c>
      <c r="BD22" s="12">
        <v>13</v>
      </c>
      <c r="BE22" s="12">
        <v>13</v>
      </c>
      <c r="BF22" s="12">
        <v>13</v>
      </c>
      <c r="BG22" s="12">
        <v>13</v>
      </c>
      <c r="BH22" s="12">
        <v>13</v>
      </c>
      <c r="BI22" s="12">
        <v>13</v>
      </c>
      <c r="BJ22" s="12">
        <v>13</v>
      </c>
      <c r="BK22" s="12">
        <v>13</v>
      </c>
      <c r="BL22" s="12">
        <v>13</v>
      </c>
      <c r="BM22" s="12">
        <v>13</v>
      </c>
      <c r="BN22" s="12">
        <v>13</v>
      </c>
      <c r="BO22" s="12">
        <v>13</v>
      </c>
      <c r="BP22" s="12">
        <v>13</v>
      </c>
      <c r="BQ22" s="12">
        <v>13</v>
      </c>
      <c r="BR22" s="12">
        <v>13</v>
      </c>
    </row>
    <row r="23" spans="2:70">
      <c r="B23" s="144" t="s">
        <v>17</v>
      </c>
      <c r="C23" s="145"/>
      <c r="D23" s="95">
        <f>SUM(D10:D22)</f>
        <v>242</v>
      </c>
      <c r="E23" s="96">
        <f>SUM(E10:E22)</f>
        <v>88</v>
      </c>
      <c r="Y23" s="5"/>
      <c r="Z2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)))))))))))))))))))))))))))))))))))))))))))))))),BD23,FALSE),"-")</f>
        <v>-</v>
      </c>
      <c r="AA2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)))))))))))))))))))))))))))))))))))))))))))))))),BE23,FALSE),"-")</f>
        <v>-</v>
      </c>
      <c r="AB2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)))))))))))))))))))))))))))))))))))))))))))))))),BF23,FALSE),"-")</f>
        <v>-</v>
      </c>
      <c r="AC2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)))))))))))))))))))))))))))))))))))))))))))))))),BG23,FALSE),"-")</f>
        <v>-</v>
      </c>
      <c r="AD2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)))))))))))))))))))))))))))))))))))))))))))))))),BH23,FALSE),"-")</f>
        <v>-</v>
      </c>
      <c r="BB23" s="12">
        <v>14</v>
      </c>
      <c r="BC23" s="12">
        <v>14</v>
      </c>
      <c r="BD23" s="12">
        <v>14</v>
      </c>
      <c r="BE23" s="12">
        <v>14</v>
      </c>
      <c r="BF23" s="12">
        <v>14</v>
      </c>
      <c r="BG23" s="12">
        <v>14</v>
      </c>
      <c r="BH23" s="12">
        <v>14</v>
      </c>
      <c r="BI23" s="12">
        <v>14</v>
      </c>
      <c r="BJ23" s="12">
        <v>14</v>
      </c>
      <c r="BK23" s="12">
        <v>14</v>
      </c>
      <c r="BL23" s="12">
        <v>14</v>
      </c>
      <c r="BM23" s="12">
        <v>14</v>
      </c>
      <c r="BN23" s="12">
        <v>14</v>
      </c>
      <c r="BO23" s="12">
        <v>14</v>
      </c>
      <c r="BP23" s="12">
        <v>14</v>
      </c>
      <c r="BQ23" s="12">
        <v>14</v>
      </c>
      <c r="BR23" s="12">
        <v>14</v>
      </c>
    </row>
    <row r="24" spans="2:70" ht="15.75" customHeight="1" thickBot="1">
      <c r="B24" s="146" t="s">
        <v>18</v>
      </c>
      <c r="C24" s="147"/>
      <c r="D24" s="92">
        <f>D23/2</f>
        <v>121</v>
      </c>
      <c r="E24" s="92">
        <f>E23/2</f>
        <v>44</v>
      </c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Z2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)))))))))))))))))))))))))))))))))))))))))))))))),BD24,FALSE),"-")</f>
        <v>-</v>
      </c>
      <c r="AA2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)))))))))))))))))))))))))))))))))))))))))))))))),BE24,FALSE),"-")</f>
        <v>-</v>
      </c>
      <c r="AB2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)))))))))))))))))))))))))))))))))))))))))))))))),BF24,FALSE),"-")</f>
        <v>-</v>
      </c>
      <c r="AC2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)))))))))))))))))))))))))))))))))))))))))))))))),BG24,FALSE),"-")</f>
        <v>-</v>
      </c>
      <c r="AD2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)))))))))))))))))))))))))))))))))))))))))))))))),BH24,FALSE),"-")</f>
        <v>-</v>
      </c>
      <c r="BB24" s="12">
        <v>15</v>
      </c>
      <c r="BC24" s="12">
        <v>15</v>
      </c>
      <c r="BD24" s="12">
        <v>15</v>
      </c>
      <c r="BE24" s="12">
        <v>15</v>
      </c>
      <c r="BF24" s="12">
        <v>15</v>
      </c>
      <c r="BG24" s="12">
        <v>15</v>
      </c>
      <c r="BH24" s="12">
        <v>15</v>
      </c>
      <c r="BI24" s="12">
        <v>15</v>
      </c>
      <c r="BJ24" s="12">
        <v>15</v>
      </c>
      <c r="BK24" s="12">
        <v>15</v>
      </c>
      <c r="BL24" s="12">
        <v>15</v>
      </c>
      <c r="BM24" s="12">
        <v>15</v>
      </c>
      <c r="BN24" s="12">
        <v>15</v>
      </c>
      <c r="BO24" s="12">
        <v>15</v>
      </c>
      <c r="BP24" s="12">
        <v>15</v>
      </c>
      <c r="BQ24" s="12">
        <v>15</v>
      </c>
      <c r="BR24" s="12">
        <v>15</v>
      </c>
    </row>
    <row r="25" spans="2:70">
      <c r="B25" s="99"/>
      <c r="C25" s="99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Z2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)))))))))))))))))))))))))))))))))))))))))))))))),BD25,FALSE),"-")</f>
        <v>-</v>
      </c>
      <c r="AA2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)))))))))))))))))))))))))))))))))))))))))))))))),BE25,FALSE),"-")</f>
        <v>-</v>
      </c>
      <c r="AB2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)))))))))))))))))))))))))))))))))))))))))))))))),BF25,FALSE),"-")</f>
        <v>-</v>
      </c>
      <c r="AC2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)))))))))))))))))))))))))))))))))))))))))))))))),BG25,FALSE),"-")</f>
        <v>-</v>
      </c>
      <c r="AD2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)))))))))))))))))))))))))))))))))))))))))))))))),BH25,FALSE),"-")</f>
        <v>-</v>
      </c>
      <c r="BB25" s="12">
        <v>16</v>
      </c>
      <c r="BC25" s="12">
        <v>16</v>
      </c>
      <c r="BD25" s="12">
        <v>16</v>
      </c>
      <c r="BE25" s="12">
        <v>16</v>
      </c>
      <c r="BF25" s="12">
        <v>16</v>
      </c>
      <c r="BG25" s="12">
        <v>16</v>
      </c>
      <c r="BH25" s="12">
        <v>16</v>
      </c>
      <c r="BI25" s="12">
        <v>16</v>
      </c>
      <c r="BJ25" s="12">
        <v>16</v>
      </c>
      <c r="BK25" s="12">
        <v>16</v>
      </c>
      <c r="BL25" s="12">
        <v>16</v>
      </c>
      <c r="BM25" s="12">
        <v>16</v>
      </c>
      <c r="BN25" s="12">
        <v>16</v>
      </c>
      <c r="BO25" s="12">
        <v>16</v>
      </c>
      <c r="BP25" s="12">
        <v>16</v>
      </c>
      <c r="BQ25" s="12">
        <v>16</v>
      </c>
      <c r="BR25" s="12">
        <v>16</v>
      </c>
    </row>
    <row r="26" spans="2:70">
      <c r="Z2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)))))))))))))))))))))))))))))))))))))))))))))))),BD26,FALSE),"-")</f>
        <v>-</v>
      </c>
      <c r="AA2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)))))))))))))))))))))))))))))))))))))))))))))))),BE26,FALSE),"-")</f>
        <v>-</v>
      </c>
      <c r="AB2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)))))))))))))))))))))))))))))))))))))))))))))))),BF26,FALSE),"-")</f>
        <v>-</v>
      </c>
      <c r="AC2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)))))))))))))))))))))))))))))))))))))))))))))))),BG26,FALSE),"-")</f>
        <v>-</v>
      </c>
      <c r="AD2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)))))))))))))))))))))))))))))))))))))))))))))))),BH26,FALSE),"-")</f>
        <v>-</v>
      </c>
      <c r="BB26" s="12">
        <v>17</v>
      </c>
      <c r="BC26" s="12">
        <v>17</v>
      </c>
      <c r="BD26" s="12">
        <v>17</v>
      </c>
      <c r="BE26" s="12">
        <v>17</v>
      </c>
      <c r="BF26" s="12">
        <v>17</v>
      </c>
      <c r="BG26" s="12">
        <v>17</v>
      </c>
      <c r="BH26" s="12">
        <v>17</v>
      </c>
      <c r="BI26" s="12">
        <v>17</v>
      </c>
      <c r="BJ26" s="12">
        <v>17</v>
      </c>
      <c r="BK26" s="12">
        <v>17</v>
      </c>
      <c r="BL26" s="12">
        <v>17</v>
      </c>
      <c r="BM26" s="12">
        <v>17</v>
      </c>
      <c r="BN26" s="12">
        <v>17</v>
      </c>
      <c r="BO26" s="12">
        <v>17</v>
      </c>
      <c r="BP26" s="12">
        <v>17</v>
      </c>
      <c r="BQ26" s="12">
        <v>17</v>
      </c>
      <c r="BR26" s="12">
        <v>17</v>
      </c>
    </row>
    <row r="27" spans="2:70">
      <c r="Z2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)))))))))))))))))))))))))))))))))))))))))))))))),BD27,FALSE),"-")</f>
        <v>-</v>
      </c>
      <c r="AA2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)))))))))))))))))))))))))))))))))))))))))))))))),BE27,FALSE),"-")</f>
        <v>-</v>
      </c>
      <c r="AB2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)))))))))))))))))))))))))))))))))))))))))))))))),BF27,FALSE),"-")</f>
        <v>-</v>
      </c>
      <c r="AC2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)))))))))))))))))))))))))))))))))))))))))))))))),BG27,FALSE),"-")</f>
        <v>-</v>
      </c>
      <c r="AD2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)))))))))))))))))))))))))))))))))))))))))))))))),BH27,FALSE),"-")</f>
        <v>-</v>
      </c>
      <c r="BB27" s="12">
        <v>18</v>
      </c>
      <c r="BC27" s="12">
        <v>18</v>
      </c>
      <c r="BD27" s="12">
        <v>18</v>
      </c>
      <c r="BE27" s="12">
        <v>18</v>
      </c>
      <c r="BF27" s="12">
        <v>18</v>
      </c>
      <c r="BG27" s="12">
        <v>18</v>
      </c>
      <c r="BH27" s="12">
        <v>18</v>
      </c>
      <c r="BI27" s="12">
        <v>18</v>
      </c>
      <c r="BJ27" s="12">
        <v>18</v>
      </c>
      <c r="BK27" s="12">
        <v>18</v>
      </c>
      <c r="BL27" s="12">
        <v>18</v>
      </c>
      <c r="BM27" s="12">
        <v>18</v>
      </c>
      <c r="BN27" s="12">
        <v>18</v>
      </c>
      <c r="BO27" s="12">
        <v>18</v>
      </c>
      <c r="BP27" s="12">
        <v>18</v>
      </c>
      <c r="BQ27" s="12">
        <v>18</v>
      </c>
      <c r="BR27" s="12">
        <v>18</v>
      </c>
    </row>
    <row r="28" spans="2:70">
      <c r="Z2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)))))))))))))))))))))))))))))))))))))))))))))))),BD28,FALSE),"-")</f>
        <v>-</v>
      </c>
      <c r="AA2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)))))))))))))))))))))))))))))))))))))))))))))))),BE28,FALSE),"-")</f>
        <v>-</v>
      </c>
      <c r="AB2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)))))))))))))))))))))))))))))))))))))))))))))))),BF28,FALSE),"-")</f>
        <v>-</v>
      </c>
      <c r="AC2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)))))))))))))))))))))))))))))))))))))))))))))))),BG28,FALSE),"-")</f>
        <v>-</v>
      </c>
      <c r="AD2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)))))))))))))))))))))))))))))))))))))))))))))))),BH28,FALSE),"-")</f>
        <v>-</v>
      </c>
      <c r="BB28" s="12">
        <v>19</v>
      </c>
      <c r="BC28" s="12">
        <v>19</v>
      </c>
      <c r="BD28" s="12">
        <v>19</v>
      </c>
      <c r="BE28" s="12">
        <v>19</v>
      </c>
      <c r="BF28" s="12">
        <v>19</v>
      </c>
      <c r="BG28" s="12">
        <v>19</v>
      </c>
      <c r="BH28" s="12">
        <v>19</v>
      </c>
      <c r="BI28" s="12">
        <v>19</v>
      </c>
      <c r="BJ28" s="12">
        <v>19</v>
      </c>
      <c r="BK28" s="12">
        <v>19</v>
      </c>
      <c r="BL28" s="12">
        <v>19</v>
      </c>
      <c r="BM28" s="12">
        <v>19</v>
      </c>
      <c r="BN28" s="12">
        <v>19</v>
      </c>
      <c r="BO28" s="12">
        <v>19</v>
      </c>
      <c r="BP28" s="12">
        <v>19</v>
      </c>
      <c r="BQ28" s="12">
        <v>19</v>
      </c>
      <c r="BR28" s="12">
        <v>19</v>
      </c>
    </row>
    <row r="29" spans="2:70">
      <c r="Z2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)))))))))))))))))))))))))))))))))))))))))))))))),BD29,FALSE),"-")</f>
        <v>-</v>
      </c>
      <c r="AA2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)))))))))))))))))))))))))))))))))))))))))))))))),BE29,FALSE),"-")</f>
        <v>-</v>
      </c>
      <c r="AB2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)))))))))))))))))))))))))))))))))))))))))))))))),BF29,FALSE),"-")</f>
        <v>-</v>
      </c>
      <c r="AC2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)))))))))))))))))))))))))))))))))))))))))))))))),BG29,FALSE),"-")</f>
        <v>-</v>
      </c>
      <c r="AD2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)))))))))))))))))))))))))))))))))))))))))))))))),BH29,FALSE),"-")</f>
        <v>-</v>
      </c>
      <c r="BB29" s="12">
        <v>20</v>
      </c>
      <c r="BC29" s="12">
        <v>20</v>
      </c>
      <c r="BD29" s="12">
        <v>20</v>
      </c>
      <c r="BE29" s="12">
        <v>20</v>
      </c>
      <c r="BF29" s="12">
        <v>20</v>
      </c>
      <c r="BG29" s="12">
        <v>20</v>
      </c>
      <c r="BH29" s="12">
        <v>20</v>
      </c>
      <c r="BI29" s="12">
        <v>20</v>
      </c>
      <c r="BJ29" s="12">
        <v>20</v>
      </c>
      <c r="BK29" s="12">
        <v>20</v>
      </c>
      <c r="BL29" s="12">
        <v>20</v>
      </c>
      <c r="BM29" s="12">
        <v>20</v>
      </c>
      <c r="BN29" s="12">
        <v>20</v>
      </c>
      <c r="BO29" s="12">
        <v>20</v>
      </c>
      <c r="BP29" s="12">
        <v>20</v>
      </c>
      <c r="BQ29" s="12">
        <v>20</v>
      </c>
      <c r="BR29" s="12">
        <v>20</v>
      </c>
    </row>
    <row r="30" spans="2:70">
      <c r="Z3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)))))))))))))))))))))))))))))))))))))))))))))))),BD30,FALSE),"-")</f>
        <v>-</v>
      </c>
      <c r="AA3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)))))))))))))))))))))))))))))))))))))))))))))))),BE30,FALSE),"-")</f>
        <v>-</v>
      </c>
      <c r="AB3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)))))))))))))))))))))))))))))))))))))))))))))))),BF30,FALSE),"-")</f>
        <v>-</v>
      </c>
      <c r="AC3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)))))))))))))))))))))))))))))))))))))))))))))))),BG30,FALSE),"-")</f>
        <v>-</v>
      </c>
      <c r="AD3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)))))))))))))))))))))))))))))))))))))))))))))))),BH30,FALSE),"-")</f>
        <v>-</v>
      </c>
      <c r="BB30" s="12">
        <v>21</v>
      </c>
      <c r="BC30" s="12">
        <v>21</v>
      </c>
      <c r="BD30" s="12">
        <v>21</v>
      </c>
      <c r="BE30" s="12">
        <v>21</v>
      </c>
      <c r="BF30" s="12">
        <v>21</v>
      </c>
      <c r="BG30" s="12">
        <v>21</v>
      </c>
      <c r="BH30" s="12">
        <v>21</v>
      </c>
      <c r="BI30" s="12">
        <v>21</v>
      </c>
      <c r="BJ30" s="12">
        <v>21</v>
      </c>
      <c r="BK30" s="12">
        <v>21</v>
      </c>
      <c r="BL30" s="12">
        <v>21</v>
      </c>
      <c r="BM30" s="12">
        <v>21</v>
      </c>
      <c r="BN30" s="12">
        <v>21</v>
      </c>
      <c r="BO30" s="12">
        <v>21</v>
      </c>
      <c r="BP30" s="12">
        <v>21</v>
      </c>
      <c r="BQ30" s="12">
        <v>21</v>
      </c>
      <c r="BR30" s="12">
        <v>21</v>
      </c>
    </row>
    <row r="31" spans="2:70">
      <c r="Z3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)))))))))))))))))))))))))))))))))))))))))))))))),BD31,FALSE),"-")</f>
        <v>-</v>
      </c>
      <c r="AA3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)))))))))))))))))))))))))))))))))))))))))))))))),BE31,FALSE),"-")</f>
        <v>-</v>
      </c>
      <c r="AB3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)))))))))))))))))))))))))))))))))))))))))))))))),BF31,FALSE),"-")</f>
        <v>-</v>
      </c>
      <c r="AC3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)))))))))))))))))))))))))))))))))))))))))))))))),BG31,FALSE),"-")</f>
        <v>-</v>
      </c>
      <c r="AD3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)))))))))))))))))))))))))))))))))))))))))))))))),BH31,FALSE),"-")</f>
        <v>-</v>
      </c>
      <c r="BB31" s="12">
        <v>22</v>
      </c>
      <c r="BC31" s="12">
        <v>22</v>
      </c>
      <c r="BD31" s="12">
        <v>22</v>
      </c>
      <c r="BE31" s="12">
        <v>22</v>
      </c>
      <c r="BF31" s="12">
        <v>22</v>
      </c>
      <c r="BG31" s="12">
        <v>22</v>
      </c>
      <c r="BH31" s="12">
        <v>22</v>
      </c>
      <c r="BI31" s="12">
        <v>22</v>
      </c>
      <c r="BJ31" s="12">
        <v>22</v>
      </c>
      <c r="BK31" s="12">
        <v>22</v>
      </c>
      <c r="BL31" s="12">
        <v>22</v>
      </c>
      <c r="BM31" s="12">
        <v>22</v>
      </c>
      <c r="BN31" s="12">
        <v>22</v>
      </c>
      <c r="BO31" s="12">
        <v>22</v>
      </c>
      <c r="BP31" s="12">
        <v>22</v>
      </c>
      <c r="BQ31" s="12">
        <v>22</v>
      </c>
      <c r="BR31" s="12">
        <v>22</v>
      </c>
    </row>
    <row r="32" spans="2:70">
      <c r="Z3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)))))))))))))))))))))))))))))))))))))))))))))))),BD32,FALSE),"-")</f>
        <v>-</v>
      </c>
      <c r="AA3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)))))))))))))))))))))))))))))))))))))))))))))))),BE32,FALSE),"-")</f>
        <v>-</v>
      </c>
      <c r="AB3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)))))))))))))))))))))))))))))))))))))))))))))))),BF32,FALSE),"-")</f>
        <v>-</v>
      </c>
      <c r="AC3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)))))))))))))))))))))))))))))))))))))))))))))))),BG32,FALSE),"-")</f>
        <v>-</v>
      </c>
      <c r="AD3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)))))))))))))))))))))))))))))))))))))))))))))))),BH32,FALSE),"-")</f>
        <v>-</v>
      </c>
      <c r="BB32" s="12">
        <v>23</v>
      </c>
      <c r="BC32" s="12">
        <v>23</v>
      </c>
      <c r="BD32" s="12">
        <v>23</v>
      </c>
      <c r="BE32" s="12">
        <v>23</v>
      </c>
      <c r="BF32" s="12">
        <v>23</v>
      </c>
      <c r="BG32" s="12">
        <v>23</v>
      </c>
      <c r="BH32" s="12">
        <v>23</v>
      </c>
      <c r="BI32" s="12">
        <v>23</v>
      </c>
      <c r="BJ32" s="12">
        <v>23</v>
      </c>
      <c r="BK32" s="12">
        <v>23</v>
      </c>
      <c r="BL32" s="12">
        <v>23</v>
      </c>
      <c r="BM32" s="12">
        <v>23</v>
      </c>
      <c r="BN32" s="12">
        <v>23</v>
      </c>
      <c r="BO32" s="12">
        <v>23</v>
      </c>
      <c r="BP32" s="12">
        <v>23</v>
      </c>
      <c r="BQ32" s="12">
        <v>23</v>
      </c>
      <c r="BR32" s="12">
        <v>23</v>
      </c>
    </row>
    <row r="33" spans="3:70">
      <c r="C33" s="106"/>
      <c r="Z3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)))))))))))))))))))))))))))))))))))))))))))))))),BD33,FALSE),"-")</f>
        <v>-</v>
      </c>
      <c r="AA3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)))))))))))))))))))))))))))))))))))))))))))))))),BE33,FALSE),"-")</f>
        <v>-</v>
      </c>
      <c r="AB3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)))))))))))))))))))))))))))))))))))))))))))))))),BF33,FALSE),"-")</f>
        <v>-</v>
      </c>
      <c r="AC3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)))))))))))))))))))))))))))))))))))))))))))))))),BG33,FALSE),"-")</f>
        <v>-</v>
      </c>
      <c r="AD3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)))))))))))))))))))))))))))))))))))))))))))))))),BH33,FALSE),"-")</f>
        <v>-</v>
      </c>
      <c r="BB33" s="12">
        <v>24</v>
      </c>
      <c r="BC33" s="12">
        <v>24</v>
      </c>
      <c r="BD33" s="12">
        <v>24</v>
      </c>
      <c r="BE33" s="12">
        <v>24</v>
      </c>
      <c r="BF33" s="12">
        <v>24</v>
      </c>
      <c r="BG33" s="12">
        <v>24</v>
      </c>
      <c r="BH33" s="12">
        <v>24</v>
      </c>
      <c r="BI33" s="12">
        <v>24</v>
      </c>
      <c r="BJ33" s="12">
        <v>24</v>
      </c>
      <c r="BK33" s="12">
        <v>24</v>
      </c>
      <c r="BL33" s="12">
        <v>24</v>
      </c>
      <c r="BM33" s="12">
        <v>24</v>
      </c>
      <c r="BN33" s="12">
        <v>24</v>
      </c>
      <c r="BO33" s="12">
        <v>24</v>
      </c>
      <c r="BP33" s="12">
        <v>24</v>
      </c>
      <c r="BQ33" s="12">
        <v>24</v>
      </c>
      <c r="BR33" s="12">
        <v>24</v>
      </c>
    </row>
    <row r="34" spans="3:70">
      <c r="C34" s="107"/>
      <c r="Z3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)))))))))))))))))))))))))))))))))))))))))))))))),BD34,FALSE),"-")</f>
        <v>-</v>
      </c>
      <c r="AA3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)))))))))))))))))))))))))))))))))))))))))))))))),BE34,FALSE),"-")</f>
        <v>-</v>
      </c>
      <c r="AB3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)))))))))))))))))))))))))))))))))))))))))))))))),BF34,FALSE),"-")</f>
        <v>-</v>
      </c>
      <c r="AC3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)))))))))))))))))))))))))))))))))))))))))))))))),BG34,FALSE),"-")</f>
        <v>-</v>
      </c>
      <c r="AD3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)))))))))))))))))))))))))))))))))))))))))))))))),BH34,FALSE),"-")</f>
        <v>-</v>
      </c>
      <c r="BB34" s="12">
        <v>25</v>
      </c>
      <c r="BC34" s="12">
        <v>25</v>
      </c>
      <c r="BD34" s="12">
        <v>25</v>
      </c>
      <c r="BE34" s="12">
        <v>25</v>
      </c>
      <c r="BF34" s="12">
        <v>25</v>
      </c>
      <c r="BG34" s="12">
        <v>25</v>
      </c>
      <c r="BH34" s="12">
        <v>25</v>
      </c>
      <c r="BI34" s="12">
        <v>25</v>
      </c>
      <c r="BJ34" s="12">
        <v>25</v>
      </c>
      <c r="BK34" s="12">
        <v>25</v>
      </c>
      <c r="BL34" s="12">
        <v>25</v>
      </c>
      <c r="BM34" s="12">
        <v>25</v>
      </c>
      <c r="BN34" s="12">
        <v>25</v>
      </c>
      <c r="BO34" s="12">
        <v>25</v>
      </c>
      <c r="BP34" s="12">
        <v>25</v>
      </c>
      <c r="BQ34" s="12">
        <v>25</v>
      </c>
      <c r="BR34" s="12">
        <v>25</v>
      </c>
    </row>
    <row r="35" spans="3:70">
      <c r="Z3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)))))))))))))))))))))))))))))))))))))))))))))))),BD35,FALSE),"-")</f>
        <v>-</v>
      </c>
      <c r="AA3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)))))))))))))))))))))))))))))))))))))))))))))))),BE35,FALSE),"-")</f>
        <v>-</v>
      </c>
      <c r="AB3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)))))))))))))))))))))))))))))))))))))))))))))))),BF35,FALSE),"-")</f>
        <v>-</v>
      </c>
      <c r="AC3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)))))))))))))))))))))))))))))))))))))))))))))))),BG35,FALSE),"-")</f>
        <v>-</v>
      </c>
      <c r="AD3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)))))))))))))))))))))))))))))))))))))))))))))))),BH35,FALSE),"-")</f>
        <v>-</v>
      </c>
      <c r="BB35" s="12">
        <v>26</v>
      </c>
      <c r="BC35" s="12">
        <v>26</v>
      </c>
      <c r="BD35" s="12">
        <v>26</v>
      </c>
      <c r="BE35" s="12">
        <v>26</v>
      </c>
      <c r="BF35" s="12">
        <v>26</v>
      </c>
      <c r="BG35" s="12">
        <v>26</v>
      </c>
      <c r="BH35" s="12">
        <v>26</v>
      </c>
      <c r="BI35" s="12">
        <v>26</v>
      </c>
      <c r="BJ35" s="12">
        <v>26</v>
      </c>
      <c r="BK35" s="12">
        <v>26</v>
      </c>
      <c r="BL35" s="12">
        <v>26</v>
      </c>
      <c r="BM35" s="12">
        <v>26</v>
      </c>
      <c r="BN35" s="12">
        <v>26</v>
      </c>
      <c r="BO35" s="12">
        <v>26</v>
      </c>
      <c r="BP35" s="12">
        <v>26</v>
      </c>
      <c r="BQ35" s="12">
        <v>26</v>
      </c>
      <c r="BR35" s="12">
        <v>26</v>
      </c>
    </row>
    <row r="36" spans="3:70">
      <c r="Z3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)))))))))))))))))))))))))))))))))))))))))))))))),BD36,FALSE),"-")</f>
        <v>-</v>
      </c>
      <c r="AA3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)))))))))))))))))))))))))))))))))))))))))))))))),BE36,FALSE),"-")</f>
        <v>-</v>
      </c>
      <c r="AB3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)))))))))))))))))))))))))))))))))))))))))))))))),BF36,FALSE),"-")</f>
        <v>-</v>
      </c>
      <c r="AC3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)))))))))))))))))))))))))))))))))))))))))))))))),BG36,FALSE),"-")</f>
        <v>-</v>
      </c>
      <c r="AD3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)))))))))))))))))))))))))))))))))))))))))))))))),BH36,FALSE),"-")</f>
        <v>-</v>
      </c>
      <c r="BB36" s="12">
        <v>27</v>
      </c>
      <c r="BC36" s="12">
        <v>27</v>
      </c>
      <c r="BD36" s="12">
        <v>27</v>
      </c>
      <c r="BE36" s="12">
        <v>27</v>
      </c>
      <c r="BF36" s="12">
        <v>27</v>
      </c>
      <c r="BG36" s="12">
        <v>27</v>
      </c>
      <c r="BH36" s="12">
        <v>27</v>
      </c>
      <c r="BI36" s="12">
        <v>27</v>
      </c>
      <c r="BJ36" s="12">
        <v>27</v>
      </c>
      <c r="BK36" s="12">
        <v>27</v>
      </c>
      <c r="BL36" s="12">
        <v>27</v>
      </c>
      <c r="BM36" s="12">
        <v>27</v>
      </c>
      <c r="BN36" s="12">
        <v>27</v>
      </c>
      <c r="BO36" s="12">
        <v>27</v>
      </c>
      <c r="BP36" s="12">
        <v>27</v>
      </c>
      <c r="BQ36" s="12">
        <v>27</v>
      </c>
      <c r="BR36" s="12">
        <v>27</v>
      </c>
    </row>
    <row r="37" spans="3:70">
      <c r="C37" s="106"/>
      <c r="Z3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)))))))))))))))))))))))))))))))))))))))))))))))),BD37,FALSE),"-")</f>
        <v>-</v>
      </c>
      <c r="AA3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)))))))))))))))))))))))))))))))))))))))))))))))),BE37,FALSE),"-")</f>
        <v>-</v>
      </c>
      <c r="AB3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)))))))))))))))))))))))))))))))))))))))))))))))),BF37,FALSE),"-")</f>
        <v>-</v>
      </c>
      <c r="AC3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)))))))))))))))))))))))))))))))))))))))))))))))),BG37,FALSE),"-")</f>
        <v>-</v>
      </c>
      <c r="AD3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)))))))))))))))))))))))))))))))))))))))))))))))),BH37,FALSE),"-")</f>
        <v>-</v>
      </c>
      <c r="BB37" s="12">
        <v>28</v>
      </c>
      <c r="BC37" s="12">
        <v>28</v>
      </c>
      <c r="BD37" s="12">
        <v>28</v>
      </c>
      <c r="BE37" s="12">
        <v>28</v>
      </c>
      <c r="BF37" s="12">
        <v>28</v>
      </c>
      <c r="BG37" s="12">
        <v>28</v>
      </c>
      <c r="BH37" s="12">
        <v>28</v>
      </c>
      <c r="BI37" s="12">
        <v>28</v>
      </c>
      <c r="BJ37" s="12">
        <v>28</v>
      </c>
      <c r="BK37" s="12">
        <v>28</v>
      </c>
      <c r="BL37" s="12">
        <v>28</v>
      </c>
      <c r="BM37" s="12">
        <v>28</v>
      </c>
      <c r="BN37" s="12">
        <v>28</v>
      </c>
      <c r="BO37" s="12">
        <v>28</v>
      </c>
      <c r="BP37" s="12">
        <v>28</v>
      </c>
      <c r="BQ37" s="12">
        <v>28</v>
      </c>
      <c r="BR37" s="12">
        <v>28</v>
      </c>
    </row>
    <row r="38" spans="3:70">
      <c r="C38" s="107"/>
      <c r="Z3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)))))))))))))))))))))))))))))))))))))))))))))))),BD38,FALSE),"-")</f>
        <v>-</v>
      </c>
      <c r="AA3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)))))))))))))))))))))))))))))))))))))))))))))))),BE38,FALSE),"-")</f>
        <v>-</v>
      </c>
      <c r="AB3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)))))))))))))))))))))))))))))))))))))))))))))))),BF38,FALSE),"-")</f>
        <v>-</v>
      </c>
      <c r="AC3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)))))))))))))))))))))))))))))))))))))))))))))))),BG38,FALSE),"-")</f>
        <v>-</v>
      </c>
      <c r="AD3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)))))))))))))))))))))))))))))))))))))))))))))))),BH38,FALSE),"-")</f>
        <v>-</v>
      </c>
      <c r="BB38" s="12">
        <v>29</v>
      </c>
      <c r="BC38" s="12">
        <v>29</v>
      </c>
      <c r="BD38" s="12">
        <v>29</v>
      </c>
      <c r="BE38" s="12">
        <v>29</v>
      </c>
      <c r="BF38" s="12">
        <v>29</v>
      </c>
      <c r="BG38" s="12">
        <v>29</v>
      </c>
      <c r="BH38" s="12">
        <v>29</v>
      </c>
      <c r="BI38" s="12">
        <v>29</v>
      </c>
      <c r="BJ38" s="12">
        <v>29</v>
      </c>
      <c r="BK38" s="12">
        <v>29</v>
      </c>
      <c r="BL38" s="12">
        <v>29</v>
      </c>
      <c r="BM38" s="12">
        <v>29</v>
      </c>
      <c r="BN38" s="12">
        <v>29</v>
      </c>
      <c r="BO38" s="12">
        <v>29</v>
      </c>
      <c r="BP38" s="12">
        <v>29</v>
      </c>
      <c r="BQ38" s="12">
        <v>29</v>
      </c>
      <c r="BR38" s="12">
        <v>29</v>
      </c>
    </row>
    <row r="39" spans="3:70">
      <c r="Z3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)))))))))))))))))))))))))))))))))))))))))))))))),BD39,FALSE),"-")</f>
        <v>-</v>
      </c>
      <c r="AA3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)))))))))))))))))))))))))))))))))))))))))))))))),BE39,FALSE),"-")</f>
        <v>-</v>
      </c>
      <c r="AB3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)))))))))))))))))))))))))))))))))))))))))))))))),BF39,FALSE),"-")</f>
        <v>-</v>
      </c>
      <c r="AC3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)))))))))))))))))))))))))))))))))))))))))))))))),BG39,FALSE),"-")</f>
        <v>-</v>
      </c>
      <c r="AD3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)))))))))))))))))))))))))))))))))))))))))))))))),BH39,FALSE),"-")</f>
        <v>-</v>
      </c>
      <c r="BB39" s="12">
        <v>30</v>
      </c>
      <c r="BC39" s="12">
        <v>30</v>
      </c>
      <c r="BD39" s="12">
        <v>30</v>
      </c>
      <c r="BE39" s="12">
        <v>30</v>
      </c>
      <c r="BF39" s="12">
        <v>30</v>
      </c>
      <c r="BG39" s="12">
        <v>30</v>
      </c>
      <c r="BH39" s="12">
        <v>30</v>
      </c>
      <c r="BI39" s="12">
        <v>30</v>
      </c>
      <c r="BJ39" s="12">
        <v>30</v>
      </c>
      <c r="BK39" s="12">
        <v>30</v>
      </c>
      <c r="BL39" s="12">
        <v>30</v>
      </c>
      <c r="BM39" s="12">
        <v>30</v>
      </c>
      <c r="BN39" s="12">
        <v>30</v>
      </c>
      <c r="BO39" s="12">
        <v>30</v>
      </c>
      <c r="BP39" s="12">
        <v>30</v>
      </c>
      <c r="BQ39" s="12">
        <v>30</v>
      </c>
      <c r="BR39" s="12">
        <v>30</v>
      </c>
    </row>
    <row r="40" spans="3:70">
      <c r="Z4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)))))))))))))))))))))))))))))))))))))))))))))))),BD40,FALSE),"-")</f>
        <v>-</v>
      </c>
      <c r="AA4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)))))))))))))))))))))))))))))))))))))))))))))))),BE40,FALSE),"-")</f>
        <v>-</v>
      </c>
      <c r="AB4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)))))))))))))))))))))))))))))))))))))))))))))))),BF40,FALSE),"-")</f>
        <v>-</v>
      </c>
      <c r="AC4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)))))))))))))))))))))))))))))))))))))))))))))))),BG40,FALSE),"-")</f>
        <v>-</v>
      </c>
      <c r="AD4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)))))))))))))))))))))))))))))))))))))))))))))))),BH40,FALSE),"-")</f>
        <v>-</v>
      </c>
      <c r="BB40" s="12">
        <v>31</v>
      </c>
      <c r="BC40" s="12">
        <v>31</v>
      </c>
      <c r="BD40" s="12">
        <v>31</v>
      </c>
      <c r="BE40" s="12">
        <v>31</v>
      </c>
      <c r="BF40" s="12">
        <v>31</v>
      </c>
      <c r="BG40" s="12">
        <v>31</v>
      </c>
      <c r="BH40" s="12">
        <v>31</v>
      </c>
      <c r="BI40" s="12">
        <v>31</v>
      </c>
      <c r="BJ40" s="12">
        <v>31</v>
      </c>
      <c r="BK40" s="12">
        <v>31</v>
      </c>
      <c r="BL40" s="12">
        <v>31</v>
      </c>
      <c r="BM40" s="12">
        <v>31</v>
      </c>
      <c r="BN40" s="12">
        <v>31</v>
      </c>
      <c r="BO40" s="12">
        <v>31</v>
      </c>
      <c r="BP40" s="12">
        <v>31</v>
      </c>
      <c r="BQ40" s="12">
        <v>31</v>
      </c>
      <c r="BR40" s="12">
        <v>31</v>
      </c>
    </row>
    <row r="41" spans="3:70">
      <c r="Z4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)))))))))))))))))))))))))))))))))))))))))))))))),BD41,FALSE),"-")</f>
        <v>-</v>
      </c>
      <c r="AA4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)))))))))))))))))))))))))))))))))))))))))))))))),BE41,FALSE),"-")</f>
        <v>-</v>
      </c>
      <c r="AB4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)))))))))))))))))))))))))))))))))))))))))))))))),BF41,FALSE),"-")</f>
        <v>-</v>
      </c>
      <c r="AC4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)))))))))))))))))))))))))))))))))))))))))))))))),BG41,FALSE),"-")</f>
        <v>-</v>
      </c>
      <c r="AD4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)))))))))))))))))))))))))))))))))))))))))))))))),BH41,FALSE),"-")</f>
        <v>-</v>
      </c>
      <c r="BB41" s="12">
        <v>32</v>
      </c>
      <c r="BC41" s="12">
        <v>32</v>
      </c>
      <c r="BD41" s="12">
        <v>32</v>
      </c>
      <c r="BE41" s="12">
        <v>32</v>
      </c>
      <c r="BF41" s="12">
        <v>32</v>
      </c>
      <c r="BG41" s="12">
        <v>32</v>
      </c>
      <c r="BH41" s="12">
        <v>32</v>
      </c>
      <c r="BI41" s="12">
        <v>32</v>
      </c>
      <c r="BJ41" s="12">
        <v>32</v>
      </c>
      <c r="BK41" s="12">
        <v>32</v>
      </c>
      <c r="BL41" s="12">
        <v>32</v>
      </c>
      <c r="BM41" s="12">
        <v>32</v>
      </c>
      <c r="BN41" s="12">
        <v>32</v>
      </c>
      <c r="BO41" s="12">
        <v>32</v>
      </c>
      <c r="BP41" s="12">
        <v>32</v>
      </c>
      <c r="BQ41" s="12">
        <v>32</v>
      </c>
      <c r="BR41" s="12">
        <v>32</v>
      </c>
    </row>
    <row r="42" spans="3:70">
      <c r="Z4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)))))))))))))))))))))))))))))))))))))))))))))))),BD42,FALSE),"-")</f>
        <v>-</v>
      </c>
      <c r="AA4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)))))))))))))))))))))))))))))))))))))))))))))))),BE42,FALSE),"-")</f>
        <v>-</v>
      </c>
      <c r="AB4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)))))))))))))))))))))))))))))))))))))))))))))))),BF42,FALSE),"-")</f>
        <v>-</v>
      </c>
      <c r="AC4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)))))))))))))))))))))))))))))))))))))))))))))))),BG42,FALSE),"-")</f>
        <v>-</v>
      </c>
      <c r="AD4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)))))))))))))))))))))))))))))))))))))))))))))))),BH42,FALSE),"-")</f>
        <v>-</v>
      </c>
      <c r="BB42" s="12">
        <v>33</v>
      </c>
      <c r="BC42" s="12">
        <v>33</v>
      </c>
      <c r="BD42" s="12">
        <v>33</v>
      </c>
      <c r="BE42" s="12">
        <v>33</v>
      </c>
      <c r="BF42" s="12">
        <v>33</v>
      </c>
      <c r="BG42" s="12">
        <v>33</v>
      </c>
      <c r="BH42" s="12">
        <v>33</v>
      </c>
      <c r="BI42" s="12">
        <v>33</v>
      </c>
      <c r="BJ42" s="12">
        <v>33</v>
      </c>
      <c r="BK42" s="12">
        <v>33</v>
      </c>
      <c r="BL42" s="12">
        <v>33</v>
      </c>
      <c r="BM42" s="12">
        <v>33</v>
      </c>
      <c r="BN42" s="12">
        <v>33</v>
      </c>
      <c r="BO42" s="12">
        <v>33</v>
      </c>
      <c r="BP42" s="12">
        <v>33</v>
      </c>
      <c r="BQ42" s="12">
        <v>33</v>
      </c>
      <c r="BR42" s="12">
        <v>33</v>
      </c>
    </row>
    <row r="43" spans="3:70">
      <c r="Z4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)))))))))))))))))))))))))))))))))))))))))))))))),BD43,FALSE),"-")</f>
        <v>-</v>
      </c>
      <c r="AA4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)))))))))))))))))))))))))))))))))))))))))))))))),BE43,FALSE),"-")</f>
        <v>-</v>
      </c>
      <c r="AB4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)))))))))))))))))))))))))))))))))))))))))))))))),BF43,FALSE),"-")</f>
        <v>-</v>
      </c>
      <c r="AC4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)))))))))))))))))))))))))))))))))))))))))))))))),BG43,FALSE),"-")</f>
        <v>-</v>
      </c>
      <c r="AD4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)))))))))))))))))))))))))))))))))))))))))))))))),BH43,FALSE),"-")</f>
        <v>-</v>
      </c>
      <c r="BB43" s="12">
        <v>34</v>
      </c>
      <c r="BC43" s="12">
        <v>34</v>
      </c>
      <c r="BD43" s="12">
        <v>34</v>
      </c>
      <c r="BE43" s="12">
        <v>34</v>
      </c>
      <c r="BF43" s="12">
        <v>34</v>
      </c>
      <c r="BG43" s="12">
        <v>34</v>
      </c>
      <c r="BH43" s="12">
        <v>34</v>
      </c>
      <c r="BI43" s="12">
        <v>34</v>
      </c>
      <c r="BJ43" s="12">
        <v>34</v>
      </c>
      <c r="BK43" s="12">
        <v>34</v>
      </c>
      <c r="BL43" s="12">
        <v>34</v>
      </c>
      <c r="BM43" s="12">
        <v>34</v>
      </c>
      <c r="BN43" s="12">
        <v>34</v>
      </c>
      <c r="BO43" s="12">
        <v>34</v>
      </c>
      <c r="BP43" s="12">
        <v>34</v>
      </c>
      <c r="BQ43" s="12">
        <v>34</v>
      </c>
      <c r="BR43" s="12">
        <v>34</v>
      </c>
    </row>
    <row r="44" spans="3:70">
      <c r="Z4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)))))))))))))))))))))))))))))))))))))))))))))))),BD44,FALSE),"-")</f>
        <v>-</v>
      </c>
      <c r="AA4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)))))))))))))))))))))))))))))))))))))))))))))))),BE44,FALSE),"-")</f>
        <v>-</v>
      </c>
      <c r="AB4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)))))))))))))))))))))))))))))))))))))))))))))))),BF44,FALSE),"-")</f>
        <v>-</v>
      </c>
      <c r="AC4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)))))))))))))))))))))))))))))))))))))))))))))))),BG44,FALSE),"-")</f>
        <v>-</v>
      </c>
      <c r="AD4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)))))))))))))))))))))))))))))))))))))))))))))))),BH44,FALSE),"-")</f>
        <v>-</v>
      </c>
      <c r="BB44" s="12">
        <v>35</v>
      </c>
      <c r="BC44" s="12">
        <v>35</v>
      </c>
      <c r="BD44" s="12">
        <v>35</v>
      </c>
      <c r="BE44" s="12">
        <v>35</v>
      </c>
      <c r="BF44" s="12">
        <v>35</v>
      </c>
      <c r="BG44" s="12">
        <v>35</v>
      </c>
      <c r="BH44" s="12">
        <v>35</v>
      </c>
      <c r="BI44" s="12">
        <v>35</v>
      </c>
      <c r="BJ44" s="12">
        <v>35</v>
      </c>
      <c r="BK44" s="12">
        <v>35</v>
      </c>
      <c r="BL44" s="12">
        <v>35</v>
      </c>
      <c r="BM44" s="12">
        <v>35</v>
      </c>
      <c r="BN44" s="12">
        <v>35</v>
      </c>
      <c r="BO44" s="12">
        <v>35</v>
      </c>
      <c r="BP44" s="12">
        <v>35</v>
      </c>
      <c r="BQ44" s="12">
        <v>35</v>
      </c>
      <c r="BR44" s="12">
        <v>35</v>
      </c>
    </row>
    <row r="45" spans="3:70">
      <c r="Z4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)))))))))))))))))))))))))))))))))))))))))))))))),BD45,FALSE),"-")</f>
        <v>-</v>
      </c>
      <c r="AA4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)))))))))))))))))))))))))))))))))))))))))))))))),BE45,FALSE),"-")</f>
        <v>-</v>
      </c>
      <c r="AB4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)))))))))))))))))))))))))))))))))))))))))))))))),BF45,FALSE),"-")</f>
        <v>-</v>
      </c>
      <c r="AC4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)))))))))))))))))))))))))))))))))))))))))))))))),BG45,FALSE),"-")</f>
        <v>-</v>
      </c>
      <c r="AD4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)))))))))))))))))))))))))))))))))))))))))))))))),BH45,FALSE),"-")</f>
        <v>-</v>
      </c>
      <c r="BB45" s="12">
        <v>36</v>
      </c>
      <c r="BC45" s="12">
        <v>36</v>
      </c>
      <c r="BD45" s="12">
        <v>36</v>
      </c>
      <c r="BE45" s="12">
        <v>36</v>
      </c>
      <c r="BF45" s="12">
        <v>36</v>
      </c>
      <c r="BG45" s="12">
        <v>36</v>
      </c>
      <c r="BH45" s="12">
        <v>36</v>
      </c>
      <c r="BI45" s="12">
        <v>36</v>
      </c>
      <c r="BJ45" s="12">
        <v>36</v>
      </c>
      <c r="BK45" s="12">
        <v>36</v>
      </c>
      <c r="BL45" s="12">
        <v>36</v>
      </c>
      <c r="BM45" s="12">
        <v>36</v>
      </c>
      <c r="BN45" s="12">
        <v>36</v>
      </c>
      <c r="BO45" s="12">
        <v>36</v>
      </c>
      <c r="BP45" s="12">
        <v>36</v>
      </c>
      <c r="BQ45" s="12">
        <v>36</v>
      </c>
      <c r="BR45" s="12">
        <v>36</v>
      </c>
    </row>
    <row r="46" spans="3:70">
      <c r="Z4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)))))))))))))))))))))))))))))))))))))))))))))))),BD46,FALSE),"-")</f>
        <v>-</v>
      </c>
      <c r="AA4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)))))))))))))))))))))))))))))))))))))))))))))))),BE46,FALSE),"-")</f>
        <v>-</v>
      </c>
      <c r="AB4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)))))))))))))))))))))))))))))))))))))))))))))))),BF46,FALSE),"-")</f>
        <v>-</v>
      </c>
      <c r="AC4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)))))))))))))))))))))))))))))))))))))))))))))))),BG46,FALSE),"-")</f>
        <v>-</v>
      </c>
      <c r="AD4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)))))))))))))))))))))))))))))))))))))))))))))))),BH46,FALSE),"-")</f>
        <v>-</v>
      </c>
      <c r="BB46" s="12">
        <v>37</v>
      </c>
      <c r="BC46" s="12">
        <v>37</v>
      </c>
      <c r="BD46" s="12">
        <v>37</v>
      </c>
      <c r="BE46" s="12">
        <v>37</v>
      </c>
      <c r="BF46" s="12">
        <v>37</v>
      </c>
      <c r="BG46" s="12">
        <v>37</v>
      </c>
      <c r="BH46" s="12">
        <v>37</v>
      </c>
      <c r="BI46" s="12">
        <v>37</v>
      </c>
      <c r="BJ46" s="12">
        <v>37</v>
      </c>
      <c r="BK46" s="12">
        <v>37</v>
      </c>
      <c r="BL46" s="12">
        <v>37</v>
      </c>
      <c r="BM46" s="12">
        <v>37</v>
      </c>
      <c r="BN46" s="12">
        <v>37</v>
      </c>
      <c r="BO46" s="12">
        <v>37</v>
      </c>
      <c r="BP46" s="12">
        <v>37</v>
      </c>
      <c r="BQ46" s="12">
        <v>37</v>
      </c>
      <c r="BR46" s="12">
        <v>37</v>
      </c>
    </row>
    <row r="47" spans="3:70">
      <c r="Z4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)))))))))))))))))))))))))))))))))))))))))))))))),BD47,FALSE),"-")</f>
        <v>-</v>
      </c>
      <c r="AA4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)))))))))))))))))))))))))))))))))))))))))))))))),BE47,FALSE),"-")</f>
        <v>-</v>
      </c>
      <c r="AB4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)))))))))))))))))))))))))))))))))))))))))))))))),BF47,FALSE),"-")</f>
        <v>-</v>
      </c>
      <c r="AC4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)))))))))))))))))))))))))))))))))))))))))))))))),BG47,FALSE),"-")</f>
        <v>-</v>
      </c>
      <c r="AD4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)))))))))))))))))))))))))))))))))))))))))))))))),BH47,FALSE),"-")</f>
        <v>-</v>
      </c>
      <c r="BB47" s="12">
        <v>38</v>
      </c>
      <c r="BC47" s="12">
        <v>38</v>
      </c>
      <c r="BD47" s="12">
        <v>38</v>
      </c>
      <c r="BE47" s="12">
        <v>38</v>
      </c>
      <c r="BF47" s="12">
        <v>38</v>
      </c>
      <c r="BG47" s="12">
        <v>38</v>
      </c>
      <c r="BH47" s="12">
        <v>38</v>
      </c>
      <c r="BI47" s="12">
        <v>38</v>
      </c>
      <c r="BJ47" s="12">
        <v>38</v>
      </c>
      <c r="BK47" s="12">
        <v>38</v>
      </c>
      <c r="BL47" s="12">
        <v>38</v>
      </c>
      <c r="BM47" s="12">
        <v>38</v>
      </c>
      <c r="BN47" s="12">
        <v>38</v>
      </c>
      <c r="BO47" s="12">
        <v>38</v>
      </c>
      <c r="BP47" s="12">
        <v>38</v>
      </c>
      <c r="BQ47" s="12">
        <v>38</v>
      </c>
      <c r="BR47" s="12">
        <v>38</v>
      </c>
    </row>
    <row r="48" spans="3:70">
      <c r="Z4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)))))))))))))))))))))))))))))))))))))))))))))))),BD48,FALSE),"-")</f>
        <v>-</v>
      </c>
      <c r="AA4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)))))))))))))))))))))))))))))))))))))))))))))))),BE48,FALSE),"-")</f>
        <v>-</v>
      </c>
      <c r="AB4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)))))))))))))))))))))))))))))))))))))))))))))))),BF48,FALSE),"-")</f>
        <v>-</v>
      </c>
      <c r="AC4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)))))))))))))))))))))))))))))))))))))))))))))))),BG48,FALSE),"-")</f>
        <v>-</v>
      </c>
      <c r="AD4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)))))))))))))))))))))))))))))))))))))))))))))))),BH48,FALSE),"-")</f>
        <v>-</v>
      </c>
      <c r="BB48" s="12">
        <v>39</v>
      </c>
      <c r="BC48" s="12">
        <v>39</v>
      </c>
      <c r="BD48" s="12">
        <v>39</v>
      </c>
      <c r="BE48" s="12">
        <v>39</v>
      </c>
      <c r="BF48" s="12">
        <v>39</v>
      </c>
      <c r="BG48" s="12">
        <v>39</v>
      </c>
      <c r="BH48" s="12">
        <v>39</v>
      </c>
      <c r="BI48" s="12">
        <v>39</v>
      </c>
      <c r="BJ48" s="12">
        <v>39</v>
      </c>
      <c r="BK48" s="12">
        <v>39</v>
      </c>
      <c r="BL48" s="12">
        <v>39</v>
      </c>
      <c r="BM48" s="12">
        <v>39</v>
      </c>
      <c r="BN48" s="12">
        <v>39</v>
      </c>
      <c r="BO48" s="12">
        <v>39</v>
      </c>
      <c r="BP48" s="12">
        <v>39</v>
      </c>
      <c r="BQ48" s="12">
        <v>39</v>
      </c>
      <c r="BR48" s="12">
        <v>39</v>
      </c>
    </row>
    <row r="49" spans="26:70">
      <c r="Z4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)))))))))))))))))))))))))))))))))))))))))))))))),BD49,FALSE),"-")</f>
        <v>-</v>
      </c>
      <c r="AA4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)))))))))))))))))))))))))))))))))))))))))))))))),BE49,FALSE),"-")</f>
        <v>-</v>
      </c>
      <c r="AB4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)))))))))))))))))))))))))))))))))))))))))))))))),BF49,FALSE),"-")</f>
        <v>-</v>
      </c>
      <c r="AC4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)))))))))))))))))))))))))))))))))))))))))))))))),BG49,FALSE),"-")</f>
        <v>-</v>
      </c>
      <c r="AD4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)))))))))))))))))))))))))))))))))))))))))))))))),BH49,FALSE),"-")</f>
        <v>-</v>
      </c>
      <c r="BB49" s="12">
        <v>40</v>
      </c>
      <c r="BC49" s="12">
        <v>40</v>
      </c>
      <c r="BD49" s="12">
        <v>40</v>
      </c>
      <c r="BE49" s="12">
        <v>40</v>
      </c>
      <c r="BF49" s="12">
        <v>40</v>
      </c>
      <c r="BG49" s="12">
        <v>40</v>
      </c>
      <c r="BH49" s="12">
        <v>40</v>
      </c>
      <c r="BI49" s="12">
        <v>40</v>
      </c>
      <c r="BJ49" s="12">
        <v>40</v>
      </c>
      <c r="BK49" s="12">
        <v>40</v>
      </c>
      <c r="BL49" s="12">
        <v>40</v>
      </c>
      <c r="BM49" s="12">
        <v>40</v>
      </c>
      <c r="BN49" s="12">
        <v>40</v>
      </c>
      <c r="BO49" s="12">
        <v>40</v>
      </c>
      <c r="BP49" s="12">
        <v>40</v>
      </c>
      <c r="BQ49" s="12">
        <v>40</v>
      </c>
      <c r="BR49" s="12">
        <v>40</v>
      </c>
    </row>
    <row r="50" spans="26:70">
      <c r="Z5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)))))))))))))))))))))))))))))))))))))))))))))))),BD50,FALSE),"-")</f>
        <v>-</v>
      </c>
      <c r="AA5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)))))))))))))))))))))))))))))))))))))))))))))))),BE50,FALSE),"-")</f>
        <v>-</v>
      </c>
      <c r="AB5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)))))))))))))))))))))))))))))))))))))))))))))))),BF50,FALSE),"-")</f>
        <v>-</v>
      </c>
      <c r="AC5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)))))))))))))))))))))))))))))))))))))))))))))))),BG50,FALSE),"-")</f>
        <v>-</v>
      </c>
      <c r="AD5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)))))))))))))))))))))))))))))))))))))))))))))))),BH50,FALSE),"-")</f>
        <v>-</v>
      </c>
      <c r="BB50" s="12">
        <v>41</v>
      </c>
      <c r="BC50" s="12">
        <v>41</v>
      </c>
      <c r="BD50" s="12">
        <v>41</v>
      </c>
      <c r="BE50" s="12">
        <v>41</v>
      </c>
      <c r="BF50" s="12">
        <v>41</v>
      </c>
      <c r="BG50" s="12">
        <v>41</v>
      </c>
      <c r="BH50" s="12">
        <v>41</v>
      </c>
      <c r="BI50" s="12">
        <v>41</v>
      </c>
      <c r="BJ50" s="12">
        <v>41</v>
      </c>
      <c r="BK50" s="12">
        <v>41</v>
      </c>
      <c r="BL50" s="12">
        <v>41</v>
      </c>
      <c r="BM50" s="12">
        <v>41</v>
      </c>
      <c r="BN50" s="12">
        <v>41</v>
      </c>
      <c r="BO50" s="12">
        <v>41</v>
      </c>
      <c r="BP50" s="12">
        <v>41</v>
      </c>
      <c r="BQ50" s="12">
        <v>41</v>
      </c>
      <c r="BR50" s="12">
        <v>41</v>
      </c>
    </row>
    <row r="51" spans="26:70">
      <c r="Z5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)))))))))))))))))))))))))))))))))))))))))))))))),BD51,FALSE),"-")</f>
        <v>-</v>
      </c>
      <c r="AA5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)))))))))))))))))))))))))))))))))))))))))))))))),BE51,FALSE),"-")</f>
        <v>-</v>
      </c>
      <c r="AB5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)))))))))))))))))))))))))))))))))))))))))))))))),BF51,FALSE),"-")</f>
        <v>-</v>
      </c>
      <c r="AC5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)))))))))))))))))))))))))))))))))))))))))))))))),BG51,FALSE),"-")</f>
        <v>-</v>
      </c>
      <c r="AD5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)))))))))))))))))))))))))))))))))))))))))))))))),BH51,FALSE),"-")</f>
        <v>-</v>
      </c>
      <c r="BB51" s="12">
        <v>42</v>
      </c>
      <c r="BC51" s="12">
        <v>42</v>
      </c>
      <c r="BD51" s="12">
        <v>42</v>
      </c>
      <c r="BE51" s="12">
        <v>42</v>
      </c>
      <c r="BF51" s="12">
        <v>42</v>
      </c>
      <c r="BG51" s="12">
        <v>42</v>
      </c>
      <c r="BH51" s="12">
        <v>42</v>
      </c>
      <c r="BI51" s="12">
        <v>42</v>
      </c>
      <c r="BJ51" s="12">
        <v>42</v>
      </c>
      <c r="BK51" s="12">
        <v>42</v>
      </c>
      <c r="BL51" s="12">
        <v>42</v>
      </c>
      <c r="BM51" s="12">
        <v>42</v>
      </c>
      <c r="BN51" s="12">
        <v>42</v>
      </c>
      <c r="BO51" s="12">
        <v>42</v>
      </c>
      <c r="BP51" s="12">
        <v>42</v>
      </c>
      <c r="BQ51" s="12">
        <v>42</v>
      </c>
      <c r="BR51" s="12">
        <v>42</v>
      </c>
    </row>
    <row r="52" spans="26:70">
      <c r="Z5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)))))))))))))))))))))))))))))))))))))))))))))))),BD52,FALSE),"-")</f>
        <v>-</v>
      </c>
      <c r="AA5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)))))))))))))))))))))))))))))))))))))))))))))))),BE52,FALSE),"-")</f>
        <v>-</v>
      </c>
      <c r="AB5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)))))))))))))))))))))))))))))))))))))))))))))))),BF52,FALSE),"-")</f>
        <v>-</v>
      </c>
      <c r="AC5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)))))))))))))))))))))))))))))))))))))))))))))))),BG52,FALSE),"-")</f>
        <v>-</v>
      </c>
      <c r="AD5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)))))))))))))))))))))))))))))))))))))))))))))))),BH52,FALSE),"-")</f>
        <v>-</v>
      </c>
      <c r="BB52" s="12">
        <v>43</v>
      </c>
      <c r="BC52" s="12">
        <v>43</v>
      </c>
      <c r="BD52" s="12">
        <v>43</v>
      </c>
      <c r="BE52" s="12">
        <v>43</v>
      </c>
      <c r="BF52" s="12">
        <v>43</v>
      </c>
      <c r="BG52" s="12">
        <v>43</v>
      </c>
      <c r="BH52" s="12">
        <v>43</v>
      </c>
      <c r="BI52" s="12">
        <v>43</v>
      </c>
      <c r="BJ52" s="12">
        <v>43</v>
      </c>
      <c r="BK52" s="12">
        <v>43</v>
      </c>
      <c r="BL52" s="12">
        <v>43</v>
      </c>
      <c r="BM52" s="12">
        <v>43</v>
      </c>
      <c r="BN52" s="12">
        <v>43</v>
      </c>
      <c r="BO52" s="12">
        <v>43</v>
      </c>
      <c r="BP52" s="12">
        <v>43</v>
      </c>
      <c r="BQ52" s="12">
        <v>43</v>
      </c>
      <c r="BR52" s="12">
        <v>43</v>
      </c>
    </row>
    <row r="53" spans="26:70">
      <c r="Z5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)))))))))))))))))))))))))))))))))))))))))))))))),BD53,FALSE),"-")</f>
        <v>-</v>
      </c>
      <c r="AA5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)))))))))))))))))))))))))))))))))))))))))))))))),BE53,FALSE),"-")</f>
        <v>-</v>
      </c>
      <c r="AB5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)))))))))))))))))))))))))))))))))))))))))))))))),BF53,FALSE),"-")</f>
        <v>-</v>
      </c>
      <c r="AC5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)))))))))))))))))))))))))))))))))))))))))))))))),BG53,FALSE),"-")</f>
        <v>-</v>
      </c>
      <c r="AD5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)))))))))))))))))))))))))))))))))))))))))))))))),BH53,FALSE),"-")</f>
        <v>-</v>
      </c>
      <c r="BB53" s="12">
        <v>44</v>
      </c>
      <c r="BC53" s="12">
        <v>44</v>
      </c>
      <c r="BD53" s="12">
        <v>44</v>
      </c>
      <c r="BE53" s="12">
        <v>44</v>
      </c>
      <c r="BF53" s="12">
        <v>44</v>
      </c>
      <c r="BG53" s="12">
        <v>44</v>
      </c>
      <c r="BH53" s="12">
        <v>44</v>
      </c>
      <c r="BI53" s="12">
        <v>44</v>
      </c>
      <c r="BJ53" s="12">
        <v>44</v>
      </c>
      <c r="BK53" s="12">
        <v>44</v>
      </c>
      <c r="BL53" s="12">
        <v>44</v>
      </c>
      <c r="BM53" s="12">
        <v>44</v>
      </c>
      <c r="BN53" s="12">
        <v>44</v>
      </c>
      <c r="BO53" s="12">
        <v>44</v>
      </c>
      <c r="BP53" s="12">
        <v>44</v>
      </c>
      <c r="BQ53" s="12">
        <v>44</v>
      </c>
      <c r="BR53" s="12">
        <v>44</v>
      </c>
    </row>
    <row r="54" spans="26:70">
      <c r="Z5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)))))))))))))))))))))))))))))))))))))))))))))))),BD54,FALSE),"-")</f>
        <v>-</v>
      </c>
      <c r="AA5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)))))))))))))))))))))))))))))))))))))))))))))))),BE54,FALSE),"-")</f>
        <v>-</v>
      </c>
      <c r="AB5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)))))))))))))))))))))))))))))))))))))))))))))))),BF54,FALSE),"-")</f>
        <v>-</v>
      </c>
      <c r="AC5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)))))))))))))))))))))))))))))))))))))))))))))))),BG54,FALSE),"-")</f>
        <v>-</v>
      </c>
      <c r="AD5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)))))))))))))))))))))))))))))))))))))))))))))))),BH54,FALSE),"-")</f>
        <v>-</v>
      </c>
      <c r="BB54" s="12">
        <v>45</v>
      </c>
      <c r="BC54" s="12">
        <v>45</v>
      </c>
      <c r="BD54" s="12">
        <v>45</v>
      </c>
      <c r="BE54" s="12">
        <v>45</v>
      </c>
      <c r="BF54" s="12">
        <v>45</v>
      </c>
      <c r="BG54" s="12">
        <v>45</v>
      </c>
      <c r="BH54" s="12">
        <v>45</v>
      </c>
      <c r="BI54" s="12">
        <v>45</v>
      </c>
      <c r="BJ54" s="12">
        <v>45</v>
      </c>
      <c r="BK54" s="12">
        <v>45</v>
      </c>
      <c r="BL54" s="12">
        <v>45</v>
      </c>
      <c r="BM54" s="12">
        <v>45</v>
      </c>
      <c r="BN54" s="12">
        <v>45</v>
      </c>
      <c r="BO54" s="12">
        <v>45</v>
      </c>
      <c r="BP54" s="12">
        <v>45</v>
      </c>
      <c r="BQ54" s="12">
        <v>45</v>
      </c>
      <c r="BR54" s="12">
        <v>45</v>
      </c>
    </row>
    <row r="55" spans="26:70">
      <c r="Z5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)))))))))))))))))))))))))))))))))))))))))))))))),BD55,FALSE),"-")</f>
        <v>-</v>
      </c>
      <c r="AA5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)))))))))))))))))))))))))))))))))))))))))))))))),BE55,FALSE),"-")</f>
        <v>-</v>
      </c>
      <c r="AB5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)))))))))))))))))))))))))))))))))))))))))))))))),BF55,FALSE),"-")</f>
        <v>-</v>
      </c>
      <c r="AC5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)))))))))))))))))))))))))))))))))))))))))))))))),BG55,FALSE),"-")</f>
        <v>-</v>
      </c>
      <c r="AD5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)))))))))))))))))))))))))))))))))))))))))))))))),BH55,FALSE),"-")</f>
        <v>-</v>
      </c>
      <c r="BB55" s="12">
        <v>46</v>
      </c>
      <c r="BC55" s="12">
        <v>46</v>
      </c>
      <c r="BD55" s="12">
        <v>46</v>
      </c>
      <c r="BE55" s="12">
        <v>46</v>
      </c>
      <c r="BF55" s="12">
        <v>46</v>
      </c>
      <c r="BG55" s="12">
        <v>46</v>
      </c>
      <c r="BH55" s="12">
        <v>46</v>
      </c>
      <c r="BI55" s="12">
        <v>46</v>
      </c>
      <c r="BJ55" s="12">
        <v>46</v>
      </c>
      <c r="BK55" s="12">
        <v>46</v>
      </c>
      <c r="BL55" s="12">
        <v>46</v>
      </c>
      <c r="BM55" s="12">
        <v>46</v>
      </c>
      <c r="BN55" s="12">
        <v>46</v>
      </c>
      <c r="BO55" s="12">
        <v>46</v>
      </c>
      <c r="BP55" s="12">
        <v>46</v>
      </c>
      <c r="BQ55" s="12">
        <v>46</v>
      </c>
      <c r="BR55" s="12">
        <v>46</v>
      </c>
    </row>
    <row r="56" spans="26:70">
      <c r="Z5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)))))))))))))))))))))))))))))))))))))))))))))))),BD56,FALSE),"-")</f>
        <v>-</v>
      </c>
      <c r="AA5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)))))))))))))))))))))))))))))))))))))))))))))))),BE56,FALSE),"-")</f>
        <v>-</v>
      </c>
      <c r="AB5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)))))))))))))))))))))))))))))))))))))))))))))))),BF56,FALSE),"-")</f>
        <v>-</v>
      </c>
      <c r="AC5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)))))))))))))))))))))))))))))))))))))))))))))))),BG56,FALSE),"-")</f>
        <v>-</v>
      </c>
      <c r="AD5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)))))))))))))))))))))))))))))))))))))))))))))))),BH56,FALSE),"-")</f>
        <v>-</v>
      </c>
      <c r="BB56" s="12">
        <v>47</v>
      </c>
      <c r="BC56" s="12">
        <v>47</v>
      </c>
      <c r="BD56" s="12">
        <v>47</v>
      </c>
      <c r="BE56" s="12">
        <v>47</v>
      </c>
      <c r="BF56" s="12">
        <v>47</v>
      </c>
      <c r="BG56" s="12">
        <v>47</v>
      </c>
      <c r="BH56" s="12">
        <v>47</v>
      </c>
      <c r="BI56" s="12">
        <v>47</v>
      </c>
      <c r="BJ56" s="12">
        <v>47</v>
      </c>
      <c r="BK56" s="12">
        <v>47</v>
      </c>
      <c r="BL56" s="12">
        <v>47</v>
      </c>
      <c r="BM56" s="12">
        <v>47</v>
      </c>
      <c r="BN56" s="12">
        <v>47</v>
      </c>
      <c r="BO56" s="12">
        <v>47</v>
      </c>
      <c r="BP56" s="12">
        <v>47</v>
      </c>
      <c r="BQ56" s="12">
        <v>47</v>
      </c>
      <c r="BR56" s="12">
        <v>47</v>
      </c>
    </row>
    <row r="57" spans="26:70">
      <c r="Z5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)))))))))))))))))))))))))))))))))))))))))))))))),BD57,FALSE),"-")</f>
        <v>-</v>
      </c>
      <c r="AA5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)))))))))))))))))))))))))))))))))))))))))))))))),BE57,FALSE),"-")</f>
        <v>-</v>
      </c>
      <c r="AB5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)))))))))))))))))))))))))))))))))))))))))))))))),BF57,FALSE),"-")</f>
        <v>-</v>
      </c>
      <c r="AC5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)))))))))))))))))))))))))))))))))))))))))))))))),BG57,FALSE),"-")</f>
        <v>-</v>
      </c>
      <c r="AD5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)))))))))))))))))))))))))))))))))))))))))))))))),BH57,FALSE),"-")</f>
        <v>-</v>
      </c>
      <c r="BB57" s="12">
        <v>48</v>
      </c>
      <c r="BC57" s="12">
        <v>48</v>
      </c>
      <c r="BD57" s="12">
        <v>48</v>
      </c>
      <c r="BE57" s="12">
        <v>48</v>
      </c>
      <c r="BF57" s="12">
        <v>48</v>
      </c>
      <c r="BG57" s="12">
        <v>48</v>
      </c>
      <c r="BH57" s="12">
        <v>48</v>
      </c>
      <c r="BI57" s="12">
        <v>48</v>
      </c>
      <c r="BJ57" s="12">
        <v>48</v>
      </c>
      <c r="BK57" s="12">
        <v>48</v>
      </c>
      <c r="BL57" s="12">
        <v>48</v>
      </c>
      <c r="BM57" s="12">
        <v>48</v>
      </c>
      <c r="BN57" s="12">
        <v>48</v>
      </c>
      <c r="BO57" s="12">
        <v>48</v>
      </c>
      <c r="BP57" s="12">
        <v>48</v>
      </c>
      <c r="BQ57" s="12">
        <v>48</v>
      </c>
      <c r="BR57" s="12">
        <v>48</v>
      </c>
    </row>
    <row r="58" spans="26:70">
      <c r="Z5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)))))))))))))))))))))))))))))))))))))))))))))))),BD58,FALSE),"-")</f>
        <v>-</v>
      </c>
      <c r="AA5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)))))))))))))))))))))))))))))))))))))))))))))))),BE58,FALSE),"-")</f>
        <v>-</v>
      </c>
      <c r="AB5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)))))))))))))))))))))))))))))))))))))))))))))))),BF58,FALSE),"-")</f>
        <v>-</v>
      </c>
      <c r="AC5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)))))))))))))))))))))))))))))))))))))))))))))))),BG58,FALSE),"-")</f>
        <v>-</v>
      </c>
      <c r="AD5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)))))))))))))))))))))))))))))))))))))))))))))))),BH58,FALSE),"-")</f>
        <v>-</v>
      </c>
      <c r="BB58" s="12">
        <v>49</v>
      </c>
      <c r="BC58" s="12">
        <v>49</v>
      </c>
      <c r="BD58" s="12">
        <v>49</v>
      </c>
      <c r="BE58" s="12">
        <v>49</v>
      </c>
      <c r="BF58" s="12">
        <v>49</v>
      </c>
      <c r="BG58" s="12">
        <v>49</v>
      </c>
      <c r="BH58" s="12">
        <v>49</v>
      </c>
      <c r="BI58" s="12">
        <v>49</v>
      </c>
      <c r="BJ58" s="12">
        <v>49</v>
      </c>
      <c r="BK58" s="12">
        <v>49</v>
      </c>
      <c r="BL58" s="12">
        <v>49</v>
      </c>
      <c r="BM58" s="12">
        <v>49</v>
      </c>
      <c r="BN58" s="12">
        <v>49</v>
      </c>
      <c r="BO58" s="12">
        <v>49</v>
      </c>
      <c r="BP58" s="12">
        <v>49</v>
      </c>
      <c r="BQ58" s="12">
        <v>49</v>
      </c>
      <c r="BR58" s="12">
        <v>49</v>
      </c>
    </row>
    <row r="59" spans="26:70">
      <c r="Z5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)))))))))))))))))))))))))))))))))))))))))))))))),BD59,FALSE),"-")</f>
        <v>-</v>
      </c>
      <c r="AA5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)))))))))))))))))))))))))))))))))))))))))))))))),BE59,FALSE),"-")</f>
        <v>-</v>
      </c>
      <c r="AB5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)))))))))))))))))))))))))))))))))))))))))))))))),BF59,FALSE),"-")</f>
        <v>-</v>
      </c>
      <c r="AC5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)))))))))))))))))))))))))))))))))))))))))))))))),BG59,FALSE),"-")</f>
        <v>-</v>
      </c>
      <c r="AD5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)))))))))))))))))))))))))))))))))))))))))))))))),BH59,FALSE),"-")</f>
        <v>-</v>
      </c>
      <c r="BB59" s="12">
        <v>50</v>
      </c>
      <c r="BC59" s="12">
        <v>50</v>
      </c>
      <c r="BD59" s="12">
        <v>50</v>
      </c>
      <c r="BE59" s="12">
        <v>50</v>
      </c>
      <c r="BF59" s="12">
        <v>50</v>
      </c>
      <c r="BG59" s="12">
        <v>50</v>
      </c>
      <c r="BH59" s="12">
        <v>50</v>
      </c>
      <c r="BI59" s="12">
        <v>50</v>
      </c>
      <c r="BJ59" s="12">
        <v>50</v>
      </c>
      <c r="BK59" s="12">
        <v>50</v>
      </c>
      <c r="BL59" s="12">
        <v>50</v>
      </c>
      <c r="BM59" s="12">
        <v>50</v>
      </c>
      <c r="BN59" s="12">
        <v>50</v>
      </c>
      <c r="BO59" s="12">
        <v>50</v>
      </c>
      <c r="BP59" s="12">
        <v>50</v>
      </c>
      <c r="BQ59" s="12">
        <v>50</v>
      </c>
      <c r="BR59" s="12">
        <v>50</v>
      </c>
    </row>
    <row r="60" spans="26:70">
      <c r="Z6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)))))))))))))))))))))))))))))))))))))))))))))))),BD60,FALSE),"-")</f>
        <v>-</v>
      </c>
      <c r="AA6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)))))))))))))))))))))))))))))))))))))))))))))))),BE60,FALSE),"-")</f>
        <v>-</v>
      </c>
      <c r="AB6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)))))))))))))))))))))))))))))))))))))))))))))))),BF60,FALSE),"-")</f>
        <v>-</v>
      </c>
      <c r="AC6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)))))))))))))))))))))))))))))))))))))))))))))))),BG60,FALSE),"-")</f>
        <v>-</v>
      </c>
      <c r="AD6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)))))))))))))))))))))))))))))))))))))))))))))))),BH60,FALSE),"-")</f>
        <v>-</v>
      </c>
      <c r="BB60" s="12">
        <v>51</v>
      </c>
      <c r="BC60" s="12">
        <v>51</v>
      </c>
      <c r="BD60" s="12">
        <v>51</v>
      </c>
      <c r="BE60" s="12">
        <v>51</v>
      </c>
      <c r="BF60" s="12">
        <v>51</v>
      </c>
      <c r="BG60" s="12">
        <v>51</v>
      </c>
      <c r="BH60" s="12">
        <v>51</v>
      </c>
      <c r="BI60" s="12">
        <v>51</v>
      </c>
      <c r="BJ60" s="12">
        <v>51</v>
      </c>
      <c r="BK60" s="12">
        <v>51</v>
      </c>
      <c r="BL60" s="12">
        <v>51</v>
      </c>
      <c r="BM60" s="12">
        <v>51</v>
      </c>
      <c r="BN60" s="12">
        <v>51</v>
      </c>
      <c r="BO60" s="12">
        <v>51</v>
      </c>
      <c r="BP60" s="12">
        <v>51</v>
      </c>
      <c r="BQ60" s="12">
        <v>51</v>
      </c>
      <c r="BR60" s="12">
        <v>51</v>
      </c>
    </row>
    <row r="61" spans="26:70">
      <c r="Z6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)))))))))))))))))))))))))))))))))))))))))))))))),BD61,FALSE),"-")</f>
        <v>-</v>
      </c>
      <c r="AA6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)))))))))))))))))))))))))))))))))))))))))))))))),BE61,FALSE),"-")</f>
        <v>-</v>
      </c>
      <c r="AB6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)))))))))))))))))))))))))))))))))))))))))))))))),BF61,FALSE),"-")</f>
        <v>-</v>
      </c>
      <c r="AC6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)))))))))))))))))))))))))))))))))))))))))))))))),BG61,FALSE),"-")</f>
        <v>-</v>
      </c>
      <c r="AD6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)))))))))))))))))))))))))))))))))))))))))))))))),BH61,FALSE),"-")</f>
        <v>-</v>
      </c>
      <c r="BB61" s="12">
        <v>52</v>
      </c>
      <c r="BC61" s="12">
        <v>52</v>
      </c>
      <c r="BD61" s="12">
        <v>52</v>
      </c>
      <c r="BE61" s="12">
        <v>52</v>
      </c>
      <c r="BF61" s="12">
        <v>52</v>
      </c>
      <c r="BG61" s="12">
        <v>52</v>
      </c>
      <c r="BH61" s="12">
        <v>52</v>
      </c>
      <c r="BI61" s="12">
        <v>52</v>
      </c>
      <c r="BJ61" s="12">
        <v>52</v>
      </c>
      <c r="BK61" s="12">
        <v>52</v>
      </c>
      <c r="BL61" s="12">
        <v>52</v>
      </c>
      <c r="BM61" s="12">
        <v>52</v>
      </c>
      <c r="BN61" s="12">
        <v>52</v>
      </c>
      <c r="BO61" s="12">
        <v>52</v>
      </c>
      <c r="BP61" s="12">
        <v>52</v>
      </c>
      <c r="BQ61" s="12">
        <v>52</v>
      </c>
      <c r="BR61" s="12">
        <v>52</v>
      </c>
    </row>
    <row r="62" spans="26:70">
      <c r="Z6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)))))))))))))))))))))))))))))))))))))))))))))))),BD62,FALSE),"-")</f>
        <v>-</v>
      </c>
      <c r="AA6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)))))))))))))))))))))))))))))))))))))))))))))))),BE62,FALSE),"-")</f>
        <v>-</v>
      </c>
      <c r="AB6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)))))))))))))))))))))))))))))))))))))))))))))))),BF62,FALSE),"-")</f>
        <v>-</v>
      </c>
      <c r="AC6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)))))))))))))))))))))))))))))))))))))))))))))))),BG62,FALSE),"-")</f>
        <v>-</v>
      </c>
      <c r="AD6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)))))))))))))))))))))))))))))))))))))))))))))))),BH62,FALSE),"-")</f>
        <v>-</v>
      </c>
      <c r="BB62" s="12">
        <v>53</v>
      </c>
      <c r="BC62" s="12">
        <v>53</v>
      </c>
      <c r="BD62" s="12">
        <v>53</v>
      </c>
      <c r="BE62" s="12">
        <v>53</v>
      </c>
      <c r="BF62" s="12">
        <v>53</v>
      </c>
      <c r="BG62" s="12">
        <v>53</v>
      </c>
      <c r="BH62" s="12">
        <v>53</v>
      </c>
      <c r="BI62" s="12">
        <v>53</v>
      </c>
      <c r="BJ62" s="12">
        <v>53</v>
      </c>
      <c r="BK62" s="12">
        <v>53</v>
      </c>
      <c r="BL62" s="12">
        <v>53</v>
      </c>
      <c r="BM62" s="12">
        <v>53</v>
      </c>
      <c r="BN62" s="12">
        <v>53</v>
      </c>
      <c r="BO62" s="12">
        <v>53</v>
      </c>
      <c r="BP62" s="12">
        <v>53</v>
      </c>
      <c r="BQ62" s="12">
        <v>53</v>
      </c>
      <c r="BR62" s="12">
        <v>53</v>
      </c>
    </row>
    <row r="63" spans="26:70">
      <c r="Z6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)))))))))))))))))))))))))))))))))))))))))))))))),BD63,FALSE),"-")</f>
        <v>-</v>
      </c>
      <c r="AA6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)))))))))))))))))))))))))))))))))))))))))))))))),BE63,FALSE),"-")</f>
        <v>-</v>
      </c>
      <c r="AB6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)))))))))))))))))))))))))))))))))))))))))))))))),BF63,FALSE),"-")</f>
        <v>-</v>
      </c>
      <c r="AC6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)))))))))))))))))))))))))))))))))))))))))))))))),BG63,FALSE),"-")</f>
        <v>-</v>
      </c>
      <c r="AD6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)))))))))))))))))))))))))))))))))))))))))))))))),BH63,FALSE),"-")</f>
        <v>-</v>
      </c>
      <c r="BB63" s="12">
        <v>54</v>
      </c>
      <c r="BC63" s="12">
        <v>54</v>
      </c>
      <c r="BD63" s="12">
        <v>54</v>
      </c>
      <c r="BE63" s="12">
        <v>54</v>
      </c>
      <c r="BF63" s="12">
        <v>54</v>
      </c>
      <c r="BG63" s="12">
        <v>54</v>
      </c>
      <c r="BH63" s="12">
        <v>54</v>
      </c>
      <c r="BI63" s="12">
        <v>54</v>
      </c>
      <c r="BJ63" s="12">
        <v>54</v>
      </c>
      <c r="BK63" s="12">
        <v>54</v>
      </c>
      <c r="BL63" s="12">
        <v>54</v>
      </c>
      <c r="BM63" s="12">
        <v>54</v>
      </c>
      <c r="BN63" s="12">
        <v>54</v>
      </c>
      <c r="BO63" s="12">
        <v>54</v>
      </c>
      <c r="BP63" s="12">
        <v>54</v>
      </c>
      <c r="BQ63" s="12">
        <v>54</v>
      </c>
      <c r="BR63" s="12">
        <v>54</v>
      </c>
    </row>
    <row r="64" spans="26:70">
      <c r="Z6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)))))))))))))))))))))))))))))))))))))))))))))))),BD64,FALSE),"-")</f>
        <v>-</v>
      </c>
      <c r="AA6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)))))))))))))))))))))))))))))))))))))))))))))))),BE64,FALSE),"-")</f>
        <v>-</v>
      </c>
      <c r="AB6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)))))))))))))))))))))))))))))))))))))))))))))))),BF64,FALSE),"-")</f>
        <v>-</v>
      </c>
      <c r="AC6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)))))))))))))))))))))))))))))))))))))))))))))))),BG64,FALSE),"-")</f>
        <v>-</v>
      </c>
      <c r="AD6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)))))))))))))))))))))))))))))))))))))))))))))))),BH64,FALSE),"-")</f>
        <v>-</v>
      </c>
      <c r="BB64" s="12">
        <v>55</v>
      </c>
      <c r="BC64" s="12">
        <v>55</v>
      </c>
      <c r="BD64" s="12">
        <v>55</v>
      </c>
      <c r="BE64" s="12">
        <v>55</v>
      </c>
      <c r="BF64" s="12">
        <v>55</v>
      </c>
      <c r="BG64" s="12">
        <v>55</v>
      </c>
      <c r="BH64" s="12">
        <v>55</v>
      </c>
      <c r="BI64" s="12">
        <v>55</v>
      </c>
      <c r="BJ64" s="12">
        <v>55</v>
      </c>
      <c r="BK64" s="12">
        <v>55</v>
      </c>
      <c r="BL64" s="12">
        <v>55</v>
      </c>
      <c r="BM64" s="12">
        <v>55</v>
      </c>
      <c r="BN64" s="12">
        <v>55</v>
      </c>
      <c r="BO64" s="12">
        <v>55</v>
      </c>
      <c r="BP64" s="12">
        <v>55</v>
      </c>
      <c r="BQ64" s="12">
        <v>55</v>
      </c>
      <c r="BR64" s="12">
        <v>55</v>
      </c>
    </row>
    <row r="65" spans="26:70">
      <c r="Z6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)))))))))))))))))))))))))))))))))))))))))))))))),BD65,FALSE),"-")</f>
        <v>-</v>
      </c>
      <c r="AA6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)))))))))))))))))))))))))))))))))))))))))))))))),BE65,FALSE),"-")</f>
        <v>-</v>
      </c>
      <c r="AB6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)))))))))))))))))))))))))))))))))))))))))))))))),BF65,FALSE),"-")</f>
        <v>-</v>
      </c>
      <c r="AC6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)))))))))))))))))))))))))))))))))))))))))))))))),BG65,FALSE),"-")</f>
        <v>-</v>
      </c>
      <c r="AD6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)))))))))))))))))))))))))))))))))))))))))))))))),BH65,FALSE),"-")</f>
        <v>-</v>
      </c>
      <c r="BB65" s="12">
        <v>56</v>
      </c>
      <c r="BC65" s="12">
        <v>56</v>
      </c>
      <c r="BD65" s="12">
        <v>56</v>
      </c>
      <c r="BE65" s="12">
        <v>56</v>
      </c>
      <c r="BF65" s="12">
        <v>56</v>
      </c>
      <c r="BG65" s="12">
        <v>56</v>
      </c>
      <c r="BH65" s="12">
        <v>56</v>
      </c>
      <c r="BI65" s="12">
        <v>56</v>
      </c>
      <c r="BJ65" s="12">
        <v>56</v>
      </c>
      <c r="BK65" s="12">
        <v>56</v>
      </c>
      <c r="BL65" s="12">
        <v>56</v>
      </c>
      <c r="BM65" s="12">
        <v>56</v>
      </c>
      <c r="BN65" s="12">
        <v>56</v>
      </c>
      <c r="BO65" s="12">
        <v>56</v>
      </c>
      <c r="BP65" s="12">
        <v>56</v>
      </c>
      <c r="BQ65" s="12">
        <v>56</v>
      </c>
      <c r="BR65" s="12">
        <v>56</v>
      </c>
    </row>
    <row r="66" spans="26:70">
      <c r="Z6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)))))))))))))))))))))))))))))))))))))))))))))))),BD66,FALSE),"-")</f>
        <v>-</v>
      </c>
      <c r="AA6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)))))))))))))))))))))))))))))))))))))))))))))))),BE66,FALSE),"-")</f>
        <v>-</v>
      </c>
      <c r="AB6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)))))))))))))))))))))))))))))))))))))))))))))))),BF66,FALSE),"-")</f>
        <v>-</v>
      </c>
      <c r="AC6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)))))))))))))))))))))))))))))))))))))))))))))))),BG66,FALSE),"-")</f>
        <v>-</v>
      </c>
      <c r="AD6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)))))))))))))))))))))))))))))))))))))))))))))))),BH66,FALSE),"-")</f>
        <v>-</v>
      </c>
      <c r="BB66" s="12">
        <v>57</v>
      </c>
      <c r="BC66" s="12">
        <v>57</v>
      </c>
      <c r="BD66" s="12">
        <v>57</v>
      </c>
      <c r="BE66" s="12">
        <v>57</v>
      </c>
      <c r="BF66" s="12">
        <v>57</v>
      </c>
      <c r="BG66" s="12">
        <v>57</v>
      </c>
      <c r="BH66" s="12">
        <v>57</v>
      </c>
      <c r="BI66" s="12">
        <v>57</v>
      </c>
      <c r="BJ66" s="12">
        <v>57</v>
      </c>
      <c r="BK66" s="12">
        <v>57</v>
      </c>
      <c r="BL66" s="12">
        <v>57</v>
      </c>
      <c r="BM66" s="12">
        <v>57</v>
      </c>
      <c r="BN66" s="12">
        <v>57</v>
      </c>
      <c r="BO66" s="12">
        <v>57</v>
      </c>
      <c r="BP66" s="12">
        <v>57</v>
      </c>
      <c r="BQ66" s="12">
        <v>57</v>
      </c>
      <c r="BR66" s="12">
        <v>57</v>
      </c>
    </row>
    <row r="67" spans="26:70">
      <c r="Z6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)))))))))))))))))))))))))))))))))))))))))))))))),BD67,FALSE),"-")</f>
        <v>-</v>
      </c>
      <c r="AA6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)))))))))))))))))))))))))))))))))))))))))))))))),BE67,FALSE),"-")</f>
        <v>-</v>
      </c>
      <c r="AB6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)))))))))))))))))))))))))))))))))))))))))))))))),BF67,FALSE),"-")</f>
        <v>-</v>
      </c>
      <c r="AC6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)))))))))))))))))))))))))))))))))))))))))))))))),BG67,FALSE),"-")</f>
        <v>-</v>
      </c>
      <c r="AD6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)))))))))))))))))))))))))))))))))))))))))))))))),BH67,FALSE),"-")</f>
        <v>-</v>
      </c>
      <c r="BB67" s="12">
        <v>58</v>
      </c>
      <c r="BC67" s="12">
        <v>58</v>
      </c>
      <c r="BD67" s="12">
        <v>58</v>
      </c>
      <c r="BE67" s="12">
        <v>58</v>
      </c>
      <c r="BF67" s="12">
        <v>58</v>
      </c>
      <c r="BG67" s="12">
        <v>58</v>
      </c>
      <c r="BH67" s="12">
        <v>58</v>
      </c>
      <c r="BI67" s="12">
        <v>58</v>
      </c>
      <c r="BJ67" s="12">
        <v>58</v>
      </c>
      <c r="BK67" s="12">
        <v>58</v>
      </c>
      <c r="BL67" s="12">
        <v>58</v>
      </c>
      <c r="BM67" s="12">
        <v>58</v>
      </c>
      <c r="BN67" s="12">
        <v>58</v>
      </c>
      <c r="BO67" s="12">
        <v>58</v>
      </c>
      <c r="BP67" s="12">
        <v>58</v>
      </c>
      <c r="BQ67" s="12">
        <v>58</v>
      </c>
      <c r="BR67" s="12">
        <v>58</v>
      </c>
    </row>
    <row r="68" spans="26:70">
      <c r="Z6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)))))))))))))))))))))))))))))))))))))))))))))))),BD68,FALSE),"-")</f>
        <v>-</v>
      </c>
      <c r="AA6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)))))))))))))))))))))))))))))))))))))))))))))))),BE68,FALSE),"-")</f>
        <v>-</v>
      </c>
      <c r="AB6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)))))))))))))))))))))))))))))))))))))))))))))))),BF68,FALSE),"-")</f>
        <v>-</v>
      </c>
      <c r="AC6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)))))))))))))))))))))))))))))))))))))))))))))))),BG68,FALSE),"-")</f>
        <v>-</v>
      </c>
      <c r="AD6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)))))))))))))))))))))))))))))))))))))))))))))))),BH68,FALSE),"-")</f>
        <v>-</v>
      </c>
      <c r="BB68" s="12">
        <v>59</v>
      </c>
      <c r="BC68" s="12">
        <v>59</v>
      </c>
      <c r="BD68" s="12">
        <v>59</v>
      </c>
      <c r="BE68" s="12">
        <v>59</v>
      </c>
      <c r="BF68" s="12">
        <v>59</v>
      </c>
      <c r="BG68" s="12">
        <v>59</v>
      </c>
      <c r="BH68" s="12">
        <v>59</v>
      </c>
      <c r="BI68" s="12">
        <v>59</v>
      </c>
      <c r="BJ68" s="12">
        <v>59</v>
      </c>
      <c r="BK68" s="12">
        <v>59</v>
      </c>
      <c r="BL68" s="12">
        <v>59</v>
      </c>
      <c r="BM68" s="12">
        <v>59</v>
      </c>
      <c r="BN68" s="12">
        <v>59</v>
      </c>
      <c r="BO68" s="12">
        <v>59</v>
      </c>
      <c r="BP68" s="12">
        <v>59</v>
      </c>
      <c r="BQ68" s="12">
        <v>59</v>
      </c>
      <c r="BR68" s="12">
        <v>59</v>
      </c>
    </row>
    <row r="69" spans="26:70">
      <c r="Z6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)))))))))))))))))))))))))))))))))))))))))))))))),BD69,FALSE),"-")</f>
        <v>-</v>
      </c>
      <c r="AA6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)))))))))))))))))))))))))))))))))))))))))))))))),BE69,FALSE),"-")</f>
        <v>-</v>
      </c>
      <c r="AB6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)))))))))))))))))))))))))))))))))))))))))))))))),BF69,FALSE),"-")</f>
        <v>-</v>
      </c>
      <c r="AC6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)))))))))))))))))))))))))))))))))))))))))))))))),BG69,FALSE),"-")</f>
        <v>-</v>
      </c>
      <c r="AD6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)))))))))))))))))))))))))))))))))))))))))))))))),BH69,FALSE),"-")</f>
        <v>-</v>
      </c>
      <c r="BB69" s="12">
        <v>60</v>
      </c>
      <c r="BC69" s="12">
        <v>60</v>
      </c>
      <c r="BD69" s="12">
        <v>60</v>
      </c>
      <c r="BE69" s="12">
        <v>60</v>
      </c>
      <c r="BF69" s="12">
        <v>60</v>
      </c>
      <c r="BG69" s="12">
        <v>60</v>
      </c>
      <c r="BH69" s="12">
        <v>60</v>
      </c>
      <c r="BI69" s="12">
        <v>60</v>
      </c>
      <c r="BJ69" s="12">
        <v>60</v>
      </c>
      <c r="BK69" s="12">
        <v>60</v>
      </c>
      <c r="BL69" s="12">
        <v>60</v>
      </c>
      <c r="BM69" s="12">
        <v>60</v>
      </c>
      <c r="BN69" s="12">
        <v>60</v>
      </c>
      <c r="BO69" s="12">
        <v>60</v>
      </c>
      <c r="BP69" s="12">
        <v>60</v>
      </c>
      <c r="BQ69" s="12">
        <v>60</v>
      </c>
      <c r="BR69" s="12">
        <v>60</v>
      </c>
    </row>
    <row r="70" spans="26:70">
      <c r="Z7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)))))))))))))))))))))))))))))))))))))))))))))))),BD70,FALSE),"-")</f>
        <v>-</v>
      </c>
      <c r="AA7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)))))))))))))))))))))))))))))))))))))))))))))))),BE70,FALSE),"-")</f>
        <v>-</v>
      </c>
      <c r="AB7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)))))))))))))))))))))))))))))))))))))))))))))))),BF70,FALSE),"-")</f>
        <v>-</v>
      </c>
      <c r="AC7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)))))))))))))))))))))))))))))))))))))))))))))))),BG70,FALSE),"-")</f>
        <v>-</v>
      </c>
      <c r="AD7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)))))))))))))))))))))))))))))))))))))))))))))))),BH70,FALSE),"-")</f>
        <v>-</v>
      </c>
      <c r="BB70" s="12">
        <v>61</v>
      </c>
      <c r="BC70" s="12">
        <v>61</v>
      </c>
      <c r="BD70" s="12">
        <v>61</v>
      </c>
      <c r="BE70" s="12">
        <v>61</v>
      </c>
      <c r="BF70" s="12">
        <v>61</v>
      </c>
      <c r="BG70" s="12">
        <v>61</v>
      </c>
      <c r="BH70" s="12">
        <v>61</v>
      </c>
      <c r="BI70" s="12">
        <v>61</v>
      </c>
      <c r="BJ70" s="12">
        <v>61</v>
      </c>
      <c r="BK70" s="12">
        <v>61</v>
      </c>
      <c r="BL70" s="12">
        <v>61</v>
      </c>
      <c r="BM70" s="12">
        <v>61</v>
      </c>
      <c r="BN70" s="12">
        <v>61</v>
      </c>
      <c r="BO70" s="12">
        <v>61</v>
      </c>
      <c r="BP70" s="12">
        <v>61</v>
      </c>
      <c r="BQ70" s="12">
        <v>61</v>
      </c>
      <c r="BR70" s="12">
        <v>61</v>
      </c>
    </row>
    <row r="71" spans="26:70">
      <c r="Z7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)))))))))))))))))))))))))))))))))))))))))))))))),BD71,FALSE),"-")</f>
        <v>-</v>
      </c>
      <c r="AA7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)))))))))))))))))))))))))))))))))))))))))))))))),BE71,FALSE),"-")</f>
        <v>-</v>
      </c>
      <c r="AB7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)))))))))))))))))))))))))))))))))))))))))))))))),BF71,FALSE),"-")</f>
        <v>-</v>
      </c>
      <c r="AC7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)))))))))))))))))))))))))))))))))))))))))))))))),BG71,FALSE),"-")</f>
        <v>-</v>
      </c>
      <c r="AD7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)))))))))))))))))))))))))))))))))))))))))))))))),BH71,FALSE),"-")</f>
        <v>-</v>
      </c>
      <c r="BB71" s="12">
        <v>62</v>
      </c>
      <c r="BC71" s="12">
        <v>62</v>
      </c>
      <c r="BD71" s="12">
        <v>62</v>
      </c>
      <c r="BE71" s="12">
        <v>62</v>
      </c>
      <c r="BF71" s="12">
        <v>62</v>
      </c>
      <c r="BG71" s="12">
        <v>62</v>
      </c>
      <c r="BH71" s="12">
        <v>62</v>
      </c>
      <c r="BI71" s="12">
        <v>62</v>
      </c>
      <c r="BJ71" s="12">
        <v>62</v>
      </c>
      <c r="BK71" s="12">
        <v>62</v>
      </c>
      <c r="BL71" s="12">
        <v>62</v>
      </c>
      <c r="BM71" s="12">
        <v>62</v>
      </c>
      <c r="BN71" s="12">
        <v>62</v>
      </c>
      <c r="BO71" s="12">
        <v>62</v>
      </c>
      <c r="BP71" s="12">
        <v>62</v>
      </c>
      <c r="BQ71" s="12">
        <v>62</v>
      </c>
      <c r="BR71" s="12">
        <v>62</v>
      </c>
    </row>
    <row r="72" spans="26:70">
      <c r="Z7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)))))))))))))))))))))))))))))))))))))))))))))))),BD72,FALSE),"-")</f>
        <v>-</v>
      </c>
      <c r="AA7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)))))))))))))))))))))))))))))))))))))))))))))))),BE72,FALSE),"-")</f>
        <v>-</v>
      </c>
      <c r="AB7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)))))))))))))))))))))))))))))))))))))))))))))))),BF72,FALSE),"-")</f>
        <v>-</v>
      </c>
      <c r="AC7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)))))))))))))))))))))))))))))))))))))))))))))))),BG72,FALSE),"-")</f>
        <v>-</v>
      </c>
      <c r="AD7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)))))))))))))))))))))))))))))))))))))))))))))))),BH72,FALSE),"-")</f>
        <v>-</v>
      </c>
      <c r="BB72" s="12">
        <v>63</v>
      </c>
      <c r="BC72" s="12">
        <v>63</v>
      </c>
      <c r="BD72" s="12">
        <v>63</v>
      </c>
      <c r="BE72" s="12">
        <v>63</v>
      </c>
      <c r="BF72" s="12">
        <v>63</v>
      </c>
      <c r="BG72" s="12">
        <v>63</v>
      </c>
      <c r="BH72" s="12">
        <v>63</v>
      </c>
      <c r="BI72" s="12">
        <v>63</v>
      </c>
      <c r="BJ72" s="12">
        <v>63</v>
      </c>
      <c r="BK72" s="12">
        <v>63</v>
      </c>
      <c r="BL72" s="12">
        <v>63</v>
      </c>
      <c r="BM72" s="12">
        <v>63</v>
      </c>
      <c r="BN72" s="12">
        <v>63</v>
      </c>
      <c r="BO72" s="12">
        <v>63</v>
      </c>
      <c r="BP72" s="12">
        <v>63</v>
      </c>
      <c r="BQ72" s="12">
        <v>63</v>
      </c>
      <c r="BR72" s="12">
        <v>63</v>
      </c>
    </row>
    <row r="73" spans="26:70">
      <c r="Z7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)))))))))))))))))))))))))))))))))))))))))))))))),BD73,FALSE),"-")</f>
        <v>-</v>
      </c>
      <c r="AA7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)))))))))))))))))))))))))))))))))))))))))))))))),BE73,FALSE),"-")</f>
        <v>-</v>
      </c>
      <c r="AB7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)))))))))))))))))))))))))))))))))))))))))))))))),BF73,FALSE),"-")</f>
        <v>-</v>
      </c>
      <c r="AC7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)))))))))))))))))))))))))))))))))))))))))))))))),BG73,FALSE),"-")</f>
        <v>-</v>
      </c>
      <c r="AD7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)))))))))))))))))))))))))))))))))))))))))))))))),BH73,FALSE),"-")</f>
        <v>-</v>
      </c>
      <c r="BB73" s="12">
        <v>64</v>
      </c>
      <c r="BC73" s="12">
        <v>64</v>
      </c>
      <c r="BD73" s="12">
        <v>64</v>
      </c>
      <c r="BE73" s="12">
        <v>64</v>
      </c>
      <c r="BF73" s="12">
        <v>64</v>
      </c>
      <c r="BG73" s="12">
        <v>64</v>
      </c>
      <c r="BH73" s="12">
        <v>64</v>
      </c>
      <c r="BI73" s="12">
        <v>64</v>
      </c>
      <c r="BJ73" s="12">
        <v>64</v>
      </c>
      <c r="BK73" s="12">
        <v>64</v>
      </c>
      <c r="BL73" s="12">
        <v>64</v>
      </c>
      <c r="BM73" s="12">
        <v>64</v>
      </c>
      <c r="BN73" s="12">
        <v>64</v>
      </c>
      <c r="BO73" s="12">
        <v>64</v>
      </c>
      <c r="BP73" s="12">
        <v>64</v>
      </c>
      <c r="BQ73" s="12">
        <v>64</v>
      </c>
      <c r="BR73" s="12">
        <v>64</v>
      </c>
    </row>
    <row r="74" spans="26:70">
      <c r="Z7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)))))))))))))))))))))))))))))))))))))))))))))))),BD74,FALSE),"-")</f>
        <v>-</v>
      </c>
      <c r="AA7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)))))))))))))))))))))))))))))))))))))))))))))))),BE74,FALSE),"-")</f>
        <v>-</v>
      </c>
      <c r="AB7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)))))))))))))))))))))))))))))))))))))))))))))))),BF74,FALSE),"-")</f>
        <v>-</v>
      </c>
      <c r="AC7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)))))))))))))))))))))))))))))))))))))))))))))))),BG74,FALSE),"-")</f>
        <v>-</v>
      </c>
      <c r="AD7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)))))))))))))))))))))))))))))))))))))))))))))))),BH74,FALSE),"-")</f>
        <v>-</v>
      </c>
      <c r="BB74" s="12">
        <v>65</v>
      </c>
      <c r="BC74" s="12">
        <v>65</v>
      </c>
      <c r="BD74" s="12">
        <v>65</v>
      </c>
      <c r="BE74" s="12">
        <v>65</v>
      </c>
      <c r="BF74" s="12">
        <v>65</v>
      </c>
      <c r="BG74" s="12">
        <v>65</v>
      </c>
      <c r="BH74" s="12">
        <v>65</v>
      </c>
      <c r="BI74" s="12">
        <v>65</v>
      </c>
      <c r="BJ74" s="12">
        <v>65</v>
      </c>
      <c r="BK74" s="12">
        <v>65</v>
      </c>
      <c r="BL74" s="12">
        <v>65</v>
      </c>
      <c r="BM74" s="12">
        <v>65</v>
      </c>
      <c r="BN74" s="12">
        <v>65</v>
      </c>
      <c r="BO74" s="12">
        <v>65</v>
      </c>
      <c r="BP74" s="12">
        <v>65</v>
      </c>
      <c r="BQ74" s="12">
        <v>65</v>
      </c>
      <c r="BR74" s="12">
        <v>65</v>
      </c>
    </row>
    <row r="75" spans="26:70">
      <c r="Z7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)))))))))))))))))))))))))))))))))))))))))))))))),BD75,FALSE),"-")</f>
        <v>-</v>
      </c>
      <c r="AA7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)))))))))))))))))))))))))))))))))))))))))))))))),BE75,FALSE),"-")</f>
        <v>-</v>
      </c>
      <c r="AB7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)))))))))))))))))))))))))))))))))))))))))))))))),BF75,FALSE),"-")</f>
        <v>-</v>
      </c>
      <c r="AC7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)))))))))))))))))))))))))))))))))))))))))))))))),BG75,FALSE),"-")</f>
        <v>-</v>
      </c>
      <c r="AD7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)))))))))))))))))))))))))))))))))))))))))))))))),BH75,FALSE),"-")</f>
        <v>-</v>
      </c>
      <c r="BB75" s="12">
        <v>66</v>
      </c>
      <c r="BC75" s="12">
        <v>66</v>
      </c>
      <c r="BD75" s="12">
        <v>66</v>
      </c>
      <c r="BE75" s="12">
        <v>66</v>
      </c>
      <c r="BF75" s="12">
        <v>66</v>
      </c>
      <c r="BG75" s="12">
        <v>66</v>
      </c>
      <c r="BH75" s="12">
        <v>66</v>
      </c>
      <c r="BI75" s="12">
        <v>66</v>
      </c>
      <c r="BJ75" s="12">
        <v>66</v>
      </c>
      <c r="BK75" s="12">
        <v>66</v>
      </c>
      <c r="BL75" s="12">
        <v>66</v>
      </c>
      <c r="BM75" s="12">
        <v>66</v>
      </c>
      <c r="BN75" s="12">
        <v>66</v>
      </c>
      <c r="BO75" s="12">
        <v>66</v>
      </c>
      <c r="BP75" s="12">
        <v>66</v>
      </c>
      <c r="BQ75" s="12">
        <v>66</v>
      </c>
      <c r="BR75" s="12">
        <v>66</v>
      </c>
    </row>
    <row r="76" spans="26:70">
      <c r="Z7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)))))))))))))))))))))))))))))))))))))))))))))))),BD76,FALSE),"-")</f>
        <v>-</v>
      </c>
      <c r="AA7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)))))))))))))))))))))))))))))))))))))))))))))))),BE76,FALSE),"-")</f>
        <v>-</v>
      </c>
      <c r="AB7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)))))))))))))))))))))))))))))))))))))))))))))))),BF76,FALSE),"-")</f>
        <v>-</v>
      </c>
      <c r="AC7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)))))))))))))))))))))))))))))))))))))))))))))))),BG76,FALSE),"-")</f>
        <v>-</v>
      </c>
      <c r="AD7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)))))))))))))))))))))))))))))))))))))))))))))))),BH76,FALSE),"-")</f>
        <v>-</v>
      </c>
      <c r="BB76" s="12">
        <v>67</v>
      </c>
      <c r="BC76" s="12">
        <v>67</v>
      </c>
      <c r="BD76" s="12">
        <v>67</v>
      </c>
      <c r="BE76" s="12">
        <v>67</v>
      </c>
      <c r="BF76" s="12">
        <v>67</v>
      </c>
      <c r="BG76" s="12">
        <v>67</v>
      </c>
      <c r="BH76" s="12">
        <v>67</v>
      </c>
      <c r="BI76" s="12">
        <v>67</v>
      </c>
      <c r="BJ76" s="12">
        <v>67</v>
      </c>
      <c r="BK76" s="12">
        <v>67</v>
      </c>
      <c r="BL76" s="12">
        <v>67</v>
      </c>
      <c r="BM76" s="12">
        <v>67</v>
      </c>
      <c r="BN76" s="12">
        <v>67</v>
      </c>
      <c r="BO76" s="12">
        <v>67</v>
      </c>
      <c r="BP76" s="12">
        <v>67</v>
      </c>
      <c r="BQ76" s="12">
        <v>67</v>
      </c>
      <c r="BR76" s="12">
        <v>67</v>
      </c>
    </row>
    <row r="77" spans="26:70">
      <c r="Z7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)))))))))))))))))))))))))))))))))))))))))))))))),BD77,FALSE),"-")</f>
        <v>-</v>
      </c>
      <c r="AA7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)))))))))))))))))))))))))))))))))))))))))))))))),BE77,FALSE),"-")</f>
        <v>-</v>
      </c>
      <c r="AB7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)))))))))))))))))))))))))))))))))))))))))))))))),BF77,FALSE),"-")</f>
        <v>-</v>
      </c>
      <c r="AC7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)))))))))))))))))))))))))))))))))))))))))))))))),BG77,FALSE),"-")</f>
        <v>-</v>
      </c>
      <c r="AD7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)))))))))))))))))))))))))))))))))))))))))))))))),BH77,FALSE),"-")</f>
        <v>-</v>
      </c>
      <c r="BB77" s="12">
        <v>68</v>
      </c>
      <c r="BC77" s="12">
        <v>68</v>
      </c>
      <c r="BD77" s="12">
        <v>68</v>
      </c>
      <c r="BE77" s="12">
        <v>68</v>
      </c>
      <c r="BF77" s="12">
        <v>68</v>
      </c>
      <c r="BG77" s="12">
        <v>68</v>
      </c>
      <c r="BH77" s="12">
        <v>68</v>
      </c>
      <c r="BI77" s="12">
        <v>68</v>
      </c>
      <c r="BJ77" s="12">
        <v>68</v>
      </c>
      <c r="BK77" s="12">
        <v>68</v>
      </c>
      <c r="BL77" s="12">
        <v>68</v>
      </c>
      <c r="BM77" s="12">
        <v>68</v>
      </c>
      <c r="BN77" s="12">
        <v>68</v>
      </c>
      <c r="BO77" s="12">
        <v>68</v>
      </c>
      <c r="BP77" s="12">
        <v>68</v>
      </c>
      <c r="BQ77" s="12">
        <v>68</v>
      </c>
      <c r="BR77" s="12">
        <v>68</v>
      </c>
    </row>
    <row r="78" spans="26:70">
      <c r="Z7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)))))))))))))))))))))))))))))))))))))))))))))))),BD78,FALSE),"-")</f>
        <v>-</v>
      </c>
      <c r="AA7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)))))))))))))))))))))))))))))))))))))))))))))))),BE78,FALSE),"-")</f>
        <v>-</v>
      </c>
      <c r="AB7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)))))))))))))))))))))))))))))))))))))))))))))))),BF78,FALSE),"-")</f>
        <v>-</v>
      </c>
      <c r="AC7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)))))))))))))))))))))))))))))))))))))))))))))))),BG78,FALSE),"-")</f>
        <v>-</v>
      </c>
      <c r="AD7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)))))))))))))))))))))))))))))))))))))))))))))))),BH78,FALSE),"-")</f>
        <v>-</v>
      </c>
      <c r="BB78" s="12">
        <v>69</v>
      </c>
      <c r="BC78" s="12">
        <v>69</v>
      </c>
      <c r="BD78" s="12">
        <v>69</v>
      </c>
      <c r="BE78" s="12">
        <v>69</v>
      </c>
      <c r="BF78" s="12">
        <v>69</v>
      </c>
      <c r="BG78" s="12">
        <v>69</v>
      </c>
      <c r="BH78" s="12">
        <v>69</v>
      </c>
      <c r="BI78" s="12">
        <v>69</v>
      </c>
      <c r="BJ78" s="12">
        <v>69</v>
      </c>
      <c r="BK78" s="12">
        <v>69</v>
      </c>
      <c r="BL78" s="12">
        <v>69</v>
      </c>
      <c r="BM78" s="12">
        <v>69</v>
      </c>
      <c r="BN78" s="12">
        <v>69</v>
      </c>
      <c r="BO78" s="12">
        <v>69</v>
      </c>
      <c r="BP78" s="12">
        <v>69</v>
      </c>
      <c r="BQ78" s="12">
        <v>69</v>
      </c>
      <c r="BR78" s="12">
        <v>69</v>
      </c>
    </row>
    <row r="79" spans="26:70">
      <c r="Z7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)))))))))))))))))))))))))))))))))))))))))))))))),BD79,FALSE),"-")</f>
        <v>-</v>
      </c>
      <c r="AA7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)))))))))))))))))))))))))))))))))))))))))))))))),BE79,FALSE),"-")</f>
        <v>-</v>
      </c>
      <c r="AB7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)))))))))))))))))))))))))))))))))))))))))))))))),BF79,FALSE),"-")</f>
        <v>-</v>
      </c>
      <c r="AC7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)))))))))))))))))))))))))))))))))))))))))))))))),BG79,FALSE),"-")</f>
        <v>-</v>
      </c>
      <c r="AD7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)))))))))))))))))))))))))))))))))))))))))))))))),BH79,FALSE),"-")</f>
        <v>-</v>
      </c>
      <c r="BB79" s="12">
        <v>70</v>
      </c>
      <c r="BC79" s="12">
        <v>70</v>
      </c>
      <c r="BD79" s="12">
        <v>70</v>
      </c>
      <c r="BE79" s="12">
        <v>70</v>
      </c>
      <c r="BF79" s="12">
        <v>70</v>
      </c>
      <c r="BG79" s="12">
        <v>70</v>
      </c>
      <c r="BH79" s="12">
        <v>70</v>
      </c>
      <c r="BI79" s="12">
        <v>70</v>
      </c>
      <c r="BJ79" s="12">
        <v>70</v>
      </c>
      <c r="BK79" s="12">
        <v>70</v>
      </c>
      <c r="BL79" s="12">
        <v>70</v>
      </c>
      <c r="BM79" s="12">
        <v>70</v>
      </c>
      <c r="BN79" s="12">
        <v>70</v>
      </c>
      <c r="BO79" s="12">
        <v>70</v>
      </c>
      <c r="BP79" s="12">
        <v>70</v>
      </c>
      <c r="BQ79" s="12">
        <v>70</v>
      </c>
      <c r="BR79" s="12">
        <v>70</v>
      </c>
    </row>
    <row r="80" spans="26:70">
      <c r="Z8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)))))))))))))))))))))))))))))))))))))))))))))))),BD80,FALSE),"-")</f>
        <v>-</v>
      </c>
      <c r="AA8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)))))))))))))))))))))))))))))))))))))))))))))))),BE80,FALSE),"-")</f>
        <v>-</v>
      </c>
      <c r="AB8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)))))))))))))))))))))))))))))))))))))))))))))))),BF80,FALSE),"-")</f>
        <v>-</v>
      </c>
      <c r="AC8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)))))))))))))))))))))))))))))))))))))))))))))))),BG80,FALSE),"-")</f>
        <v>-</v>
      </c>
      <c r="AD8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)))))))))))))))))))))))))))))))))))))))))))))))),BH80,FALSE),"-")</f>
        <v>-</v>
      </c>
      <c r="BB80" s="12">
        <v>71</v>
      </c>
      <c r="BC80" s="12">
        <v>71</v>
      </c>
      <c r="BD80" s="12">
        <v>71</v>
      </c>
      <c r="BE80" s="12">
        <v>71</v>
      </c>
      <c r="BF80" s="12">
        <v>71</v>
      </c>
      <c r="BG80" s="12">
        <v>71</v>
      </c>
      <c r="BH80" s="12">
        <v>71</v>
      </c>
      <c r="BI80" s="12">
        <v>71</v>
      </c>
      <c r="BJ80" s="12">
        <v>71</v>
      </c>
      <c r="BK80" s="12">
        <v>71</v>
      </c>
      <c r="BL80" s="12">
        <v>71</v>
      </c>
      <c r="BM80" s="12">
        <v>71</v>
      </c>
      <c r="BN80" s="12">
        <v>71</v>
      </c>
      <c r="BO80" s="12">
        <v>71</v>
      </c>
      <c r="BP80" s="12">
        <v>71</v>
      </c>
      <c r="BQ80" s="12">
        <v>71</v>
      </c>
      <c r="BR80" s="12">
        <v>71</v>
      </c>
    </row>
    <row r="81" spans="26:70">
      <c r="Z8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)))))))))))))))))))))))))))))))))))))))))))))))),BD81,FALSE),"-")</f>
        <v>-</v>
      </c>
      <c r="AA8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)))))))))))))))))))))))))))))))))))))))))))))))),BE81,FALSE),"-")</f>
        <v>-</v>
      </c>
      <c r="AB8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)))))))))))))))))))))))))))))))))))))))))))))))),BF81,FALSE),"-")</f>
        <v>-</v>
      </c>
      <c r="AC8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)))))))))))))))))))))))))))))))))))))))))))))))),BG81,FALSE),"-")</f>
        <v>-</v>
      </c>
      <c r="AD8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)))))))))))))))))))))))))))))))))))))))))))))))),BH81,FALSE),"-")</f>
        <v>-</v>
      </c>
      <c r="BB81" s="12">
        <v>72</v>
      </c>
      <c r="BC81" s="12">
        <v>72</v>
      </c>
      <c r="BD81" s="12">
        <v>72</v>
      </c>
      <c r="BE81" s="12">
        <v>72</v>
      </c>
      <c r="BF81" s="12">
        <v>72</v>
      </c>
      <c r="BG81" s="12">
        <v>72</v>
      </c>
      <c r="BH81" s="12">
        <v>72</v>
      </c>
      <c r="BI81" s="12">
        <v>72</v>
      </c>
      <c r="BJ81" s="12">
        <v>72</v>
      </c>
      <c r="BK81" s="12">
        <v>72</v>
      </c>
      <c r="BL81" s="12">
        <v>72</v>
      </c>
      <c r="BM81" s="12">
        <v>72</v>
      </c>
      <c r="BN81" s="12">
        <v>72</v>
      </c>
      <c r="BO81" s="12">
        <v>72</v>
      </c>
      <c r="BP81" s="12">
        <v>72</v>
      </c>
      <c r="BQ81" s="12">
        <v>72</v>
      </c>
      <c r="BR81" s="12">
        <v>72</v>
      </c>
    </row>
    <row r="82" spans="26:70">
      <c r="Z8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)))))))))))))))))))))))))))))))))))))))))))))))),BD82,FALSE),"-")</f>
        <v>-</v>
      </c>
      <c r="AA8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)))))))))))))))))))))))))))))))))))))))))))))))),BE82,FALSE),"-")</f>
        <v>-</v>
      </c>
      <c r="AB8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)))))))))))))))))))))))))))))))))))))))))))))))),BF82,FALSE),"-")</f>
        <v>-</v>
      </c>
      <c r="AC8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)))))))))))))))))))))))))))))))))))))))))))))))),BG82,FALSE),"-")</f>
        <v>-</v>
      </c>
      <c r="AD8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)))))))))))))))))))))))))))))))))))))))))))))))),BH82,FALSE),"-")</f>
        <v>-</v>
      </c>
      <c r="BB82" s="12">
        <v>73</v>
      </c>
      <c r="BC82" s="12">
        <v>73</v>
      </c>
      <c r="BD82" s="12">
        <v>73</v>
      </c>
      <c r="BE82" s="12">
        <v>73</v>
      </c>
      <c r="BF82" s="12">
        <v>73</v>
      </c>
      <c r="BG82" s="12">
        <v>73</v>
      </c>
      <c r="BH82" s="12">
        <v>73</v>
      </c>
      <c r="BI82" s="12">
        <v>73</v>
      </c>
      <c r="BJ82" s="12">
        <v>73</v>
      </c>
      <c r="BK82" s="12">
        <v>73</v>
      </c>
      <c r="BL82" s="12">
        <v>73</v>
      </c>
      <c r="BM82" s="12">
        <v>73</v>
      </c>
      <c r="BN82" s="12">
        <v>73</v>
      </c>
      <c r="BO82" s="12">
        <v>73</v>
      </c>
      <c r="BP82" s="12">
        <v>73</v>
      </c>
      <c r="BQ82" s="12">
        <v>73</v>
      </c>
      <c r="BR82" s="12">
        <v>73</v>
      </c>
    </row>
    <row r="83" spans="26:70">
      <c r="Z8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)))))))))))))))))))))))))))))))))))))))))))))))),BD83,FALSE),"-")</f>
        <v>-</v>
      </c>
      <c r="AA8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)))))))))))))))))))))))))))))))))))))))))))))))),BE83,FALSE),"-")</f>
        <v>-</v>
      </c>
      <c r="AB8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)))))))))))))))))))))))))))))))))))))))))))))))),BF83,FALSE),"-")</f>
        <v>-</v>
      </c>
      <c r="AC8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)))))))))))))))))))))))))))))))))))))))))))))))),BG83,FALSE),"-")</f>
        <v>-</v>
      </c>
      <c r="AD8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)))))))))))))))))))))))))))))))))))))))))))))))),BH83,FALSE),"-")</f>
        <v>-</v>
      </c>
      <c r="BB83" s="12">
        <v>74</v>
      </c>
      <c r="BC83" s="12">
        <v>74</v>
      </c>
      <c r="BD83" s="12">
        <v>74</v>
      </c>
      <c r="BE83" s="12">
        <v>74</v>
      </c>
      <c r="BF83" s="12">
        <v>74</v>
      </c>
      <c r="BG83" s="12">
        <v>74</v>
      </c>
      <c r="BH83" s="12">
        <v>74</v>
      </c>
      <c r="BI83" s="12">
        <v>74</v>
      </c>
      <c r="BJ83" s="12">
        <v>74</v>
      </c>
      <c r="BK83" s="12">
        <v>74</v>
      </c>
      <c r="BL83" s="12">
        <v>74</v>
      </c>
      <c r="BM83" s="12">
        <v>74</v>
      </c>
      <c r="BN83" s="12">
        <v>74</v>
      </c>
      <c r="BO83" s="12">
        <v>74</v>
      </c>
      <c r="BP83" s="12">
        <v>74</v>
      </c>
      <c r="BQ83" s="12">
        <v>74</v>
      </c>
      <c r="BR83" s="12">
        <v>74</v>
      </c>
    </row>
    <row r="84" spans="26:70">
      <c r="Z8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)))))))))))))))))))))))))))))))))))))))))))))))),BD84,FALSE),"-")</f>
        <v>-</v>
      </c>
      <c r="AA8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)))))))))))))))))))))))))))))))))))))))))))))))),BE84,FALSE),"-")</f>
        <v>-</v>
      </c>
      <c r="AB8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)))))))))))))))))))))))))))))))))))))))))))))))),BF84,FALSE),"-")</f>
        <v>-</v>
      </c>
      <c r="AC8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)))))))))))))))))))))))))))))))))))))))))))))))),BG84,FALSE),"-")</f>
        <v>-</v>
      </c>
      <c r="AD8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)))))))))))))))))))))))))))))))))))))))))))))))),BH84,FALSE),"-")</f>
        <v>-</v>
      </c>
      <c r="BB84" s="12">
        <v>75</v>
      </c>
      <c r="BC84" s="12">
        <v>75</v>
      </c>
      <c r="BD84" s="12">
        <v>75</v>
      </c>
      <c r="BE84" s="12">
        <v>75</v>
      </c>
      <c r="BF84" s="12">
        <v>75</v>
      </c>
      <c r="BG84" s="12">
        <v>75</v>
      </c>
      <c r="BH84" s="12">
        <v>75</v>
      </c>
      <c r="BI84" s="12">
        <v>75</v>
      </c>
      <c r="BJ84" s="12">
        <v>75</v>
      </c>
      <c r="BK84" s="12">
        <v>75</v>
      </c>
      <c r="BL84" s="12">
        <v>75</v>
      </c>
      <c r="BM84" s="12">
        <v>75</v>
      </c>
      <c r="BN84" s="12">
        <v>75</v>
      </c>
      <c r="BO84" s="12">
        <v>75</v>
      </c>
      <c r="BP84" s="12">
        <v>75</v>
      </c>
      <c r="BQ84" s="12">
        <v>75</v>
      </c>
      <c r="BR84" s="12">
        <v>75</v>
      </c>
    </row>
    <row r="85" spans="26:70">
      <c r="Z8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)))))))))))))))))))))))))))))))))))))))))))))))),BD85,FALSE),"-")</f>
        <v>-</v>
      </c>
      <c r="AA8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)))))))))))))))))))))))))))))))))))))))))))))))),BE85,FALSE),"-")</f>
        <v>-</v>
      </c>
      <c r="AB8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)))))))))))))))))))))))))))))))))))))))))))))))),BF85,FALSE),"-")</f>
        <v>-</v>
      </c>
      <c r="AC8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)))))))))))))))))))))))))))))))))))))))))))))))),BG85,FALSE),"-")</f>
        <v>-</v>
      </c>
      <c r="AD8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)))))))))))))))))))))))))))))))))))))))))))))))),BH85,FALSE),"-")</f>
        <v>-</v>
      </c>
      <c r="BB85" s="12">
        <v>76</v>
      </c>
      <c r="BC85" s="12">
        <v>76</v>
      </c>
      <c r="BD85" s="12">
        <v>76</v>
      </c>
      <c r="BE85" s="12">
        <v>76</v>
      </c>
      <c r="BF85" s="12">
        <v>76</v>
      </c>
      <c r="BG85" s="12">
        <v>76</v>
      </c>
      <c r="BH85" s="12">
        <v>76</v>
      </c>
      <c r="BI85" s="12">
        <v>76</v>
      </c>
      <c r="BJ85" s="12">
        <v>76</v>
      </c>
      <c r="BK85" s="12">
        <v>76</v>
      </c>
      <c r="BL85" s="12">
        <v>76</v>
      </c>
      <c r="BM85" s="12">
        <v>76</v>
      </c>
      <c r="BN85" s="12">
        <v>76</v>
      </c>
      <c r="BO85" s="12">
        <v>76</v>
      </c>
      <c r="BP85" s="12">
        <v>76</v>
      </c>
      <c r="BQ85" s="12">
        <v>76</v>
      </c>
      <c r="BR85" s="12">
        <v>76</v>
      </c>
    </row>
    <row r="86" spans="26:70">
      <c r="Z8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)))))))))))))))))))))))))))))))))))))))))))))))),BD86,FALSE),"-")</f>
        <v>-</v>
      </c>
      <c r="AA8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)))))))))))))))))))))))))))))))))))))))))))))))),BE86,FALSE),"-")</f>
        <v>-</v>
      </c>
      <c r="AB8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)))))))))))))))))))))))))))))))))))))))))))))))),BF86,FALSE),"-")</f>
        <v>-</v>
      </c>
      <c r="AC8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)))))))))))))))))))))))))))))))))))))))))))))))),BG86,FALSE),"-")</f>
        <v>-</v>
      </c>
      <c r="AD8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)))))))))))))))))))))))))))))))))))))))))))))))),BH86,FALSE),"-")</f>
        <v>-</v>
      </c>
      <c r="BB86" s="12">
        <v>77</v>
      </c>
      <c r="BC86" s="12">
        <v>77</v>
      </c>
      <c r="BD86" s="12">
        <v>77</v>
      </c>
      <c r="BE86" s="12">
        <v>77</v>
      </c>
      <c r="BF86" s="12">
        <v>77</v>
      </c>
      <c r="BG86" s="12">
        <v>77</v>
      </c>
      <c r="BH86" s="12">
        <v>77</v>
      </c>
      <c r="BI86" s="12">
        <v>77</v>
      </c>
      <c r="BJ86" s="12">
        <v>77</v>
      </c>
      <c r="BK86" s="12">
        <v>77</v>
      </c>
      <c r="BL86" s="12">
        <v>77</v>
      </c>
      <c r="BM86" s="12">
        <v>77</v>
      </c>
      <c r="BN86" s="12">
        <v>77</v>
      </c>
      <c r="BO86" s="12">
        <v>77</v>
      </c>
      <c r="BP86" s="12">
        <v>77</v>
      </c>
      <c r="BQ86" s="12">
        <v>77</v>
      </c>
      <c r="BR86" s="12">
        <v>77</v>
      </c>
    </row>
    <row r="87" spans="26:70">
      <c r="Z8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)))))))))))))))))))))))))))))))))))))))))))))))),BD87,FALSE),"-")</f>
        <v>-</v>
      </c>
      <c r="AA8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)))))))))))))))))))))))))))))))))))))))))))))))),BE87,FALSE),"-")</f>
        <v>-</v>
      </c>
      <c r="AB8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)))))))))))))))))))))))))))))))))))))))))))))))),BF87,FALSE),"-")</f>
        <v>-</v>
      </c>
      <c r="AC8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)))))))))))))))))))))))))))))))))))))))))))))))),BG87,FALSE),"-")</f>
        <v>-</v>
      </c>
      <c r="AD8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)))))))))))))))))))))))))))))))))))))))))))))))),BH87,FALSE),"-")</f>
        <v>-</v>
      </c>
      <c r="BB87" s="12">
        <v>78</v>
      </c>
      <c r="BC87" s="12">
        <v>78</v>
      </c>
      <c r="BD87" s="12">
        <v>78</v>
      </c>
      <c r="BE87" s="12">
        <v>78</v>
      </c>
      <c r="BF87" s="12">
        <v>78</v>
      </c>
      <c r="BG87" s="12">
        <v>78</v>
      </c>
      <c r="BH87" s="12">
        <v>78</v>
      </c>
      <c r="BI87" s="12">
        <v>78</v>
      </c>
      <c r="BJ87" s="12">
        <v>78</v>
      </c>
      <c r="BK87" s="12">
        <v>78</v>
      </c>
      <c r="BL87" s="12">
        <v>78</v>
      </c>
      <c r="BM87" s="12">
        <v>78</v>
      </c>
      <c r="BN87" s="12">
        <v>78</v>
      </c>
      <c r="BO87" s="12">
        <v>78</v>
      </c>
      <c r="BP87" s="12">
        <v>78</v>
      </c>
      <c r="BQ87" s="12">
        <v>78</v>
      </c>
      <c r="BR87" s="12">
        <v>78</v>
      </c>
    </row>
    <row r="88" spans="26:70">
      <c r="Z8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)))))))))))))))))))))))))))))))))))))))))))))))),BD88,FALSE),"-")</f>
        <v>-</v>
      </c>
      <c r="AA8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)))))))))))))))))))))))))))))))))))))))))))))))),BE88,FALSE),"-")</f>
        <v>-</v>
      </c>
      <c r="AB8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)))))))))))))))))))))))))))))))))))))))))))))))),BF88,FALSE),"-")</f>
        <v>-</v>
      </c>
      <c r="AC8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)))))))))))))))))))))))))))))))))))))))))))))))),BG88,FALSE),"-")</f>
        <v>-</v>
      </c>
      <c r="AD8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)))))))))))))))))))))))))))))))))))))))))))))))),BH88,FALSE),"-")</f>
        <v>-</v>
      </c>
      <c r="BB88" s="12">
        <v>79</v>
      </c>
      <c r="BC88" s="12">
        <v>79</v>
      </c>
      <c r="BD88" s="12">
        <v>79</v>
      </c>
      <c r="BE88" s="12">
        <v>79</v>
      </c>
      <c r="BF88" s="12">
        <v>79</v>
      </c>
      <c r="BG88" s="12">
        <v>79</v>
      </c>
      <c r="BH88" s="12">
        <v>79</v>
      </c>
      <c r="BI88" s="12">
        <v>79</v>
      </c>
      <c r="BJ88" s="12">
        <v>79</v>
      </c>
      <c r="BK88" s="12">
        <v>79</v>
      </c>
      <c r="BL88" s="12">
        <v>79</v>
      </c>
      <c r="BM88" s="12">
        <v>79</v>
      </c>
      <c r="BN88" s="12">
        <v>79</v>
      </c>
      <c r="BO88" s="12">
        <v>79</v>
      </c>
      <c r="BP88" s="12">
        <v>79</v>
      </c>
      <c r="BQ88" s="12">
        <v>79</v>
      </c>
      <c r="BR88" s="12">
        <v>79</v>
      </c>
    </row>
    <row r="89" spans="26:70">
      <c r="Z8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)))))))))))))))))))))))))))))))))))))))))))))))),BD89,FALSE),"-")</f>
        <v>-</v>
      </c>
      <c r="AA8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)))))))))))))))))))))))))))))))))))))))))))))))),BE89,FALSE),"-")</f>
        <v>-</v>
      </c>
      <c r="AB8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)))))))))))))))))))))))))))))))))))))))))))))))),BF89,FALSE),"-")</f>
        <v>-</v>
      </c>
      <c r="AC8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)))))))))))))))))))))))))))))))))))))))))))))))),BG89,FALSE),"-")</f>
        <v>-</v>
      </c>
      <c r="AD8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)))))))))))))))))))))))))))))))))))))))))))))))),BH89,FALSE),"-")</f>
        <v>-</v>
      </c>
      <c r="BB89" s="12">
        <v>80</v>
      </c>
      <c r="BC89" s="12">
        <v>80</v>
      </c>
      <c r="BD89" s="12">
        <v>80</v>
      </c>
      <c r="BE89" s="12">
        <v>80</v>
      </c>
      <c r="BF89" s="12">
        <v>80</v>
      </c>
      <c r="BG89" s="12">
        <v>80</v>
      </c>
      <c r="BH89" s="12">
        <v>80</v>
      </c>
      <c r="BI89" s="12">
        <v>80</v>
      </c>
      <c r="BJ89" s="12">
        <v>80</v>
      </c>
      <c r="BK89" s="12">
        <v>80</v>
      </c>
      <c r="BL89" s="12">
        <v>80</v>
      </c>
      <c r="BM89" s="12">
        <v>80</v>
      </c>
      <c r="BN89" s="12">
        <v>80</v>
      </c>
      <c r="BO89" s="12">
        <v>80</v>
      </c>
      <c r="BP89" s="12">
        <v>80</v>
      </c>
      <c r="BQ89" s="12">
        <v>80</v>
      </c>
      <c r="BR89" s="12">
        <v>80</v>
      </c>
    </row>
    <row r="90" spans="26:70">
      <c r="Z9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)))))))))))))))))))))))))))))))))))))))))))))))),BD90,FALSE),"-")</f>
        <v>-</v>
      </c>
      <c r="AA9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)))))))))))))))))))))))))))))))))))))))))))))))),BE90,FALSE),"-")</f>
        <v>-</v>
      </c>
      <c r="AB9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)))))))))))))))))))))))))))))))))))))))))))))))),BF90,FALSE),"-")</f>
        <v>-</v>
      </c>
      <c r="AC9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)))))))))))))))))))))))))))))))))))))))))))))))),BG90,FALSE),"-")</f>
        <v>-</v>
      </c>
      <c r="AD9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)))))))))))))))))))))))))))))))))))))))))))))))),BH90,FALSE),"-")</f>
        <v>-</v>
      </c>
      <c r="BB90" s="12">
        <v>81</v>
      </c>
      <c r="BC90" s="12">
        <v>81</v>
      </c>
      <c r="BD90" s="12">
        <v>81</v>
      </c>
      <c r="BE90" s="12">
        <v>81</v>
      </c>
      <c r="BF90" s="12">
        <v>81</v>
      </c>
      <c r="BG90" s="12">
        <v>81</v>
      </c>
      <c r="BH90" s="12">
        <v>81</v>
      </c>
      <c r="BI90" s="12">
        <v>81</v>
      </c>
      <c r="BJ90" s="12">
        <v>81</v>
      </c>
      <c r="BK90" s="12">
        <v>81</v>
      </c>
      <c r="BL90" s="12">
        <v>81</v>
      </c>
      <c r="BM90" s="12">
        <v>81</v>
      </c>
      <c r="BN90" s="12">
        <v>81</v>
      </c>
      <c r="BO90" s="12">
        <v>81</v>
      </c>
      <c r="BP90" s="12">
        <v>81</v>
      </c>
      <c r="BQ90" s="12">
        <v>81</v>
      </c>
      <c r="BR90" s="12">
        <v>81</v>
      </c>
    </row>
    <row r="91" spans="26:70">
      <c r="Z9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)))))))))))))))))))))))))))))))))))))))))))))))),BD91,FALSE),"-")</f>
        <v>-</v>
      </c>
      <c r="AA9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)))))))))))))))))))))))))))))))))))))))))))))))),BE91,FALSE),"-")</f>
        <v>-</v>
      </c>
      <c r="AB9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)))))))))))))))))))))))))))))))))))))))))))))))),BF91,FALSE),"-")</f>
        <v>-</v>
      </c>
      <c r="AC9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)))))))))))))))))))))))))))))))))))))))))))))))),BG91,FALSE),"-")</f>
        <v>-</v>
      </c>
      <c r="AD9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)))))))))))))))))))))))))))))))))))))))))))))))),BH91,FALSE),"-")</f>
        <v>-</v>
      </c>
      <c r="BB91" s="12">
        <v>82</v>
      </c>
      <c r="BC91" s="12">
        <v>82</v>
      </c>
      <c r="BD91" s="12">
        <v>82</v>
      </c>
      <c r="BE91" s="12">
        <v>82</v>
      </c>
      <c r="BF91" s="12">
        <v>82</v>
      </c>
      <c r="BG91" s="12">
        <v>82</v>
      </c>
      <c r="BH91" s="12">
        <v>82</v>
      </c>
      <c r="BI91" s="12">
        <v>82</v>
      </c>
      <c r="BJ91" s="12">
        <v>82</v>
      </c>
      <c r="BK91" s="12">
        <v>82</v>
      </c>
      <c r="BL91" s="12">
        <v>82</v>
      </c>
      <c r="BM91" s="12">
        <v>82</v>
      </c>
      <c r="BN91" s="12">
        <v>82</v>
      </c>
      <c r="BO91" s="12">
        <v>82</v>
      </c>
      <c r="BP91" s="12">
        <v>82</v>
      </c>
      <c r="BQ91" s="12">
        <v>82</v>
      </c>
      <c r="BR91" s="12">
        <v>82</v>
      </c>
    </row>
    <row r="92" spans="26:70">
      <c r="Z9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)))))))))))))))))))))))))))))))))))))))))))))))),BD92,FALSE),"-")</f>
        <v>-</v>
      </c>
      <c r="AA9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)))))))))))))))))))))))))))))))))))))))))))))))),BE92,FALSE),"-")</f>
        <v>-</v>
      </c>
      <c r="AB9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)))))))))))))))))))))))))))))))))))))))))))))))),BF92,FALSE),"-")</f>
        <v>-</v>
      </c>
      <c r="AC9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)))))))))))))))))))))))))))))))))))))))))))))))),BG92,FALSE),"-")</f>
        <v>-</v>
      </c>
      <c r="AD9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)))))))))))))))))))))))))))))))))))))))))))))))),BH92,FALSE),"-")</f>
        <v>-</v>
      </c>
      <c r="BB92" s="12">
        <v>83</v>
      </c>
      <c r="BC92" s="12">
        <v>83</v>
      </c>
      <c r="BD92" s="12">
        <v>83</v>
      </c>
      <c r="BE92" s="12">
        <v>83</v>
      </c>
      <c r="BF92" s="12">
        <v>83</v>
      </c>
      <c r="BG92" s="12">
        <v>83</v>
      </c>
      <c r="BH92" s="12">
        <v>83</v>
      </c>
      <c r="BI92" s="12">
        <v>83</v>
      </c>
      <c r="BJ92" s="12">
        <v>83</v>
      </c>
      <c r="BK92" s="12">
        <v>83</v>
      </c>
      <c r="BL92" s="12">
        <v>83</v>
      </c>
      <c r="BM92" s="12">
        <v>83</v>
      </c>
      <c r="BN92" s="12">
        <v>83</v>
      </c>
      <c r="BO92" s="12">
        <v>83</v>
      </c>
      <c r="BP92" s="12">
        <v>83</v>
      </c>
      <c r="BQ92" s="12">
        <v>83</v>
      </c>
      <c r="BR92" s="12">
        <v>83</v>
      </c>
    </row>
    <row r="93" spans="26:70">
      <c r="Z9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)))))))))))))))))))))))))))))))))))))))))))))))),BD93,FALSE),"-")</f>
        <v>-</v>
      </c>
      <c r="AA9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)))))))))))))))))))))))))))))))))))))))))))))))),BE93,FALSE),"-")</f>
        <v>-</v>
      </c>
      <c r="AB9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)))))))))))))))))))))))))))))))))))))))))))))))),BF93,FALSE),"-")</f>
        <v>-</v>
      </c>
      <c r="AC9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)))))))))))))))))))))))))))))))))))))))))))))))),BG93,FALSE),"-")</f>
        <v>-</v>
      </c>
      <c r="AD9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)))))))))))))))))))))))))))))))))))))))))))))))),BH93,FALSE),"-")</f>
        <v>-</v>
      </c>
      <c r="BB93" s="12">
        <v>84</v>
      </c>
      <c r="BC93" s="12">
        <v>84</v>
      </c>
      <c r="BD93" s="12">
        <v>84</v>
      </c>
      <c r="BE93" s="12">
        <v>84</v>
      </c>
      <c r="BF93" s="12">
        <v>84</v>
      </c>
      <c r="BG93" s="12">
        <v>84</v>
      </c>
      <c r="BH93" s="12">
        <v>84</v>
      </c>
      <c r="BI93" s="12">
        <v>84</v>
      </c>
      <c r="BJ93" s="12">
        <v>84</v>
      </c>
      <c r="BK93" s="12">
        <v>84</v>
      </c>
      <c r="BL93" s="12">
        <v>84</v>
      </c>
      <c r="BM93" s="12">
        <v>84</v>
      </c>
      <c r="BN93" s="12">
        <v>84</v>
      </c>
      <c r="BO93" s="12">
        <v>84</v>
      </c>
      <c r="BP93" s="12">
        <v>84</v>
      </c>
      <c r="BQ93" s="12">
        <v>84</v>
      </c>
      <c r="BR93" s="12">
        <v>84</v>
      </c>
    </row>
    <row r="94" spans="26:70">
      <c r="Z9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)))))))))))))))))))))))))))))))))))))))))))))))),BD94,FALSE),"-")</f>
        <v>-</v>
      </c>
      <c r="AA9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)))))))))))))))))))))))))))))))))))))))))))))))),BE94,FALSE),"-")</f>
        <v>-</v>
      </c>
      <c r="AB9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)))))))))))))))))))))))))))))))))))))))))))))))),BF94,FALSE),"-")</f>
        <v>-</v>
      </c>
      <c r="AC9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)))))))))))))))))))))))))))))))))))))))))))))))),BG94,FALSE),"-")</f>
        <v>-</v>
      </c>
      <c r="AD9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)))))))))))))))))))))))))))))))))))))))))))))))),BH94,FALSE),"-")</f>
        <v>-</v>
      </c>
      <c r="BB94" s="12">
        <v>85</v>
      </c>
      <c r="BC94" s="12">
        <v>85</v>
      </c>
      <c r="BD94" s="12">
        <v>85</v>
      </c>
      <c r="BE94" s="12">
        <v>85</v>
      </c>
      <c r="BF94" s="12">
        <v>85</v>
      </c>
      <c r="BG94" s="12">
        <v>85</v>
      </c>
      <c r="BH94" s="12">
        <v>85</v>
      </c>
      <c r="BI94" s="12">
        <v>85</v>
      </c>
      <c r="BJ94" s="12">
        <v>85</v>
      </c>
      <c r="BK94" s="12">
        <v>85</v>
      </c>
      <c r="BL94" s="12">
        <v>85</v>
      </c>
      <c r="BM94" s="12">
        <v>85</v>
      </c>
      <c r="BN94" s="12">
        <v>85</v>
      </c>
      <c r="BO94" s="12">
        <v>85</v>
      </c>
      <c r="BP94" s="12">
        <v>85</v>
      </c>
      <c r="BQ94" s="12">
        <v>85</v>
      </c>
      <c r="BR94" s="12">
        <v>85</v>
      </c>
    </row>
    <row r="95" spans="26:70">
      <c r="Z9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)))))))))))))))))))))))))))))))))))))))))))))))),BD95,FALSE),"-")</f>
        <v>-</v>
      </c>
      <c r="AA9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)))))))))))))))))))))))))))))))))))))))))))))))),BE95,FALSE),"-")</f>
        <v>-</v>
      </c>
      <c r="AB9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)))))))))))))))))))))))))))))))))))))))))))))))),BF95,FALSE),"-")</f>
        <v>-</v>
      </c>
      <c r="AC9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)))))))))))))))))))))))))))))))))))))))))))))))),BG95,FALSE),"-")</f>
        <v>-</v>
      </c>
      <c r="AD9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)))))))))))))))))))))))))))))))))))))))))))))))),BH95,FALSE),"-")</f>
        <v>-</v>
      </c>
      <c r="BB95" s="12">
        <v>86</v>
      </c>
      <c r="BC95" s="12">
        <v>86</v>
      </c>
      <c r="BD95" s="12">
        <v>86</v>
      </c>
      <c r="BE95" s="12">
        <v>86</v>
      </c>
      <c r="BF95" s="12">
        <v>86</v>
      </c>
      <c r="BG95" s="12">
        <v>86</v>
      </c>
      <c r="BH95" s="12">
        <v>86</v>
      </c>
      <c r="BI95" s="12">
        <v>86</v>
      </c>
      <c r="BJ95" s="12">
        <v>86</v>
      </c>
      <c r="BK95" s="12">
        <v>86</v>
      </c>
      <c r="BL95" s="12">
        <v>86</v>
      </c>
      <c r="BM95" s="12">
        <v>86</v>
      </c>
      <c r="BN95" s="12">
        <v>86</v>
      </c>
      <c r="BO95" s="12">
        <v>86</v>
      </c>
      <c r="BP95" s="12">
        <v>86</v>
      </c>
      <c r="BQ95" s="12">
        <v>86</v>
      </c>
      <c r="BR95" s="12">
        <v>86</v>
      </c>
    </row>
    <row r="96" spans="26:70">
      <c r="Z9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)))))))))))))))))))))))))))))))))))))))))))))))),BD96,FALSE),"-")</f>
        <v>-</v>
      </c>
      <c r="AA9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)))))))))))))))))))))))))))))))))))))))))))))))),BE96,FALSE),"-")</f>
        <v>-</v>
      </c>
      <c r="AB9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)))))))))))))))))))))))))))))))))))))))))))))))),BF96,FALSE),"-")</f>
        <v>-</v>
      </c>
      <c r="AC9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)))))))))))))))))))))))))))))))))))))))))))))))),BG96,FALSE),"-")</f>
        <v>-</v>
      </c>
      <c r="AD9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)))))))))))))))))))))))))))))))))))))))))))))))),BH96,FALSE),"-")</f>
        <v>-</v>
      </c>
      <c r="BB96" s="12">
        <v>87</v>
      </c>
      <c r="BC96" s="12">
        <v>87</v>
      </c>
      <c r="BD96" s="12">
        <v>87</v>
      </c>
      <c r="BE96" s="12">
        <v>87</v>
      </c>
      <c r="BF96" s="12">
        <v>87</v>
      </c>
      <c r="BG96" s="12">
        <v>87</v>
      </c>
      <c r="BH96" s="12">
        <v>87</v>
      </c>
      <c r="BI96" s="12">
        <v>87</v>
      </c>
      <c r="BJ96" s="12">
        <v>87</v>
      </c>
      <c r="BK96" s="12">
        <v>87</v>
      </c>
      <c r="BL96" s="12">
        <v>87</v>
      </c>
      <c r="BM96" s="12">
        <v>87</v>
      </c>
      <c r="BN96" s="12">
        <v>87</v>
      </c>
      <c r="BO96" s="12">
        <v>87</v>
      </c>
      <c r="BP96" s="12">
        <v>87</v>
      </c>
      <c r="BQ96" s="12">
        <v>87</v>
      </c>
      <c r="BR96" s="12">
        <v>87</v>
      </c>
    </row>
    <row r="97" spans="26:70">
      <c r="Z9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)))))))))))))))))))))))))))))))))))))))))))))))),BD97,FALSE),"-")</f>
        <v>-</v>
      </c>
      <c r="AA9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)))))))))))))))))))))))))))))))))))))))))))))))),BE97,FALSE),"-")</f>
        <v>-</v>
      </c>
      <c r="AB9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)))))))))))))))))))))))))))))))))))))))))))))))),BF97,FALSE),"-")</f>
        <v>-</v>
      </c>
      <c r="AC9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)))))))))))))))))))))))))))))))))))))))))))))))),BG97,FALSE),"-")</f>
        <v>-</v>
      </c>
      <c r="AD9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)))))))))))))))))))))))))))))))))))))))))))))))),BH97,FALSE),"-")</f>
        <v>-</v>
      </c>
      <c r="BB97" s="12">
        <v>88</v>
      </c>
      <c r="BC97" s="12">
        <v>88</v>
      </c>
      <c r="BD97" s="12">
        <v>88</v>
      </c>
      <c r="BE97" s="12">
        <v>88</v>
      </c>
      <c r="BF97" s="12">
        <v>88</v>
      </c>
      <c r="BG97" s="12">
        <v>88</v>
      </c>
      <c r="BH97" s="12">
        <v>88</v>
      </c>
      <c r="BI97" s="12">
        <v>88</v>
      </c>
      <c r="BJ97" s="12">
        <v>88</v>
      </c>
      <c r="BK97" s="12">
        <v>88</v>
      </c>
      <c r="BL97" s="12">
        <v>88</v>
      </c>
      <c r="BM97" s="12">
        <v>88</v>
      </c>
      <c r="BN97" s="12">
        <v>88</v>
      </c>
      <c r="BO97" s="12">
        <v>88</v>
      </c>
      <c r="BP97" s="12">
        <v>88</v>
      </c>
      <c r="BQ97" s="12">
        <v>88</v>
      </c>
      <c r="BR97" s="12">
        <v>88</v>
      </c>
    </row>
    <row r="98" spans="26:70">
      <c r="Z9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)))))))))))))))))))))))))))))))))))))))))))))))),BD98,FALSE),"-")</f>
        <v>-</v>
      </c>
      <c r="AA9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)))))))))))))))))))))))))))))))))))))))))))))))),BE98,FALSE),"-")</f>
        <v>-</v>
      </c>
      <c r="AB9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)))))))))))))))))))))))))))))))))))))))))))))))),BF98,FALSE),"-")</f>
        <v>-</v>
      </c>
      <c r="AC9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)))))))))))))))))))))))))))))))))))))))))))))))),BG98,FALSE),"-")</f>
        <v>-</v>
      </c>
      <c r="AD9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)))))))))))))))))))))))))))))))))))))))))))))))),BH98,FALSE),"-")</f>
        <v>-</v>
      </c>
      <c r="BB98" s="12">
        <v>89</v>
      </c>
      <c r="BC98" s="12">
        <v>89</v>
      </c>
      <c r="BD98" s="12">
        <v>89</v>
      </c>
      <c r="BE98" s="12">
        <v>89</v>
      </c>
      <c r="BF98" s="12">
        <v>89</v>
      </c>
      <c r="BG98" s="12">
        <v>89</v>
      </c>
      <c r="BH98" s="12">
        <v>89</v>
      </c>
      <c r="BI98" s="12">
        <v>89</v>
      </c>
      <c r="BJ98" s="12">
        <v>89</v>
      </c>
      <c r="BK98" s="12">
        <v>89</v>
      </c>
      <c r="BL98" s="12">
        <v>89</v>
      </c>
      <c r="BM98" s="12">
        <v>89</v>
      </c>
      <c r="BN98" s="12">
        <v>89</v>
      </c>
      <c r="BO98" s="12">
        <v>89</v>
      </c>
      <c r="BP98" s="12">
        <v>89</v>
      </c>
      <c r="BQ98" s="12">
        <v>89</v>
      </c>
      <c r="BR98" s="12">
        <v>89</v>
      </c>
    </row>
    <row r="99" spans="26:70">
      <c r="Z9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)))))))))))))))))))))))))))))))))))))))))))))))),BD99,FALSE),"-")</f>
        <v>-</v>
      </c>
      <c r="AA9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)))))))))))))))))))))))))))))))))))))))))))))))),BE99,FALSE),"-")</f>
        <v>-</v>
      </c>
      <c r="AB9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)))))))))))))))))))))))))))))))))))))))))))))))),BF99,FALSE),"-")</f>
        <v>-</v>
      </c>
      <c r="AC9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)))))))))))))))))))))))))))))))))))))))))))))))),BG99,FALSE),"-")</f>
        <v>-</v>
      </c>
      <c r="AD9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)))))))))))))))))))))))))))))))))))))))))))))))),BH99,FALSE),"-")</f>
        <v>-</v>
      </c>
      <c r="BB99" s="12">
        <v>90</v>
      </c>
      <c r="BC99" s="12">
        <v>90</v>
      </c>
      <c r="BD99" s="12">
        <v>90</v>
      </c>
      <c r="BE99" s="12">
        <v>90</v>
      </c>
      <c r="BF99" s="12">
        <v>90</v>
      </c>
      <c r="BG99" s="12">
        <v>90</v>
      </c>
      <c r="BH99" s="12">
        <v>90</v>
      </c>
      <c r="BI99" s="12">
        <v>90</v>
      </c>
      <c r="BJ99" s="12">
        <v>90</v>
      </c>
      <c r="BK99" s="12">
        <v>90</v>
      </c>
      <c r="BL99" s="12">
        <v>90</v>
      </c>
      <c r="BM99" s="12">
        <v>90</v>
      </c>
      <c r="BN99" s="12">
        <v>90</v>
      </c>
      <c r="BO99" s="12">
        <v>90</v>
      </c>
      <c r="BP99" s="12">
        <v>90</v>
      </c>
      <c r="BQ99" s="12">
        <v>90</v>
      </c>
      <c r="BR99" s="12">
        <v>90</v>
      </c>
    </row>
    <row r="100" spans="26:70">
      <c r="Z10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)))))))))))))))))))))))))))))))))))))))))))))))),BD100,FALSE),"-")</f>
        <v>-</v>
      </c>
      <c r="AA10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)))))))))))))))))))))))))))))))))))))))))))))))),BE100,FALSE),"-")</f>
        <v>-</v>
      </c>
      <c r="AB10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)))))))))))))))))))))))))))))))))))))))))))))))),BF100,FALSE),"-")</f>
        <v>-</v>
      </c>
      <c r="AC10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)))))))))))))))))))))))))))))))))))))))))))))))),BG100,FALSE),"-")</f>
        <v>-</v>
      </c>
      <c r="AD10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)))))))))))))))))))))))))))))))))))))))))))))))),BH100,FALSE),"-")</f>
        <v>-</v>
      </c>
      <c r="BB100" s="12">
        <v>91</v>
      </c>
      <c r="BC100" s="12">
        <v>91</v>
      </c>
      <c r="BD100" s="12">
        <v>91</v>
      </c>
      <c r="BE100" s="12">
        <v>91</v>
      </c>
      <c r="BF100" s="12">
        <v>91</v>
      </c>
      <c r="BG100" s="12">
        <v>91</v>
      </c>
      <c r="BH100" s="12">
        <v>91</v>
      </c>
      <c r="BI100" s="12">
        <v>91</v>
      </c>
      <c r="BJ100" s="12">
        <v>91</v>
      </c>
      <c r="BK100" s="12">
        <v>91</v>
      </c>
      <c r="BL100" s="12">
        <v>91</v>
      </c>
      <c r="BM100" s="12">
        <v>91</v>
      </c>
      <c r="BN100" s="12">
        <v>91</v>
      </c>
      <c r="BO100" s="12">
        <v>91</v>
      </c>
      <c r="BP100" s="12">
        <v>91</v>
      </c>
      <c r="BQ100" s="12">
        <v>91</v>
      </c>
      <c r="BR100" s="12">
        <v>91</v>
      </c>
    </row>
    <row r="101" spans="26:70">
      <c r="Z10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)))))))))))))))))))))))))))))))))))))))))))))))),BD101,FALSE),"-")</f>
        <v>-</v>
      </c>
      <c r="AA10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)))))))))))))))))))))))))))))))))))))))))))))))),BE101,FALSE),"-")</f>
        <v>-</v>
      </c>
      <c r="AB10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)))))))))))))))))))))))))))))))))))))))))))))))),BF101,FALSE),"-")</f>
        <v>-</v>
      </c>
      <c r="AC10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)))))))))))))))))))))))))))))))))))))))))))))))),BG101,FALSE),"-")</f>
        <v>-</v>
      </c>
      <c r="AD10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)))))))))))))))))))))))))))))))))))))))))))))))),BH101,FALSE),"-")</f>
        <v>-</v>
      </c>
      <c r="BB101" s="12">
        <v>92</v>
      </c>
      <c r="BC101" s="12">
        <v>92</v>
      </c>
      <c r="BD101" s="12">
        <v>92</v>
      </c>
      <c r="BE101" s="12">
        <v>92</v>
      </c>
      <c r="BF101" s="12">
        <v>92</v>
      </c>
      <c r="BG101" s="12">
        <v>92</v>
      </c>
      <c r="BH101" s="12">
        <v>92</v>
      </c>
      <c r="BI101" s="12">
        <v>92</v>
      </c>
      <c r="BJ101" s="12">
        <v>92</v>
      </c>
      <c r="BK101" s="12">
        <v>92</v>
      </c>
      <c r="BL101" s="12">
        <v>92</v>
      </c>
      <c r="BM101" s="12">
        <v>92</v>
      </c>
      <c r="BN101" s="12">
        <v>92</v>
      </c>
      <c r="BO101" s="12">
        <v>92</v>
      </c>
      <c r="BP101" s="12">
        <v>92</v>
      </c>
      <c r="BQ101" s="12">
        <v>92</v>
      </c>
      <c r="BR101" s="12">
        <v>92</v>
      </c>
    </row>
    <row r="102" spans="26:70">
      <c r="Z10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)))))))))))))))))))))))))))))))))))))))))))))))),BD102,FALSE),"-")</f>
        <v>-</v>
      </c>
      <c r="AA10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)))))))))))))))))))))))))))))))))))))))))))))))),BE102,FALSE),"-")</f>
        <v>-</v>
      </c>
      <c r="AB10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)))))))))))))))))))))))))))))))))))))))))))))))),BF102,FALSE),"-")</f>
        <v>-</v>
      </c>
      <c r="AC10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)))))))))))))))))))))))))))))))))))))))))))))))),BG102,FALSE),"-")</f>
        <v>-</v>
      </c>
      <c r="AD10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)))))))))))))))))))))))))))))))))))))))))))))))),BH102,FALSE),"-")</f>
        <v>-</v>
      </c>
      <c r="BB102" s="12">
        <v>93</v>
      </c>
      <c r="BC102" s="12">
        <v>93</v>
      </c>
      <c r="BD102" s="12">
        <v>93</v>
      </c>
      <c r="BE102" s="12">
        <v>93</v>
      </c>
      <c r="BF102" s="12">
        <v>93</v>
      </c>
      <c r="BG102" s="12">
        <v>93</v>
      </c>
      <c r="BH102" s="12">
        <v>93</v>
      </c>
      <c r="BI102" s="12">
        <v>93</v>
      </c>
      <c r="BJ102" s="12">
        <v>93</v>
      </c>
      <c r="BK102" s="12">
        <v>93</v>
      </c>
      <c r="BL102" s="12">
        <v>93</v>
      </c>
      <c r="BM102" s="12">
        <v>93</v>
      </c>
      <c r="BN102" s="12">
        <v>93</v>
      </c>
      <c r="BO102" s="12">
        <v>93</v>
      </c>
      <c r="BP102" s="12">
        <v>93</v>
      </c>
      <c r="BQ102" s="12">
        <v>93</v>
      </c>
      <c r="BR102" s="12">
        <v>93</v>
      </c>
    </row>
    <row r="103" spans="26:70">
      <c r="Z10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)))))))))))))))))))))))))))))))))))))))))))))))),BD103,FALSE),"-")</f>
        <v>-</v>
      </c>
      <c r="AA10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)))))))))))))))))))))))))))))))))))))))))))))))),BE103,FALSE),"-")</f>
        <v>-</v>
      </c>
      <c r="AB10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)))))))))))))))))))))))))))))))))))))))))))))))),BF103,FALSE),"-")</f>
        <v>-</v>
      </c>
      <c r="AC10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)))))))))))))))))))))))))))))))))))))))))))))))),BG103,FALSE),"-")</f>
        <v>-</v>
      </c>
      <c r="AD10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)))))))))))))))))))))))))))))))))))))))))))))))),BH103,FALSE),"-")</f>
        <v>-</v>
      </c>
      <c r="BB103" s="12">
        <v>94</v>
      </c>
      <c r="BC103" s="12">
        <v>94</v>
      </c>
      <c r="BD103" s="12">
        <v>94</v>
      </c>
      <c r="BE103" s="12">
        <v>94</v>
      </c>
      <c r="BF103" s="12">
        <v>94</v>
      </c>
      <c r="BG103" s="12">
        <v>94</v>
      </c>
      <c r="BH103" s="12">
        <v>94</v>
      </c>
      <c r="BI103" s="12">
        <v>94</v>
      </c>
      <c r="BJ103" s="12">
        <v>94</v>
      </c>
      <c r="BK103" s="12">
        <v>94</v>
      </c>
      <c r="BL103" s="12">
        <v>94</v>
      </c>
      <c r="BM103" s="12">
        <v>94</v>
      </c>
      <c r="BN103" s="12">
        <v>94</v>
      </c>
      <c r="BO103" s="12">
        <v>94</v>
      </c>
      <c r="BP103" s="12">
        <v>94</v>
      </c>
      <c r="BQ103" s="12">
        <v>94</v>
      </c>
      <c r="BR103" s="12">
        <v>94</v>
      </c>
    </row>
    <row r="104" spans="26:70">
      <c r="Z10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)))))))))))))))))))))))))))))))))))))))))))))))),BD104,FALSE),"-")</f>
        <v>-</v>
      </c>
      <c r="AA10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)))))))))))))))))))))))))))))))))))))))))))))))),BE104,FALSE),"-")</f>
        <v>-</v>
      </c>
      <c r="AB10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)))))))))))))))))))))))))))))))))))))))))))))))),BF104,FALSE),"-")</f>
        <v>-</v>
      </c>
      <c r="AC10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)))))))))))))))))))))))))))))))))))))))))))))))),BG104,FALSE),"-")</f>
        <v>-</v>
      </c>
      <c r="AD10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)))))))))))))))))))))))))))))))))))))))))))))))),BH104,FALSE),"-")</f>
        <v>-</v>
      </c>
      <c r="BB104" s="12">
        <v>95</v>
      </c>
      <c r="BC104" s="12">
        <v>95</v>
      </c>
      <c r="BD104" s="12">
        <v>95</v>
      </c>
      <c r="BE104" s="12">
        <v>95</v>
      </c>
      <c r="BF104" s="12">
        <v>95</v>
      </c>
      <c r="BG104" s="12">
        <v>95</v>
      </c>
      <c r="BH104" s="12">
        <v>95</v>
      </c>
      <c r="BI104" s="12">
        <v>95</v>
      </c>
      <c r="BJ104" s="12">
        <v>95</v>
      </c>
      <c r="BK104" s="12">
        <v>95</v>
      </c>
      <c r="BL104" s="12">
        <v>95</v>
      </c>
      <c r="BM104" s="12">
        <v>95</v>
      </c>
      <c r="BN104" s="12">
        <v>95</v>
      </c>
      <c r="BO104" s="12">
        <v>95</v>
      </c>
      <c r="BP104" s="12">
        <v>95</v>
      </c>
      <c r="BQ104" s="12">
        <v>95</v>
      </c>
      <c r="BR104" s="12">
        <v>95</v>
      </c>
    </row>
    <row r="105" spans="26:70">
      <c r="Z10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)))))))))))))))))))))))))))))))))))))))))))))))),BD105,FALSE),"-")</f>
        <v>-</v>
      </c>
      <c r="AA10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)))))))))))))))))))))))))))))))))))))))))))))))),BE105,FALSE),"-")</f>
        <v>-</v>
      </c>
      <c r="AB10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)))))))))))))))))))))))))))))))))))))))))))))))),BF105,FALSE),"-")</f>
        <v>-</v>
      </c>
      <c r="AC10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)))))))))))))))))))))))))))))))))))))))))))))))),BG105,FALSE),"-")</f>
        <v>-</v>
      </c>
      <c r="AD10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)))))))))))))))))))))))))))))))))))))))))))))))),BH105,FALSE),"-")</f>
        <v>-</v>
      </c>
      <c r="BB105" s="12">
        <v>96</v>
      </c>
      <c r="BC105" s="12">
        <v>96</v>
      </c>
      <c r="BD105" s="12">
        <v>96</v>
      </c>
      <c r="BE105" s="12">
        <v>96</v>
      </c>
      <c r="BF105" s="12">
        <v>96</v>
      </c>
      <c r="BG105" s="12">
        <v>96</v>
      </c>
      <c r="BH105" s="12">
        <v>96</v>
      </c>
      <c r="BI105" s="12">
        <v>96</v>
      </c>
      <c r="BJ105" s="12">
        <v>96</v>
      </c>
      <c r="BK105" s="12">
        <v>96</v>
      </c>
      <c r="BL105" s="12">
        <v>96</v>
      </c>
      <c r="BM105" s="12">
        <v>96</v>
      </c>
      <c r="BN105" s="12">
        <v>96</v>
      </c>
      <c r="BO105" s="12">
        <v>96</v>
      </c>
      <c r="BP105" s="12">
        <v>96</v>
      </c>
      <c r="BQ105" s="12">
        <v>96</v>
      </c>
      <c r="BR105" s="12">
        <v>96</v>
      </c>
    </row>
    <row r="106" spans="26:70">
      <c r="Z10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)))))))))))))))))))))))))))))))))))))))))))))))),BD106,FALSE),"-")</f>
        <v>-</v>
      </c>
      <c r="AA10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)))))))))))))))))))))))))))))))))))))))))))))))),BE106,FALSE),"-")</f>
        <v>-</v>
      </c>
      <c r="AB10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)))))))))))))))))))))))))))))))))))))))))))))))),BF106,FALSE),"-")</f>
        <v>-</v>
      </c>
      <c r="AC10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)))))))))))))))))))))))))))))))))))))))))))))))),BG106,FALSE),"-")</f>
        <v>-</v>
      </c>
      <c r="AD10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)))))))))))))))))))))))))))))))))))))))))))))))),BH106,FALSE),"-")</f>
        <v>-</v>
      </c>
      <c r="BB106" s="12">
        <v>97</v>
      </c>
      <c r="BC106" s="12">
        <v>97</v>
      </c>
      <c r="BD106" s="12">
        <v>97</v>
      </c>
      <c r="BE106" s="12">
        <v>97</v>
      </c>
      <c r="BF106" s="12">
        <v>97</v>
      </c>
      <c r="BG106" s="12">
        <v>97</v>
      </c>
      <c r="BH106" s="12">
        <v>97</v>
      </c>
      <c r="BI106" s="12">
        <v>97</v>
      </c>
      <c r="BJ106" s="12">
        <v>97</v>
      </c>
      <c r="BK106" s="12">
        <v>97</v>
      </c>
      <c r="BL106" s="12">
        <v>97</v>
      </c>
      <c r="BM106" s="12">
        <v>97</v>
      </c>
      <c r="BN106" s="12">
        <v>97</v>
      </c>
      <c r="BO106" s="12">
        <v>97</v>
      </c>
      <c r="BP106" s="12">
        <v>97</v>
      </c>
      <c r="BQ106" s="12">
        <v>97</v>
      </c>
      <c r="BR106" s="12">
        <v>97</v>
      </c>
    </row>
    <row r="107" spans="26:70">
      <c r="Z10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)))))))))))))))))))))))))))))))))))))))))))))))),BD107,FALSE),"-")</f>
        <v>-</v>
      </c>
      <c r="AA10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)))))))))))))))))))))))))))))))))))))))))))))))),BE107,FALSE),"-")</f>
        <v>-</v>
      </c>
      <c r="AB10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)))))))))))))))))))))))))))))))))))))))))))))))),BF107,FALSE),"-")</f>
        <v>-</v>
      </c>
      <c r="AC10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)))))))))))))))))))))))))))))))))))))))))))))))),BG107,FALSE),"-")</f>
        <v>-</v>
      </c>
      <c r="AD10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)))))))))))))))))))))))))))))))))))))))))))))))),BH107,FALSE),"-")</f>
        <v>-</v>
      </c>
      <c r="BB107" s="12">
        <v>98</v>
      </c>
      <c r="BC107" s="12">
        <v>98</v>
      </c>
      <c r="BD107" s="12">
        <v>98</v>
      </c>
      <c r="BE107" s="12">
        <v>98</v>
      </c>
      <c r="BF107" s="12">
        <v>98</v>
      </c>
      <c r="BG107" s="12">
        <v>98</v>
      </c>
      <c r="BH107" s="12">
        <v>98</v>
      </c>
      <c r="BI107" s="12">
        <v>98</v>
      </c>
      <c r="BJ107" s="12">
        <v>98</v>
      </c>
      <c r="BK107" s="12">
        <v>98</v>
      </c>
      <c r="BL107" s="12">
        <v>98</v>
      </c>
      <c r="BM107" s="12">
        <v>98</v>
      </c>
      <c r="BN107" s="12">
        <v>98</v>
      </c>
      <c r="BO107" s="12">
        <v>98</v>
      </c>
      <c r="BP107" s="12">
        <v>98</v>
      </c>
      <c r="BQ107" s="12">
        <v>98</v>
      </c>
      <c r="BR107" s="12">
        <v>98</v>
      </c>
    </row>
    <row r="108" spans="26:70">
      <c r="Z10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)))))))))))))))))))))))))))))))))))))))))))))))),BD108,FALSE),"-")</f>
        <v>-</v>
      </c>
      <c r="AA10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)))))))))))))))))))))))))))))))))))))))))))))))),BE108,FALSE),"-")</f>
        <v>-</v>
      </c>
      <c r="AB10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)))))))))))))))))))))))))))))))))))))))))))))))),BF108,FALSE),"-")</f>
        <v>-</v>
      </c>
      <c r="AC10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)))))))))))))))))))))))))))))))))))))))))))))))),BG108,FALSE),"-")</f>
        <v>-</v>
      </c>
      <c r="AD10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)))))))))))))))))))))))))))))))))))))))))))))))),BH108,FALSE),"-")</f>
        <v>-</v>
      </c>
      <c r="BB108" s="12">
        <v>99</v>
      </c>
      <c r="BC108" s="12">
        <v>99</v>
      </c>
      <c r="BD108" s="12">
        <v>99</v>
      </c>
      <c r="BE108" s="12">
        <v>99</v>
      </c>
      <c r="BF108" s="12">
        <v>99</v>
      </c>
      <c r="BG108" s="12">
        <v>99</v>
      </c>
      <c r="BH108" s="12">
        <v>99</v>
      </c>
      <c r="BI108" s="12">
        <v>99</v>
      </c>
      <c r="BJ108" s="12">
        <v>99</v>
      </c>
      <c r="BK108" s="12">
        <v>99</v>
      </c>
      <c r="BL108" s="12">
        <v>99</v>
      </c>
      <c r="BM108" s="12">
        <v>99</v>
      </c>
      <c r="BN108" s="12">
        <v>99</v>
      </c>
      <c r="BO108" s="12">
        <v>99</v>
      </c>
      <c r="BP108" s="12">
        <v>99</v>
      </c>
      <c r="BQ108" s="12">
        <v>99</v>
      </c>
      <c r="BR108" s="12">
        <v>99</v>
      </c>
    </row>
    <row r="109" spans="26:70">
      <c r="Z10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)))))))))))))))))))))))))))))))))))))))))))))))),BD109,FALSE),"-")</f>
        <v>-</v>
      </c>
      <c r="AA10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)))))))))))))))))))))))))))))))))))))))))))))))),BE109,FALSE),"-")</f>
        <v>-</v>
      </c>
      <c r="AB10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)))))))))))))))))))))))))))))))))))))))))))))))),BF109,FALSE),"-")</f>
        <v>-</v>
      </c>
      <c r="AC10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)))))))))))))))))))))))))))))))))))))))))))))))),BG109,FALSE),"-")</f>
        <v>-</v>
      </c>
      <c r="AD10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)))))))))))))))))))))))))))))))))))))))))))))))),BH109,FALSE),"-")</f>
        <v>-</v>
      </c>
      <c r="BB109" s="12">
        <v>100</v>
      </c>
      <c r="BC109" s="12">
        <v>100</v>
      </c>
      <c r="BD109" s="12">
        <v>100</v>
      </c>
      <c r="BE109" s="12">
        <v>100</v>
      </c>
      <c r="BF109" s="12">
        <v>100</v>
      </c>
      <c r="BG109" s="12">
        <v>100</v>
      </c>
      <c r="BH109" s="12">
        <v>100</v>
      </c>
      <c r="BI109" s="12">
        <v>100</v>
      </c>
      <c r="BJ109" s="12">
        <v>100</v>
      </c>
      <c r="BK109" s="12">
        <v>100</v>
      </c>
      <c r="BL109" s="12">
        <v>100</v>
      </c>
      <c r="BM109" s="12">
        <v>100</v>
      </c>
      <c r="BN109" s="12">
        <v>100</v>
      </c>
      <c r="BO109" s="12">
        <v>100</v>
      </c>
      <c r="BP109" s="12">
        <v>100</v>
      </c>
      <c r="BQ109" s="12">
        <v>100</v>
      </c>
      <c r="BR109" s="12">
        <v>100</v>
      </c>
    </row>
    <row r="110" spans="26:70">
      <c r="Z11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)))))))))))))))))))))))))))))))))))))))))))))))),BD110,FALSE),"-")</f>
        <v>-</v>
      </c>
      <c r="AA11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)))))))))))))))))))))))))))))))))))))))))))))))),BE110,FALSE),"-")</f>
        <v>-</v>
      </c>
      <c r="AB11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)))))))))))))))))))))))))))))))))))))))))))))))),BF110,FALSE),"-")</f>
        <v>-</v>
      </c>
      <c r="AC11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)))))))))))))))))))))))))))))))))))))))))))))))),BG110,FALSE),"-")</f>
        <v>-</v>
      </c>
      <c r="AD11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)))))))))))))))))))))))))))))))))))))))))))))))),BH110,FALSE),"-")</f>
        <v>-</v>
      </c>
    </row>
    <row r="111" spans="26:70">
      <c r="Z11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)))))))))))))))))))))))))))))))))))))))))))))))),BD111,FALSE),"-")</f>
        <v>-</v>
      </c>
      <c r="AA11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)))))))))))))))))))))))))))))))))))))))))))))))),BE111,FALSE),"-")</f>
        <v>-</v>
      </c>
      <c r="AB11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)))))))))))))))))))))))))))))))))))))))))))))))),BF111,FALSE),"-")</f>
        <v>-</v>
      </c>
      <c r="AC11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)))))))))))))))))))))))))))))))))))))))))))))))),BG111,FALSE),"-")</f>
        <v>-</v>
      </c>
      <c r="AD11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)))))))))))))))))))))))))))))))))))))))))))))))),BH111,FALSE),"-")</f>
        <v>-</v>
      </c>
    </row>
    <row r="112" spans="26:70">
      <c r="Z11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)))))))))))))))))))))))))))))))))))))))))))))))),BD112,FALSE),"-")</f>
        <v>-</v>
      </c>
      <c r="AA11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)))))))))))))))))))))))))))))))))))))))))))))))),BE112,FALSE),"-")</f>
        <v>-</v>
      </c>
      <c r="AB11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)))))))))))))))))))))))))))))))))))))))))))))))),BF112,FALSE),"-")</f>
        <v>-</v>
      </c>
      <c r="AC11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)))))))))))))))))))))))))))))))))))))))))))))))),BG112,FALSE),"-")</f>
        <v>-</v>
      </c>
      <c r="AD11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)))))))))))))))))))))))))))))))))))))))))))))))),BH112,FALSE),"-")</f>
        <v>-</v>
      </c>
    </row>
    <row r="113" spans="26:30">
      <c r="Z11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)))))))))))))))))))))))))))))))))))))))))))))))),BD113,FALSE),"-")</f>
        <v>-</v>
      </c>
      <c r="AA11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)))))))))))))))))))))))))))))))))))))))))))))))),BE113,FALSE),"-")</f>
        <v>-</v>
      </c>
      <c r="AB11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)))))))))))))))))))))))))))))))))))))))))))))))),BF113,FALSE),"-")</f>
        <v>-</v>
      </c>
      <c r="AC11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)))))))))))))))))))))))))))))))))))))))))))))))),BG113,FALSE),"-")</f>
        <v>-</v>
      </c>
      <c r="AD11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)))))))))))))))))))))))))))))))))))))))))))))))),BH113,FALSE),"-")</f>
        <v>-</v>
      </c>
    </row>
    <row r="114" spans="26:30">
      <c r="Z11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)))))))))))))))))))))))))))))))))))))))))))))))),BD114,FALSE),"-")</f>
        <v>-</v>
      </c>
      <c r="AA11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)))))))))))))))))))))))))))))))))))))))))))))))),BE114,FALSE),"-")</f>
        <v>-</v>
      </c>
      <c r="AB11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)))))))))))))))))))))))))))))))))))))))))))))))),BF114,FALSE),"-")</f>
        <v>-</v>
      </c>
      <c r="AC11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)))))))))))))))))))))))))))))))))))))))))))))))),BG114,FALSE),"-")</f>
        <v>-</v>
      </c>
      <c r="AD11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)))))))))))))))))))))))))))))))))))))))))))))))),BH114,FALSE),"-")</f>
        <v>-</v>
      </c>
    </row>
    <row r="115" spans="26:30">
      <c r="Z11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)))))))))))))))))))))))))))))))))))))))))))))))),BD115,FALSE),"-")</f>
        <v>-</v>
      </c>
      <c r="AA11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)))))))))))))))))))))))))))))))))))))))))))))))),BE115,FALSE),"-")</f>
        <v>-</v>
      </c>
      <c r="AB11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)))))))))))))))))))))))))))))))))))))))))))))))),BF115,FALSE),"-")</f>
        <v>-</v>
      </c>
      <c r="AC11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)))))))))))))))))))))))))))))))))))))))))))))))),BG115,FALSE),"-")</f>
        <v>-</v>
      </c>
      <c r="AD11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)))))))))))))))))))))))))))))))))))))))))))))))),BH115,FALSE),"-")</f>
        <v>-</v>
      </c>
    </row>
    <row r="116" spans="26:30">
      <c r="Z11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)))))))))))))))))))))))))))))))))))))))))))))))),BD116,FALSE),"-")</f>
        <v>-</v>
      </c>
      <c r="AA11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)))))))))))))))))))))))))))))))))))))))))))))))),BE116,FALSE),"-")</f>
        <v>-</v>
      </c>
      <c r="AB11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)))))))))))))))))))))))))))))))))))))))))))))))),BF116,FALSE),"-")</f>
        <v>-</v>
      </c>
      <c r="AC11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)))))))))))))))))))))))))))))))))))))))))))))))),BG116,FALSE),"-")</f>
        <v>-</v>
      </c>
      <c r="AD11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)))))))))))))))))))))))))))))))))))))))))))))))),BH116,FALSE),"-")</f>
        <v>-</v>
      </c>
    </row>
    <row r="117" spans="26:30">
      <c r="Z11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)))))))))))))))))))))))))))))))))))))))))))))))),BD117,FALSE),"-")</f>
        <v>-</v>
      </c>
      <c r="AA11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)))))))))))))))))))))))))))))))))))))))))))))))),BE117,FALSE),"-")</f>
        <v>-</v>
      </c>
      <c r="AB11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)))))))))))))))))))))))))))))))))))))))))))))))),BF117,FALSE),"-")</f>
        <v>-</v>
      </c>
      <c r="AC11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)))))))))))))))))))))))))))))))))))))))))))))))),BG117,FALSE),"-")</f>
        <v>-</v>
      </c>
      <c r="AD11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)))))))))))))))))))))))))))))))))))))))))))))))),BH117,FALSE),"-")</f>
        <v>-</v>
      </c>
    </row>
    <row r="118" spans="26:30">
      <c r="Z11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)))))))))))))))))))))))))))))))))))))))))))))))),BD118,FALSE),"-")</f>
        <v>-</v>
      </c>
      <c r="AA11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)))))))))))))))))))))))))))))))))))))))))))))))),BE118,FALSE),"-")</f>
        <v>-</v>
      </c>
      <c r="AB11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)))))))))))))))))))))))))))))))))))))))))))))))),BF118,FALSE),"-")</f>
        <v>-</v>
      </c>
      <c r="AC11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)))))))))))))))))))))))))))))))))))))))))))))))),BG118,FALSE),"-")</f>
        <v>-</v>
      </c>
      <c r="AD11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)))))))))))))))))))))))))))))))))))))))))))))))),BH118,FALSE),"-")</f>
        <v>-</v>
      </c>
    </row>
    <row r="119" spans="26:30">
      <c r="Z11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)))))))))))))))))))))))))))))))))))))))))))))))),BD119,FALSE),"-")</f>
        <v>-</v>
      </c>
      <c r="AA11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)))))))))))))))))))))))))))))))))))))))))))))))),BE119,FALSE),"-")</f>
        <v>-</v>
      </c>
      <c r="AB11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)))))))))))))))))))))))))))))))))))))))))))))))),BF119,FALSE),"-")</f>
        <v>-</v>
      </c>
      <c r="AC11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)))))))))))))))))))))))))))))))))))))))))))))))),BG119,FALSE),"-")</f>
        <v>-</v>
      </c>
      <c r="AD11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)))))))))))))))))))))))))))))))))))))))))))))))),BH119,FALSE),"-")</f>
        <v>-</v>
      </c>
    </row>
    <row r="120" spans="26:30">
      <c r="Z12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)))))))))))))))))))))))))))))))))))))))))))))))),BD120,FALSE),"-")</f>
        <v>-</v>
      </c>
      <c r="AA12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)))))))))))))))))))))))))))))))))))))))))))))))),BE120,FALSE),"-")</f>
        <v>-</v>
      </c>
      <c r="AB12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)))))))))))))))))))))))))))))))))))))))))))))))),BF120,FALSE),"-")</f>
        <v>-</v>
      </c>
      <c r="AC12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)))))))))))))))))))))))))))))))))))))))))))))))),BG120,FALSE),"-")</f>
        <v>-</v>
      </c>
      <c r="AD12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)))))))))))))))))))))))))))))))))))))))))))))))),BH120,FALSE),"-")</f>
        <v>-</v>
      </c>
    </row>
    <row r="121" spans="26:30">
      <c r="Z12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)))))))))))))))))))))))))))))))))))))))))))))))),BD121,FALSE),"-")</f>
        <v>-</v>
      </c>
      <c r="AA12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)))))))))))))))))))))))))))))))))))))))))))))))),BE121,FALSE),"-")</f>
        <v>-</v>
      </c>
      <c r="AB12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)))))))))))))))))))))))))))))))))))))))))))))))),BF121,FALSE),"-")</f>
        <v>-</v>
      </c>
      <c r="AC12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)))))))))))))))))))))))))))))))))))))))))))))))),BG121,FALSE),"-")</f>
        <v>-</v>
      </c>
      <c r="AD12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)))))))))))))))))))))))))))))))))))))))))))))))),BH121,FALSE),"-")</f>
        <v>-</v>
      </c>
    </row>
    <row r="122" spans="26:30">
      <c r="Z12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)))))))))))))))))))))))))))))))))))))))))))))))),BD122,FALSE),"-")</f>
        <v>-</v>
      </c>
      <c r="AA12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)))))))))))))))))))))))))))))))))))))))))))))))),BE122,FALSE),"-")</f>
        <v>-</v>
      </c>
      <c r="AB12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)))))))))))))))))))))))))))))))))))))))))))))))),BF122,FALSE),"-")</f>
        <v>-</v>
      </c>
      <c r="AC12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)))))))))))))))))))))))))))))))))))))))))))))))),BG122,FALSE),"-")</f>
        <v>-</v>
      </c>
      <c r="AD12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)))))))))))))))))))))))))))))))))))))))))))))))),BH122,FALSE),"-")</f>
        <v>-</v>
      </c>
    </row>
    <row r="123" spans="26:30">
      <c r="Z12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)))))))))))))))))))))))))))))))))))))))))))))))),BD123,FALSE),"-")</f>
        <v>-</v>
      </c>
      <c r="AA12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)))))))))))))))))))))))))))))))))))))))))))))))),BE123,FALSE),"-")</f>
        <v>-</v>
      </c>
      <c r="AB12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)))))))))))))))))))))))))))))))))))))))))))))))),BF123,FALSE),"-")</f>
        <v>-</v>
      </c>
      <c r="AC12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)))))))))))))))))))))))))))))))))))))))))))))))),BG123,FALSE),"-")</f>
        <v>-</v>
      </c>
      <c r="AD12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)))))))))))))))))))))))))))))))))))))))))))))))),BH123,FALSE),"-")</f>
        <v>-</v>
      </c>
    </row>
    <row r="124" spans="26:30">
      <c r="Z12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)))))))))))))))))))))))))))))))))))))))))))))))),BD124,FALSE),"-")</f>
        <v>-</v>
      </c>
      <c r="AA12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)))))))))))))))))))))))))))))))))))))))))))))))),BE124,FALSE),"-")</f>
        <v>-</v>
      </c>
      <c r="AB12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)))))))))))))))))))))))))))))))))))))))))))))))),BF124,FALSE),"-")</f>
        <v>-</v>
      </c>
      <c r="AC12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)))))))))))))))))))))))))))))))))))))))))))))))),BG124,FALSE),"-")</f>
        <v>-</v>
      </c>
      <c r="AD12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)))))))))))))))))))))))))))))))))))))))))))))))),BH124,FALSE),"-")</f>
        <v>-</v>
      </c>
    </row>
    <row r="125" spans="26:30">
      <c r="Z12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)))))))))))))))))))))))))))))))))))))))))))))))),BD125,FALSE),"-")</f>
        <v>-</v>
      </c>
      <c r="AA12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)))))))))))))))))))))))))))))))))))))))))))))))),BE125,FALSE),"-")</f>
        <v>-</v>
      </c>
      <c r="AB12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)))))))))))))))))))))))))))))))))))))))))))))))),BF125,FALSE),"-")</f>
        <v>-</v>
      </c>
      <c r="AC12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)))))))))))))))))))))))))))))))))))))))))))))))),BG125,FALSE),"-")</f>
        <v>-</v>
      </c>
      <c r="AD12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)))))))))))))))))))))))))))))))))))))))))))))))),BH125,FALSE),"-")</f>
        <v>-</v>
      </c>
    </row>
    <row r="126" spans="26:30">
      <c r="Z12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)))))))))))))))))))))))))))))))))))))))))))))))),BD126,FALSE),"-")</f>
        <v>-</v>
      </c>
      <c r="AA12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)))))))))))))))))))))))))))))))))))))))))))))))),BE126,FALSE),"-")</f>
        <v>-</v>
      </c>
      <c r="AB12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)))))))))))))))))))))))))))))))))))))))))))))))),BF126,FALSE),"-")</f>
        <v>-</v>
      </c>
      <c r="AC12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)))))))))))))))))))))))))))))))))))))))))))))))),BG126,FALSE),"-")</f>
        <v>-</v>
      </c>
      <c r="AD12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)))))))))))))))))))))))))))))))))))))))))))))))),BH126,FALSE),"-")</f>
        <v>-</v>
      </c>
    </row>
    <row r="127" spans="26:30">
      <c r="Z12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)))))))))))))))))))))))))))))))))))))))))))))))),BD127,FALSE),"-")</f>
        <v>-</v>
      </c>
      <c r="AA12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)))))))))))))))))))))))))))))))))))))))))))))))),BE127,FALSE),"-")</f>
        <v>-</v>
      </c>
      <c r="AB12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)))))))))))))))))))))))))))))))))))))))))))))))),BF127,FALSE),"-")</f>
        <v>-</v>
      </c>
      <c r="AC12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)))))))))))))))))))))))))))))))))))))))))))))))),BG127,FALSE),"-")</f>
        <v>-</v>
      </c>
      <c r="AD12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)))))))))))))))))))))))))))))))))))))))))))))))),BH127,FALSE),"-")</f>
        <v>-</v>
      </c>
    </row>
    <row r="128" spans="26:30">
      <c r="Z12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)))))))))))))))))))))))))))))))))))))))))))))))),BD128,FALSE),"-")</f>
        <v>-</v>
      </c>
      <c r="AA12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)))))))))))))))))))))))))))))))))))))))))))))))),BE128,FALSE),"-")</f>
        <v>-</v>
      </c>
      <c r="AB12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)))))))))))))))))))))))))))))))))))))))))))))))),BF128,FALSE),"-")</f>
        <v>-</v>
      </c>
      <c r="AC12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)))))))))))))))))))))))))))))))))))))))))))))))),BG128,FALSE),"-")</f>
        <v>-</v>
      </c>
      <c r="AD12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)))))))))))))))))))))))))))))))))))))))))))))))),BH128,FALSE),"-")</f>
        <v>-</v>
      </c>
    </row>
    <row r="129" spans="26:30">
      <c r="Z129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)))))))))))))))))))))))))))))))))))))))))))))))),BD129,FALSE),"-")</f>
        <v>-</v>
      </c>
      <c r="AA129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)))))))))))))))))))))))))))))))))))))))))))))))),BE129,FALSE),"-")</f>
        <v>-</v>
      </c>
      <c r="AB129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)))))))))))))))))))))))))))))))))))))))))))))))),BF129,FALSE),"-")</f>
        <v>-</v>
      </c>
      <c r="AC129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)))))))))))))))))))))))))))))))))))))))))))))))),BG129,FALSE),"-")</f>
        <v>-</v>
      </c>
      <c r="AD129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)))))))))))))))))))))))))))))))))))))))))))))))),BH129,FALSE),"-")</f>
        <v>-</v>
      </c>
    </row>
    <row r="130" spans="26:30">
      <c r="Z130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)))))))))))))))))))))))))))))))))))))))))))))))),BD130,FALSE),"-")</f>
        <v>-</v>
      </c>
      <c r="AA130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)))))))))))))))))))))))))))))))))))))))))))))))),BE130,FALSE),"-")</f>
        <v>-</v>
      </c>
      <c r="AB130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)))))))))))))))))))))))))))))))))))))))))))))))),BF130,FALSE),"-")</f>
        <v>-</v>
      </c>
      <c r="AC130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)))))))))))))))))))))))))))))))))))))))))))))))),BG130,FALSE),"-")</f>
        <v>-</v>
      </c>
      <c r="AD130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)))))))))))))))))))))))))))))))))))))))))))))))),BH130,FALSE),"-")</f>
        <v>-</v>
      </c>
    </row>
    <row r="131" spans="26:30">
      <c r="Z131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)))))))))))))))))))))))))))))))))))))))))))))))),BD131,FALSE),"-")</f>
        <v>-</v>
      </c>
      <c r="AA131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)))))))))))))))))))))))))))))))))))))))))))))))),BE131,FALSE),"-")</f>
        <v>-</v>
      </c>
      <c r="AB131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)))))))))))))))))))))))))))))))))))))))))))))))),BF131,FALSE),"-")</f>
        <v>-</v>
      </c>
      <c r="AC131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)))))))))))))))))))))))))))))))))))))))))))))))),BG131,FALSE),"-")</f>
        <v>-</v>
      </c>
      <c r="AD131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)))))))))))))))))))))))))))))))))))))))))))))))),BH131,FALSE),"-")</f>
        <v>-</v>
      </c>
    </row>
    <row r="132" spans="26:30">
      <c r="Z132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)))))))))))))))))))))))))))))))))))))))))))))))),BD132,FALSE),"-")</f>
        <v>-</v>
      </c>
      <c r="AA132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)))))))))))))))))))))))))))))))))))))))))))))))),BE132,FALSE),"-")</f>
        <v>-</v>
      </c>
      <c r="AB132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)))))))))))))))))))))))))))))))))))))))))))))))),BF132,FALSE),"-")</f>
        <v>-</v>
      </c>
      <c r="AC132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)))))))))))))))))))))))))))))))))))))))))))))))),BG132,FALSE),"-")</f>
        <v>-</v>
      </c>
      <c r="AD132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)))))))))))))))))))))))))))))))))))))))))))))))),BH132,FALSE),"-")</f>
        <v>-</v>
      </c>
    </row>
    <row r="133" spans="26:30">
      <c r="Z133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)))))))))))))))))))))))))))))))))))))))))))))))),BD133,FALSE),"-")</f>
        <v>-</v>
      </c>
      <c r="AA133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)))))))))))))))))))))))))))))))))))))))))))))))),BE133,FALSE),"-")</f>
        <v>-</v>
      </c>
      <c r="AB133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)))))))))))))))))))))))))))))))))))))))))))))))),BF133,FALSE),"-")</f>
        <v>-</v>
      </c>
      <c r="AC133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)))))))))))))))))))))))))))))))))))))))))))))))),BG133,FALSE),"-")</f>
        <v>-</v>
      </c>
      <c r="AD133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)))))))))))))))))))))))))))))))))))))))))))))))),BH133,FALSE),"-")</f>
        <v>-</v>
      </c>
    </row>
    <row r="134" spans="26:30">
      <c r="Z134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)))))))))))))))))))))))))))))))))))))))))))))))),BD134,FALSE),"-")</f>
        <v>-</v>
      </c>
      <c r="AA134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)))))))))))))))))))))))))))))))))))))))))))))))),BE134,FALSE),"-")</f>
        <v>-</v>
      </c>
      <c r="AB134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)))))))))))))))))))))))))))))))))))))))))))))))),BF134,FALSE),"-")</f>
        <v>-</v>
      </c>
      <c r="AC134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)))))))))))))))))))))))))))))))))))))))))))))))),BG134,FALSE),"-")</f>
        <v>-</v>
      </c>
      <c r="AD134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)))))))))))))))))))))))))))))))))))))))))))))))),BH134,FALSE),"-")</f>
        <v>-</v>
      </c>
    </row>
    <row r="135" spans="26:30">
      <c r="Z135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)))))))))))))))))))))))))))))))))))))))))))))))),BD135,FALSE),"-")</f>
        <v>-</v>
      </c>
      <c r="AA135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)))))))))))))))))))))))))))))))))))))))))))))))),BE135,FALSE),"-")</f>
        <v>-</v>
      </c>
      <c r="AB135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)))))))))))))))))))))))))))))))))))))))))))))))),BF135,FALSE),"-")</f>
        <v>-</v>
      </c>
      <c r="AC135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)))))))))))))))))))))))))))))))))))))))))))))))),BG135,FALSE),"-")</f>
        <v>-</v>
      </c>
      <c r="AD135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)))))))))))))))))))))))))))))))))))))))))))))))),BH135,FALSE),"-")</f>
        <v>-</v>
      </c>
    </row>
    <row r="136" spans="26:30">
      <c r="Z136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)))))))))))))))))))))))))))))))))))))))))))))))),BD136,FALSE),"-")</f>
        <v>-</v>
      </c>
      <c r="AA136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)))))))))))))))))))))))))))))))))))))))))))))))),BE136,FALSE),"-")</f>
        <v>-</v>
      </c>
      <c r="AB136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)))))))))))))))))))))))))))))))))))))))))))))))),BF136,FALSE),"-")</f>
        <v>-</v>
      </c>
      <c r="AC136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)))))))))))))))))))))))))))))))))))))))))))))))),BG136,FALSE),"-")</f>
        <v>-</v>
      </c>
      <c r="AD136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)))))))))))))))))))))))))))))))))))))))))))))))),BH136,FALSE),"-")</f>
        <v>-</v>
      </c>
    </row>
    <row r="137" spans="26:30">
      <c r="Z137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)))))))))))))))))))))))))))))))))))))))))))))))),BD137,FALSE),"-")</f>
        <v>-</v>
      </c>
      <c r="AA137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)))))))))))))))))))))))))))))))))))))))))))))))),BE137,FALSE),"-")</f>
        <v>-</v>
      </c>
      <c r="AB137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)))))))))))))))))))))))))))))))))))))))))))))))),BF137,FALSE),"-")</f>
        <v>-</v>
      </c>
      <c r="AC137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)))))))))))))))))))))))))))))))))))))))))))))))),BG137,FALSE),"-")</f>
        <v>-</v>
      </c>
      <c r="AD137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)))))))))))))))))))))))))))))))))))))))))))))))),BH137,FALSE),"-")</f>
        <v>-</v>
      </c>
    </row>
    <row r="138" spans="26:30">
      <c r="Z138" s="85" t="str">
        <f>IFERROR(HLOOKUP(VLOOKUP((VLOOKUP($Y$10,$B$10:$C$22,2,FALSE)),'All data map'!$C$1:$J$3005,4,FALSE),IF($Y$14="XGI-D21A",'All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)))))))))))))))))))))))))))))))))))))))))))))))),BD138,FALSE),"-")</f>
        <v>-</v>
      </c>
      <c r="AA138" s="86" t="str">
        <f>IFERROR(HLOOKUP(VLOOKUP((VLOOKUP($Y$10,$B$10:$C$22,2,FALSE)),'All data map'!$C$1:$J$3005,5,FALSE),IF($Y$14="XGI-D21A",'All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)))))))))))))))))))))))))))))))))))))))))))))))),BE138,FALSE),"-")</f>
        <v>-</v>
      </c>
      <c r="AB138" s="85" t="str">
        <f>IFERROR(HLOOKUP(VLOOKUP((VLOOKUP($Y$10,$B$10:$C$22,2,FALSE)),'All data map'!$C$1:$J$3005,6,FALSE),IF($Y$14="XGI-D21A",'All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)))))))))))))))))))))))))))))))))))))))))))))))),BF138,FALSE),"-")</f>
        <v>-</v>
      </c>
      <c r="AC138" s="85" t="str">
        <f>IFERROR(HLOOKUP(VLOOKUP((VLOOKUP($Y$10,$B$10:$C$22,2,FALSE)),'All data map'!$C$1:$J$3005,7,FALSE),IF($Y$14="XGI-D21A",'All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)))))))))))))))))))))))))))))))))))))))))))))))),BG138,FALSE),"-")</f>
        <v>-</v>
      </c>
      <c r="AD138" s="86" t="str">
        <f>IFERROR(HLOOKUP(VLOOKUP((VLOOKUP($Y$10,$B$10:$C$22,2,FALSE)),'All data map'!$C$1:$J$3005,8,FALSE),IF($Y$14="XGI-D21A",'All data map'!$F$2:$J$2, IF($Y$14="XGI-D22A",'All data map'!$F$3:$J$3, IF($Y$14="XGI-D22B",'All data map'!$F$4:$J$4, IF($Y$14="XGI-D24A",'All data map'!$F$5:$J$5, IF($Y$14="XGI-D24B",'All data map'!$F$6:$J$6, IF($Y$14="XGI-D28A",'All data map'!$F$7:$J$7, IF($Y$14="XGI-D28B",'All data map'!$F$8:$J$8,IF($Y$14="XGI-A12A",'All data map'!$F$9:$J$9, IF($Y$14="XGI-A21A",'All data map'!$F$10:$J$10,IF($Y$14="XGI-A21C",'All data map'!$F$11:$J$11, IF($Y$14="XGI-D21D",'All data map'!$F$12:$J$12, IF($Y$14="XGQ-RY1A",'All data map'!$F$13:$J$13, IF($Y$14="XGQ-RY2A",'All data map'!$F$14:$J$14, IF($Y$14="XGQ-RY2B",'All data map'!$F$15:$J$15, IF($Y$14="XGQ-TR1C",'All data map'!$F$16:$J$16, IF($Y$14="XGQ-TR2A",'All data map'!$F$17:$J$17, IF($Y$14="XGQ-TR2B",'All data map'!$F$18:$J$18, IF($Y$14="XGQ-TR4A",'All data map'!$F$19:$J$19, IF($Y$14="XGQ-TR4B",'All data map'!$F$20:$J$20, IF($Y$14="XGQ-TR8A",'All data map'!$F$21:$J$21, IF($Y$14="XGQ-TR8B",'All data map'!$F$22:$J$22, IF($Y$14="XGQ-SS2A",'All data map'!$F$23:$J$23, IF($Y$14="XGQ-RY1D",'All data map'!$F$24:$J$24, IF($Y$14="XGH-DT4A",'All data map'!$F$25:$J$26, IF($Y$14="XGF-AV8A",'All data map'!$F$27:$J$69, IF($Y$14="XGF-AC8A",'All data map'!$F$70:$J$112, IF($Y$14="XGF-AD4S",'All data map'!$F$113:$J$153, IF($Y$14="XGF-AD8A",'All data map'!$F$154:$J$196, IF($Y$14="XGF-AD16A",'All data map'!$F$197:$J$280, IF($Y$14="XGF-AC4H",'All data map'!$F$281:$J$324, IF($Y$14="XGF-AW4S",'All data map'!$F$326:$J$366, IF($Y$14="XGF-DV4A",'All data map'!$F$367:$J$388, IF($Y$14="XGF-DV8A",'All data map'!$F$389:$J$422, IF($Y$14="XGF-DC4A",'All data map'!$F$423:$J$444, IF($Y$14="XGF-DC8A",'All data map'!$F$445:$J$478, IF($Y$14="XGF-DV4S",'All data map'!$F$479:$J$500, IF($Y$14="XGF-DC4S",'All data map'!$F$501:$J$522, IF($Y$14="XGF-DC4H",'All data map'!$F$523:$J$556, IF($Y$14="XGF-AH6A",'All data map'!$F$557:$J$583, IF($Y$14="XGF-HO2A",'All data map'!$F$584:$J$645, IF($Y$14="XGF-HD2A",'All data map'!$F$646:$J$707, IF($Y$14="XGF-HO8A",'All data map'!$F$708:$J$837, IF($Y$14="XGF-RD4A",'All data map'!$F$838:$J$913, IF($Y$14="XGF-RD4S",'All data map'!$F$914:$J$989, IF($Y$14="XGF-TC4S",'All data map'!$F$990:$J$1069, IF($Y$14="XGF-RD8A",'All data map'!$F$1070:$J$1184, IF($Y$14="XGF-TC4UD",'All data map'!$F$1185:$J$1271, IF($Y$14="XGF-TC4RT",'All data map'!$F$1272:$J$1358,IF($Y$14="Header",'All data map'!$F$2076:$J$2086,) )))))))))))))))))))))))))))))))))))))))))))))))),BH138,FALSE),"-")</f>
        <v>-</v>
      </c>
    </row>
    <row r="1048576" spans="2:3">
      <c r="B1048576" s="9" t="s">
        <v>122</v>
      </c>
      <c r="C1048576" s="36" t="s">
        <v>3495</v>
      </c>
    </row>
  </sheetData>
  <dataConsolidate/>
  <mergeCells count="18">
    <mergeCell ref="AA7:AA9"/>
    <mergeCell ref="AB7:AB9"/>
    <mergeCell ref="AC7:AC9"/>
    <mergeCell ref="AD7:AD9"/>
    <mergeCell ref="B7:B9"/>
    <mergeCell ref="C7:C9"/>
    <mergeCell ref="D7:E8"/>
    <mergeCell ref="Y7:Y8"/>
    <mergeCell ref="Z7:Z9"/>
    <mergeCell ref="Y10:Y12"/>
    <mergeCell ref="Y14:Y16"/>
    <mergeCell ref="B23:C23"/>
    <mergeCell ref="B24:C24"/>
    <mergeCell ref="F7:G8"/>
    <mergeCell ref="H7:L8"/>
    <mergeCell ref="M7:P7"/>
    <mergeCell ref="Q7:T7"/>
    <mergeCell ref="U7:X7"/>
  </mergeCells>
  <phoneticPr fontId="1" type="noConversion"/>
  <conditionalFormatting sqref="B11">
    <cfRule type="expression" dxfId="50" priority="78">
      <formula>$C$1048576 = "Smart_IO"</formula>
    </cfRule>
  </conditionalFormatting>
  <conditionalFormatting sqref="B11:B18">
    <cfRule type="expression" dxfId="49" priority="79">
      <formula>$C$1048576 = "Expansion_Smart_IO"</formula>
    </cfRule>
  </conditionalFormatting>
  <conditionalFormatting sqref="B11:B22">
    <cfRule type="expression" dxfId="48" priority="80">
      <formula>$C$1048576 = "Expansion_Driver"</formula>
    </cfRule>
  </conditionalFormatting>
  <conditionalFormatting sqref="C11">
    <cfRule type="expression" dxfId="47" priority="81">
      <formula>$C$1048576 = "Smart_IO"</formula>
    </cfRule>
  </conditionalFormatting>
  <conditionalFormatting sqref="C11:C18">
    <cfRule type="expression" dxfId="46" priority="82">
      <formula>$C$1048576 = "Expansion_Smart_IO"</formula>
    </cfRule>
  </conditionalFormatting>
  <conditionalFormatting sqref="C11:C22">
    <cfRule type="expression" dxfId="45" priority="83">
      <formula>$C$1048576 = "Expansion_Driver"</formula>
    </cfRule>
  </conditionalFormatting>
  <conditionalFormatting sqref="D11:E11">
    <cfRule type="expression" dxfId="44" priority="19">
      <formula>$C$1048576 = "Smart_IO"</formula>
    </cfRule>
  </conditionalFormatting>
  <conditionalFormatting sqref="D11:E18">
    <cfRule type="expression" dxfId="43" priority="20">
      <formula>$C$1048576 = "Expansion_Smart_IO"</formula>
    </cfRule>
  </conditionalFormatting>
  <conditionalFormatting sqref="D11:E22">
    <cfRule type="expression" dxfId="42" priority="21">
      <formula>$C$1048576 = "Expansion_Driver"</formula>
    </cfRule>
  </conditionalFormatting>
  <conditionalFormatting sqref="F11:P11">
    <cfRule type="expression" dxfId="41" priority="16">
      <formula>$C$6 = "Smart_IO"</formula>
    </cfRule>
  </conditionalFormatting>
  <conditionalFormatting sqref="F11:P18">
    <cfRule type="expression" dxfId="40" priority="17">
      <formula>$C$6 = "Expansion_Smart_IO"</formula>
    </cfRule>
  </conditionalFormatting>
  <conditionalFormatting sqref="F11:P22">
    <cfRule type="expression" dxfId="39" priority="18">
      <formula>$C$6 = "Expansion_Driver"</formula>
    </cfRule>
  </conditionalFormatting>
  <conditionalFormatting sqref="Q27:Q38">
    <cfRule type="expression" dxfId="38" priority="7">
      <formula>$C$6 = "Smart_IO"</formula>
    </cfRule>
    <cfRule type="expression" dxfId="37" priority="8">
      <formula>$C$6 = "Expansion_Smart_IO"</formula>
    </cfRule>
    <cfRule type="expression" dxfId="36" priority="9">
      <formula>$C$6 = "Expansion_Driver"</formula>
    </cfRule>
  </conditionalFormatting>
  <conditionalFormatting sqref="Q11:R18 T11:T18 Q19:Q22">
    <cfRule type="expression" dxfId="35" priority="4">
      <formula>$C$6 = "Expansion_Smart_IO"</formula>
    </cfRule>
  </conditionalFormatting>
  <conditionalFormatting sqref="Q11:T22">
    <cfRule type="expression" dxfId="34" priority="2">
      <formula>$C$6 = "Expansion_Driver"</formula>
    </cfRule>
  </conditionalFormatting>
  <conditionalFormatting sqref="R11 T11">
    <cfRule type="expression" dxfId="33" priority="3">
      <formula>$C$6 = "Smart_IO"</formula>
    </cfRule>
  </conditionalFormatting>
  <conditionalFormatting sqref="S11:S22">
    <cfRule type="expression" dxfId="32" priority="1">
      <formula>$C$6 = "Expansion_Smart_IO"</formula>
    </cfRule>
  </conditionalFormatting>
  <conditionalFormatting sqref="U11:X11">
    <cfRule type="expression" dxfId="31" priority="10">
      <formula>$C$6 = "Smart_IO"</formula>
    </cfRule>
  </conditionalFormatting>
  <conditionalFormatting sqref="U11:X18">
    <cfRule type="expression" dxfId="30" priority="12">
      <formula>$C$6 = "Expansion_Smart_IO"</formula>
    </cfRule>
  </conditionalFormatting>
  <conditionalFormatting sqref="U11:X22">
    <cfRule type="expression" dxfId="29" priority="14">
      <formula>$C$6 = "Expansion_Driver"</formula>
    </cfRule>
  </conditionalFormatting>
  <conditionalFormatting sqref="Z10:AD138">
    <cfRule type="expression" dxfId="28" priority="39">
      <formula>$Z10:$Z109="Output"</formula>
    </cfRule>
    <cfRule type="expression" dxfId="27" priority="40">
      <formula>$Z10:$Z109="Input"</formula>
    </cfRule>
  </conditionalFormatting>
  <dataValidations count="2">
    <dataValidation type="list" allowBlank="1" showInputMessage="1" showErrorMessage="1" sqref="C19:C22" xr:uid="{2991DBFC-C65E-4653-8A3D-C0DE04DEB2D5}">
      <formula1>INDIRECT($C$1048576)</formula1>
    </dataValidation>
    <dataValidation type="list" showInputMessage="1" showErrorMessage="1" sqref="C11:C18" xr:uid="{C19281A1-08D6-42BB-9EE4-6A42FF883083}">
      <formula1>INDIRECT($C$1048576)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0B11EB-4FFD-4E45-9377-CB5DD7450F51}">
          <x14:formula1>
            <xm:f>ref!$D$2:$F$2</xm:f>
          </x14:formula1>
          <xm:sqref>C1048576</xm:sqref>
        </x14:dataValidation>
        <x14:dataValidation type="list" allowBlank="1" showInputMessage="1" showErrorMessage="1" xr:uid="{1F853E50-5978-4575-8E20-9441B34A42C5}">
          <x14:formula1>
            <xm:f>slot!$C$5:$C$17</xm:f>
          </x14:formula1>
          <xm:sqref>Y10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6356-8FAE-496E-9AD4-FD221858E6FE}">
  <sheetPr codeName="Sheet1"/>
  <dimension ref="B3:BR1048576"/>
  <sheetViews>
    <sheetView showGridLines="0" zoomScale="85" zoomScaleNormal="85" workbookViewId="0">
      <selection activeCell="P33" sqref="P33"/>
    </sheetView>
  </sheetViews>
  <sheetFormatPr defaultColWidth="8.83203125" defaultRowHeight="17"/>
  <cols>
    <col min="1" max="1" width="2" style="12" customWidth="1"/>
    <col min="2" max="2" width="9.83203125" style="12" customWidth="1"/>
    <col min="3" max="3" width="18.75" style="12" customWidth="1"/>
    <col min="4" max="4" width="6.5" style="5" customWidth="1"/>
    <col min="5" max="5" width="6.83203125" style="5" customWidth="1"/>
    <col min="6" max="6" width="6.58203125" style="5" customWidth="1"/>
    <col min="7" max="7" width="7.25" style="5" customWidth="1"/>
    <col min="8" max="10" width="8.33203125" style="5" hidden="1" customWidth="1"/>
    <col min="11" max="11" width="12.25" style="5" hidden="1" customWidth="1"/>
    <col min="12" max="12" width="13.83203125" style="5" hidden="1" customWidth="1"/>
    <col min="13" max="13" width="6.08203125" style="5" customWidth="1"/>
    <col min="14" max="14" width="6.25" style="5" customWidth="1"/>
    <col min="15" max="16" width="6" style="5" customWidth="1"/>
    <col min="17" max="24" width="8.33203125" style="5" customWidth="1"/>
    <col min="25" max="25" width="17.08203125" style="12" customWidth="1"/>
    <col min="26" max="26" width="11" style="99" bestFit="1" customWidth="1"/>
    <col min="27" max="27" width="26.33203125" style="12" bestFit="1" customWidth="1"/>
    <col min="28" max="28" width="8.83203125" style="12" bestFit="1" customWidth="1"/>
    <col min="29" max="29" width="17.08203125" style="12" bestFit="1" customWidth="1"/>
    <col min="30" max="30" width="48.33203125" style="12" bestFit="1" customWidth="1"/>
    <col min="31" max="31" width="10" style="12" bestFit="1" customWidth="1"/>
    <col min="32" max="32" width="8.83203125" style="100"/>
    <col min="33" max="53" width="8.83203125" style="12"/>
    <col min="54" max="56" width="8.83203125" style="12" customWidth="1"/>
    <col min="57" max="57" width="4.08203125" style="12" customWidth="1"/>
    <col min="58" max="70" width="8.83203125" style="12" customWidth="1"/>
    <col min="71" max="16384" width="8.83203125" style="12"/>
  </cols>
  <sheetData>
    <row r="3" spans="2:70">
      <c r="AA3" s="109"/>
    </row>
    <row r="4" spans="2:70" ht="17.5" thickBot="1">
      <c r="Z4" s="101"/>
      <c r="AA4" s="109"/>
      <c r="AB4" s="102"/>
    </row>
    <row r="5" spans="2:70" ht="17.5" thickBot="1">
      <c r="U5" s="6" t="s">
        <v>120</v>
      </c>
      <c r="V5" s="27">
        <v>0</v>
      </c>
      <c r="Z5" s="101"/>
      <c r="AB5" s="103"/>
    </row>
    <row r="6" spans="2:70" ht="17.5" thickBot="1"/>
    <row r="7" spans="2:70" ht="32.25" customHeight="1" thickBot="1">
      <c r="B7" s="148" t="s">
        <v>1</v>
      </c>
      <c r="C7" s="151" t="s">
        <v>16</v>
      </c>
      <c r="D7" s="160" t="s">
        <v>3624</v>
      </c>
      <c r="E7" s="161"/>
      <c r="F7" s="164" t="s">
        <v>3625</v>
      </c>
      <c r="G7" s="165"/>
      <c r="H7" s="168" t="s">
        <v>7</v>
      </c>
      <c r="I7" s="169"/>
      <c r="J7" s="169"/>
      <c r="K7" s="169"/>
      <c r="L7" s="161"/>
      <c r="M7" s="179" t="s">
        <v>3621</v>
      </c>
      <c r="N7" s="180"/>
      <c r="O7" s="180"/>
      <c r="P7" s="181"/>
      <c r="Q7" s="173" t="s">
        <v>3620</v>
      </c>
      <c r="R7" s="174"/>
      <c r="S7" s="174"/>
      <c r="T7" s="175"/>
      <c r="U7" s="176" t="s">
        <v>121</v>
      </c>
      <c r="V7" s="177"/>
      <c r="W7" s="177"/>
      <c r="X7" s="178"/>
      <c r="Y7" s="171" t="s">
        <v>171</v>
      </c>
      <c r="Z7" s="154" t="s">
        <v>3580</v>
      </c>
      <c r="AA7" s="154" t="s">
        <v>149</v>
      </c>
      <c r="AB7" s="157" t="s">
        <v>3597</v>
      </c>
      <c r="AC7" s="154" t="s">
        <v>3598</v>
      </c>
      <c r="AD7" s="154" t="s">
        <v>19</v>
      </c>
    </row>
    <row r="8" spans="2:70" ht="48.5" customHeight="1" thickBot="1">
      <c r="B8" s="149"/>
      <c r="C8" s="152"/>
      <c r="D8" s="162"/>
      <c r="E8" s="163"/>
      <c r="F8" s="166"/>
      <c r="G8" s="167"/>
      <c r="H8" s="162"/>
      <c r="I8" s="170"/>
      <c r="J8" s="170"/>
      <c r="K8" s="170"/>
      <c r="L8" s="163"/>
      <c r="M8" s="125" t="s">
        <v>11</v>
      </c>
      <c r="N8" s="127" t="s">
        <v>12</v>
      </c>
      <c r="O8" s="128" t="s">
        <v>11</v>
      </c>
      <c r="P8" s="127" t="s">
        <v>13</v>
      </c>
      <c r="Q8" s="33" t="s">
        <v>28</v>
      </c>
      <c r="R8" s="34" t="s">
        <v>26</v>
      </c>
      <c r="S8" s="34" t="s">
        <v>29</v>
      </c>
      <c r="T8" s="35" t="s">
        <v>26</v>
      </c>
      <c r="U8" s="30" t="s">
        <v>28</v>
      </c>
      <c r="V8" s="31" t="s">
        <v>26</v>
      </c>
      <c r="W8" s="31" t="s">
        <v>29</v>
      </c>
      <c r="X8" s="32" t="s">
        <v>26</v>
      </c>
      <c r="Y8" s="172"/>
      <c r="Z8" s="155"/>
      <c r="AA8" s="155"/>
      <c r="AB8" s="158"/>
      <c r="AC8" s="155"/>
      <c r="AD8" s="155"/>
    </row>
    <row r="9" spans="2:70" ht="37.5" customHeight="1" thickBot="1">
      <c r="B9" s="150"/>
      <c r="C9" s="153"/>
      <c r="D9" s="118" t="s">
        <v>14</v>
      </c>
      <c r="E9" s="119" t="s">
        <v>15</v>
      </c>
      <c r="F9" s="125" t="s">
        <v>3622</v>
      </c>
      <c r="G9" s="126" t="s">
        <v>3623</v>
      </c>
      <c r="H9" s="120" t="s">
        <v>3</v>
      </c>
      <c r="I9" s="121" t="s">
        <v>4</v>
      </c>
      <c r="J9" s="121" t="s">
        <v>5</v>
      </c>
      <c r="K9" s="116" t="s">
        <v>8</v>
      </c>
      <c r="L9" s="117" t="s">
        <v>9</v>
      </c>
      <c r="M9" s="131" t="s">
        <v>10</v>
      </c>
      <c r="N9" s="132">
        <v>0</v>
      </c>
      <c r="O9" s="133" t="s">
        <v>10</v>
      </c>
      <c r="P9" s="134">
        <v>100</v>
      </c>
      <c r="Q9" s="135"/>
      <c r="R9" s="136" t="s">
        <v>27</v>
      </c>
      <c r="S9" s="137"/>
      <c r="T9" s="138" t="s">
        <v>27</v>
      </c>
      <c r="U9" s="135"/>
      <c r="V9" s="136" t="s">
        <v>27</v>
      </c>
      <c r="W9" s="137"/>
      <c r="X9" s="138" t="s">
        <v>27</v>
      </c>
      <c r="Y9" s="87" t="s">
        <v>147</v>
      </c>
      <c r="Z9" s="156"/>
      <c r="AA9" s="156"/>
      <c r="AB9" s="159"/>
      <c r="AC9" s="156"/>
      <c r="AD9" s="156"/>
    </row>
    <row r="10" spans="2:70" ht="16.5" customHeight="1">
      <c r="B10" s="45" t="s">
        <v>2</v>
      </c>
      <c r="C10" s="45" t="s">
        <v>2</v>
      </c>
      <c r="D10" s="97">
        <v>4</v>
      </c>
      <c r="E10" s="98">
        <v>0</v>
      </c>
      <c r="F10" s="122">
        <f>D10</f>
        <v>4</v>
      </c>
      <c r="G10" s="122">
        <f>E10</f>
        <v>0</v>
      </c>
      <c r="H10" s="114" t="s">
        <v>6</v>
      </c>
      <c r="I10" s="114" t="s">
        <v>6</v>
      </c>
      <c r="J10" s="114" t="s">
        <v>6</v>
      </c>
      <c r="K10" s="115">
        <f>IFERROR(F10-D10,0)</f>
        <v>0</v>
      </c>
      <c r="L10" s="115">
        <f>IFERROR(G10-E10,"-")</f>
        <v>0</v>
      </c>
      <c r="M10" s="51"/>
      <c r="N10" s="52"/>
      <c r="O10" s="51"/>
      <c r="P10" s="53"/>
      <c r="Q10" s="46" t="str">
        <f>IF(D10&lt;&gt;0,"H302"&amp;TEXT(DEC2HEX(K10/2,2),"00"),0)</f>
        <v>H30200</v>
      </c>
      <c r="R10" s="129">
        <f>D10/2</f>
        <v>2</v>
      </c>
      <c r="S10" s="47">
        <f>IF(E10&lt;&gt;0,"H402"&amp;TEXT(DEC2HEX(L10/2,2),"00"),0)</f>
        <v>0</v>
      </c>
      <c r="T10" s="130">
        <f t="shared" ref="T10:T16" si="0">E10/2</f>
        <v>0</v>
      </c>
      <c r="U10" s="46" t="str">
        <f t="shared" ref="U10:U22" si="1">IF(D10&lt;&gt;0,"305"&amp;TEXT(K10/2+12+$V$5,"00"),0)</f>
        <v>30512</v>
      </c>
      <c r="V10" s="129">
        <f>D10/2</f>
        <v>2</v>
      </c>
      <c r="W10" s="47">
        <f t="shared" ref="W10:W22" si="2">IF(E10&lt;&gt;0,"405"&amp;TEXT(L10/2+12+$V$5,"00"),0)</f>
        <v>0</v>
      </c>
      <c r="X10" s="130">
        <f>E10/2</f>
        <v>0</v>
      </c>
      <c r="Y10" s="139">
        <v>0</v>
      </c>
      <c r="Z1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map'!$F$2087:$J$2095,))))))))),BD10,FALSE),"-")</f>
        <v>Input</v>
      </c>
      <c r="AA1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map'!$F$2087:$J$2095,))))))))),BE10,FALSE),"-")</f>
        <v>GEL-AV8C_ERR</v>
      </c>
      <c r="AB1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map'!$F$2087:$J$2095,))))))))),BF10,FALSE),"-")</f>
        <v>BIT</v>
      </c>
      <c r="AC10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map'!$F$2087:$J$2095,))))))))),BG10,FALSE),"-")</f>
        <v>0</v>
      </c>
      <c r="AD1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map'!$F$2087:$J$2095,))))))))),BH10,FALSE),"-")</f>
        <v>Analog input module: Module error</v>
      </c>
      <c r="BB10" s="12">
        <v>1</v>
      </c>
      <c r="BC10" s="12">
        <v>1</v>
      </c>
      <c r="BD10" s="12">
        <v>1</v>
      </c>
      <c r="BE10" s="12">
        <v>1</v>
      </c>
      <c r="BF10" s="12">
        <v>1</v>
      </c>
      <c r="BG10" s="12">
        <v>1</v>
      </c>
      <c r="BH10" s="12">
        <v>1</v>
      </c>
      <c r="BI10" s="12">
        <v>1</v>
      </c>
      <c r="BJ10" s="12">
        <v>1</v>
      </c>
      <c r="BK10" s="12">
        <v>1</v>
      </c>
      <c r="BL10" s="12">
        <v>1</v>
      </c>
      <c r="BM10" s="12">
        <v>1</v>
      </c>
      <c r="BN10" s="12">
        <v>1</v>
      </c>
      <c r="BO10" s="12">
        <v>1</v>
      </c>
      <c r="BP10" s="12">
        <v>1</v>
      </c>
      <c r="BQ10" s="12">
        <v>1</v>
      </c>
      <c r="BR10" s="12">
        <v>1</v>
      </c>
    </row>
    <row r="11" spans="2:70" ht="16.5" customHeight="1">
      <c r="B11" s="104">
        <v>0</v>
      </c>
      <c r="C11" s="104" t="s">
        <v>368</v>
      </c>
      <c r="D11" s="90">
        <f>IFERROR(VLOOKUP(C11,'refresh size'!C:E,2,FALSE),0)</f>
        <v>26</v>
      </c>
      <c r="E11" s="88">
        <f>IFERROR(VLOOKUP(C11,'refresh size'!C:E,3,FALSE),0)</f>
        <v>2</v>
      </c>
      <c r="F11" s="123">
        <f>IF(LEN(C11)&gt;0,IF(D11&gt;0,MAX(F$10:F10)+D11,"-"),"-")</f>
        <v>30</v>
      </c>
      <c r="G11" s="123">
        <f>IF(LEN(C11)&gt;0,IF(E11&gt;0,MAX(G$10:G10)+E11,0),0)</f>
        <v>2</v>
      </c>
      <c r="H11" s="8">
        <f>B11*8</f>
        <v>0</v>
      </c>
      <c r="I11" s="8">
        <f>B11*8</f>
        <v>0</v>
      </c>
      <c r="J11" s="8">
        <f>B11*64</f>
        <v>0</v>
      </c>
      <c r="K11" s="9">
        <f>IFERROR(F11-D11,0)</f>
        <v>4</v>
      </c>
      <c r="L11" s="9">
        <f>IFERROR(G11-E11,0)</f>
        <v>0</v>
      </c>
      <c r="M11" s="10" t="str">
        <f>$M$9</f>
        <v>MW</v>
      </c>
      <c r="N11" s="11">
        <f>IF(D11,IF(D11,$N$9+(K11/2),0),"-")</f>
        <v>2</v>
      </c>
      <c r="O11" s="10" t="str">
        <f>$M$9</f>
        <v>MW</v>
      </c>
      <c r="P11" s="23">
        <f>IF(E11,IF(E11,$P$9+(L11/2),0),"-")</f>
        <v>100</v>
      </c>
      <c r="Q11" s="24" t="str">
        <f>IF(D11&lt;&gt;0,"H302"&amp;TEXT(DEC2HEX(K11/2,2),"00"),0)</f>
        <v>H30202</v>
      </c>
      <c r="R11" s="28">
        <f t="shared" ref="R11:R22" si="3">D11/2</f>
        <v>13</v>
      </c>
      <c r="S11" s="24" t="str">
        <f t="shared" ref="S11:S22" si="4">IF(E11&lt;&gt;0,"H402"&amp;TEXT(DEC2HEX(L11/2,2),"00"),0)</f>
        <v>H40200</v>
      </c>
      <c r="T11" s="29">
        <f t="shared" si="0"/>
        <v>1</v>
      </c>
      <c r="U11" s="24" t="str">
        <f t="shared" si="1"/>
        <v>30514</v>
      </c>
      <c r="V11" s="28">
        <f t="shared" ref="V11:V22" si="5">D11/2</f>
        <v>13</v>
      </c>
      <c r="W11" s="7" t="str">
        <f t="shared" si="2"/>
        <v>40512</v>
      </c>
      <c r="X11" s="29">
        <f>E11/2</f>
        <v>1</v>
      </c>
      <c r="Y11" s="140"/>
      <c r="Z1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map'!$F$2087:$J$2095,))))))))),BD11,FALSE),"-")</f>
        <v>Input</v>
      </c>
      <c r="AA1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map'!$F$2087:$J$2095,))))))))),BE11,FALSE),"-")</f>
        <v>GEL-AV8C_RDY</v>
      </c>
      <c r="AB1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map'!$F$2087:$J$2095,))))))))),BF11,FALSE),"-")</f>
        <v>BIT</v>
      </c>
      <c r="AC11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map'!$F$2087:$J$2095,))))))))),BG11,FALSE),"-")</f>
        <v>0.F</v>
      </c>
      <c r="AD1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map'!$F$2087:$J$2095,))))))))),BH11,FALSE),"-")</f>
        <v>Analog input module: Module ready</v>
      </c>
      <c r="BB11" s="12">
        <v>2</v>
      </c>
      <c r="BC11" s="12">
        <v>2</v>
      </c>
      <c r="BD11" s="12">
        <v>2</v>
      </c>
      <c r="BE11" s="12">
        <v>2</v>
      </c>
      <c r="BF11" s="12">
        <v>2</v>
      </c>
      <c r="BG11" s="12">
        <v>2</v>
      </c>
      <c r="BH11" s="12">
        <v>2</v>
      </c>
      <c r="BI11" s="12">
        <v>2</v>
      </c>
      <c r="BJ11" s="12">
        <v>2</v>
      </c>
      <c r="BK11" s="12">
        <v>2</v>
      </c>
      <c r="BL11" s="12">
        <v>2</v>
      </c>
      <c r="BM11" s="12">
        <v>2</v>
      </c>
      <c r="BN11" s="12">
        <v>2</v>
      </c>
      <c r="BO11" s="12">
        <v>2</v>
      </c>
      <c r="BP11" s="12">
        <v>2</v>
      </c>
      <c r="BQ11" s="12">
        <v>2</v>
      </c>
      <c r="BR11" s="12">
        <v>2</v>
      </c>
    </row>
    <row r="12" spans="2:70" ht="16.5" customHeight="1" thickBot="1">
      <c r="B12" s="104">
        <v>1</v>
      </c>
      <c r="C12" s="104"/>
      <c r="D12" s="90">
        <f>IFERROR(VLOOKUP(C12,'refresh size'!C:E,2,FALSE),0)</f>
        <v>0</v>
      </c>
      <c r="E12" s="88">
        <f>IFERROR(VLOOKUP(C12,'refresh size'!C:E,3,FALSE),0)</f>
        <v>0</v>
      </c>
      <c r="F12" s="123" t="str">
        <f>IF(LEN(C12)&gt;0,IF(D12&gt;0,MAX(F$10:F11)+D12,"-"),"-")</f>
        <v>-</v>
      </c>
      <c r="G12" s="123" t="str">
        <f>IF(LEN(C12)&gt;0,IF(E12&gt;0,MAX(G$10:G11)+E12,"-"),"-")</f>
        <v>-</v>
      </c>
      <c r="H12" s="8">
        <f t="shared" ref="H12:H22" si="6">B12*8</f>
        <v>8</v>
      </c>
      <c r="I12" s="8">
        <f t="shared" ref="I12:I22" si="7">B12*8</f>
        <v>8</v>
      </c>
      <c r="J12" s="8">
        <f t="shared" ref="J12:J22" si="8">B12*64</f>
        <v>64</v>
      </c>
      <c r="K12" s="9">
        <f t="shared" ref="K12:L22" si="9">IFERROR(F12-D12,0)</f>
        <v>0</v>
      </c>
      <c r="L12" s="9">
        <f t="shared" si="9"/>
        <v>0</v>
      </c>
      <c r="M12" s="10" t="str">
        <f t="shared" ref="M12:O22" si="10">$M$9</f>
        <v>MW</v>
      </c>
      <c r="N12" s="11" t="str">
        <f t="shared" ref="N12:N22" si="11">IF(D12,IF(D12,$N$9+(K12/2),0),"-")</f>
        <v>-</v>
      </c>
      <c r="O12" s="10" t="str">
        <f t="shared" si="10"/>
        <v>MW</v>
      </c>
      <c r="P12" s="23" t="str">
        <f t="shared" ref="P12:P22" si="12">IF(E12,IF(E12,$P$9+(L12/2),0),"-")</f>
        <v>-</v>
      </c>
      <c r="Q12" s="24">
        <f t="shared" ref="Q12:Q22" si="13">IF(D12&lt;&gt;0,"H302"&amp;TEXT(DEC2HEX(K12/2,2),"00"),0)</f>
        <v>0</v>
      </c>
      <c r="R12" s="28">
        <f t="shared" si="3"/>
        <v>0</v>
      </c>
      <c r="S12" s="24">
        <f t="shared" si="4"/>
        <v>0</v>
      </c>
      <c r="T12" s="29">
        <f t="shared" si="0"/>
        <v>0</v>
      </c>
      <c r="U12" s="24">
        <f t="shared" si="1"/>
        <v>0</v>
      </c>
      <c r="V12" s="28">
        <f t="shared" si="5"/>
        <v>0</v>
      </c>
      <c r="W12" s="7">
        <f t="shared" si="2"/>
        <v>0</v>
      </c>
      <c r="X12" s="29">
        <f>E12/2</f>
        <v>0</v>
      </c>
      <c r="Y12" s="140"/>
      <c r="Z1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map'!$F$2087:$J$2095,))))))))),BD12,FALSE),"-")</f>
        <v>Input</v>
      </c>
      <c r="AA1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map'!$F$2087:$J$2095,))))))))),BE12,FALSE),"-")</f>
        <v>GEL-AV8C_CH0_ACT</v>
      </c>
      <c r="AB1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map'!$F$2087:$J$2095,))))))))),BF12,FALSE),"-")</f>
        <v>BIT</v>
      </c>
      <c r="AC12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map'!$F$2087:$J$2095,))))))))),BG12,FALSE),"-")</f>
        <v>1</v>
      </c>
      <c r="AD1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map'!$F$2087:$J$2095,))))))))),BH12,FALSE),"-")</f>
        <v>Analog input module: CH0 RUN</v>
      </c>
      <c r="BB12" s="12">
        <v>3</v>
      </c>
      <c r="BC12" s="12">
        <v>3</v>
      </c>
      <c r="BD12" s="12">
        <v>3</v>
      </c>
      <c r="BE12" s="12">
        <v>3</v>
      </c>
      <c r="BF12" s="12">
        <v>3</v>
      </c>
      <c r="BG12" s="12">
        <v>3</v>
      </c>
      <c r="BH12" s="12">
        <v>3</v>
      </c>
      <c r="BI12" s="12">
        <v>3</v>
      </c>
      <c r="BJ12" s="12">
        <v>3</v>
      </c>
      <c r="BK12" s="12">
        <v>3</v>
      </c>
      <c r="BL12" s="12">
        <v>3</v>
      </c>
      <c r="BM12" s="12">
        <v>3</v>
      </c>
      <c r="BN12" s="12">
        <v>3</v>
      </c>
      <c r="BO12" s="12">
        <v>3</v>
      </c>
      <c r="BP12" s="12">
        <v>3</v>
      </c>
      <c r="BQ12" s="12">
        <v>3</v>
      </c>
      <c r="BR12" s="12">
        <v>3</v>
      </c>
    </row>
    <row r="13" spans="2:70" ht="16.5" customHeight="1">
      <c r="B13" s="104">
        <v>2</v>
      </c>
      <c r="C13" s="104"/>
      <c r="D13" s="90">
        <f>IFERROR(VLOOKUP(C13,'refresh size'!C:E,2,FALSE),0)</f>
        <v>0</v>
      </c>
      <c r="E13" s="88">
        <f>IFERROR(VLOOKUP(C13,'refresh size'!C:E,3,FALSE),0)</f>
        <v>0</v>
      </c>
      <c r="F13" s="123" t="str">
        <f>IF(LEN(C13)&gt;0,IF(D13&gt;0,MAX(F$10:F12)+D13,"-"),"-")</f>
        <v>-</v>
      </c>
      <c r="G13" s="123" t="str">
        <f>IF(LEN(C13)&gt;0,IF(E13&gt;0,MAX(G$10:G12)+E13,"-"),"-")</f>
        <v>-</v>
      </c>
      <c r="H13" s="8">
        <f t="shared" si="6"/>
        <v>16</v>
      </c>
      <c r="I13" s="8">
        <f t="shared" si="7"/>
        <v>16</v>
      </c>
      <c r="J13" s="8">
        <f t="shared" si="8"/>
        <v>128</v>
      </c>
      <c r="K13" s="9">
        <f t="shared" si="9"/>
        <v>0</v>
      </c>
      <c r="L13" s="9">
        <f t="shared" si="9"/>
        <v>0</v>
      </c>
      <c r="M13" s="10" t="str">
        <f t="shared" si="10"/>
        <v>MW</v>
      </c>
      <c r="N13" s="11" t="str">
        <f t="shared" si="11"/>
        <v>-</v>
      </c>
      <c r="O13" s="10" t="str">
        <f t="shared" si="10"/>
        <v>MW</v>
      </c>
      <c r="P13" s="23" t="str">
        <f t="shared" si="12"/>
        <v>-</v>
      </c>
      <c r="Q13" s="24">
        <f t="shared" si="13"/>
        <v>0</v>
      </c>
      <c r="R13" s="28">
        <f t="shared" si="3"/>
        <v>0</v>
      </c>
      <c r="S13" s="24">
        <f t="shared" si="4"/>
        <v>0</v>
      </c>
      <c r="T13" s="29">
        <f t="shared" si="0"/>
        <v>0</v>
      </c>
      <c r="U13" s="24">
        <f t="shared" si="1"/>
        <v>0</v>
      </c>
      <c r="V13" s="28">
        <f t="shared" si="5"/>
        <v>0</v>
      </c>
      <c r="W13" s="7">
        <f t="shared" si="2"/>
        <v>0</v>
      </c>
      <c r="X13" s="29">
        <f t="shared" ref="X13:X22" si="14">E13/2</f>
        <v>0</v>
      </c>
      <c r="Y13" s="112" t="s">
        <v>360</v>
      </c>
      <c r="Z1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map'!$F$2087:$J$2095,))))))))),BD13,FALSE),"-")</f>
        <v>Input</v>
      </c>
      <c r="AA1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map'!$F$2087:$J$2095,))))))))),BE13,FALSE),"-")</f>
        <v>GEL-AV8C_CH1_ACT</v>
      </c>
      <c r="AB1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map'!$F$2087:$J$2095,))))))))),BF13,FALSE),"-")</f>
        <v>BIT</v>
      </c>
      <c r="AC13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map'!$F$2087:$J$2095,))))))))),BG13,FALSE),"-")</f>
        <v>1.1000000000000001</v>
      </c>
      <c r="AD1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map'!$F$2087:$J$2095,))))))))),BH13,FALSE),"-")</f>
        <v>Analog input module: CH1 RUN</v>
      </c>
      <c r="BB13" s="12">
        <v>4</v>
      </c>
      <c r="BC13" s="12">
        <v>4</v>
      </c>
      <c r="BD13" s="12">
        <v>4</v>
      </c>
      <c r="BE13" s="12">
        <v>4</v>
      </c>
      <c r="BF13" s="12">
        <v>4</v>
      </c>
      <c r="BG13" s="12">
        <v>4</v>
      </c>
      <c r="BH13" s="12">
        <v>4</v>
      </c>
      <c r="BI13" s="12">
        <v>4</v>
      </c>
      <c r="BJ13" s="12">
        <v>4</v>
      </c>
      <c r="BK13" s="12">
        <v>4</v>
      </c>
      <c r="BL13" s="12">
        <v>4</v>
      </c>
      <c r="BM13" s="12">
        <v>4</v>
      </c>
      <c r="BN13" s="12">
        <v>4</v>
      </c>
      <c r="BO13" s="12">
        <v>4</v>
      </c>
      <c r="BP13" s="12">
        <v>4</v>
      </c>
      <c r="BQ13" s="12">
        <v>4</v>
      </c>
      <c r="BR13" s="12">
        <v>4</v>
      </c>
    </row>
    <row r="14" spans="2:70" ht="16.5" customHeight="1">
      <c r="B14" s="104">
        <v>3</v>
      </c>
      <c r="C14" s="104"/>
      <c r="D14" s="90">
        <f>IFERROR(VLOOKUP(C14,'refresh size'!C:E,2,FALSE),0)</f>
        <v>0</v>
      </c>
      <c r="E14" s="88">
        <f>IFERROR(VLOOKUP(C14,'refresh size'!C:E,3,FALSE),0)</f>
        <v>0</v>
      </c>
      <c r="F14" s="123" t="str">
        <f>IF(LEN(C14)&gt;0,IF(D14&gt;0,MAX(F$10:F13)+D14,"-"),"-")</f>
        <v>-</v>
      </c>
      <c r="G14" s="123" t="str">
        <f>IF(LEN(C14)&gt;0,IF(E14&gt;0,MAX(G$10:G13)+E14,"-"),"-")</f>
        <v>-</v>
      </c>
      <c r="H14" s="8">
        <f t="shared" si="6"/>
        <v>24</v>
      </c>
      <c r="I14" s="8">
        <f t="shared" si="7"/>
        <v>24</v>
      </c>
      <c r="J14" s="8">
        <f t="shared" si="8"/>
        <v>192</v>
      </c>
      <c r="K14" s="9">
        <f t="shared" si="9"/>
        <v>0</v>
      </c>
      <c r="L14" s="9">
        <f t="shared" si="9"/>
        <v>0</v>
      </c>
      <c r="M14" s="10" t="str">
        <f t="shared" si="10"/>
        <v>MW</v>
      </c>
      <c r="N14" s="11" t="str">
        <f t="shared" si="11"/>
        <v>-</v>
      </c>
      <c r="O14" s="10" t="str">
        <f t="shared" si="10"/>
        <v>MW</v>
      </c>
      <c r="P14" s="23" t="str">
        <f t="shared" si="12"/>
        <v>-</v>
      </c>
      <c r="Q14" s="24">
        <f t="shared" si="13"/>
        <v>0</v>
      </c>
      <c r="R14" s="28">
        <f t="shared" si="3"/>
        <v>0</v>
      </c>
      <c r="S14" s="24">
        <f t="shared" si="4"/>
        <v>0</v>
      </c>
      <c r="T14" s="29">
        <f t="shared" si="0"/>
        <v>0</v>
      </c>
      <c r="U14" s="24">
        <f t="shared" si="1"/>
        <v>0</v>
      </c>
      <c r="V14" s="28">
        <f t="shared" si="5"/>
        <v>0</v>
      </c>
      <c r="W14" s="7">
        <f t="shared" si="2"/>
        <v>0</v>
      </c>
      <c r="X14" s="29">
        <f t="shared" si="14"/>
        <v>0</v>
      </c>
      <c r="Y14" s="141" t="str">
        <f>IF(Y10="Header","Header",(VLOOKUP($Y$10,$B$10:$C$22,2,FALSE)))</f>
        <v>GEL-AV8C</v>
      </c>
      <c r="Z1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map'!$F$2087:$J$2095,))))))))),BD14,FALSE),"-")</f>
        <v>Input</v>
      </c>
      <c r="AA1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map'!$F$2087:$J$2095,))))))))),BE14,FALSE),"-")</f>
        <v>GEL-AV8C_CH2_ACT</v>
      </c>
      <c r="AB1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map'!$F$2087:$J$2095,))))))))),BF14,FALSE),"-")</f>
        <v>BIT</v>
      </c>
      <c r="AC14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map'!$F$2087:$J$2095,))))))))),BG14,FALSE),"-")</f>
        <v>1.2</v>
      </c>
      <c r="AD1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map'!$F$2087:$J$2095,))))))))),BH14,FALSE),"-")</f>
        <v>Analog input module: CH2 RUN</v>
      </c>
      <c r="BB14" s="12">
        <v>5</v>
      </c>
      <c r="BC14" s="12">
        <v>5</v>
      </c>
      <c r="BD14" s="12">
        <v>5</v>
      </c>
      <c r="BE14" s="12">
        <v>5</v>
      </c>
      <c r="BF14" s="12">
        <v>5</v>
      </c>
      <c r="BG14" s="12">
        <v>5</v>
      </c>
      <c r="BH14" s="12">
        <v>5</v>
      </c>
      <c r="BI14" s="12">
        <v>5</v>
      </c>
      <c r="BJ14" s="12">
        <v>5</v>
      </c>
      <c r="BK14" s="12">
        <v>5</v>
      </c>
      <c r="BL14" s="12">
        <v>5</v>
      </c>
      <c r="BM14" s="12">
        <v>5</v>
      </c>
      <c r="BN14" s="12">
        <v>5</v>
      </c>
      <c r="BO14" s="12">
        <v>5</v>
      </c>
      <c r="BP14" s="12">
        <v>5</v>
      </c>
      <c r="BQ14" s="12">
        <v>5</v>
      </c>
      <c r="BR14" s="12">
        <v>5</v>
      </c>
    </row>
    <row r="15" spans="2:70" ht="16.5" customHeight="1">
      <c r="B15" s="104">
        <v>4</v>
      </c>
      <c r="C15" s="104"/>
      <c r="D15" s="90">
        <f>IFERROR(VLOOKUP(C15,'refresh size'!C:E,2,FALSE),0)</f>
        <v>0</v>
      </c>
      <c r="E15" s="88">
        <f>IFERROR(VLOOKUP(C15,'refresh size'!C:E,3,FALSE),0)</f>
        <v>0</v>
      </c>
      <c r="F15" s="123" t="str">
        <f>IF(LEN(C15)&gt;0,IF(D15&gt;0,MAX(F$10:F14)+D15,"-"),"-")</f>
        <v>-</v>
      </c>
      <c r="G15" s="123" t="str">
        <f>IF(LEN(C15)&gt;0,IF(E15&gt;0,MAX(G$10:G14)+E15,"-"),"-")</f>
        <v>-</v>
      </c>
      <c r="H15" s="8">
        <f t="shared" si="6"/>
        <v>32</v>
      </c>
      <c r="I15" s="8">
        <f t="shared" si="7"/>
        <v>32</v>
      </c>
      <c r="J15" s="8">
        <f t="shared" si="8"/>
        <v>256</v>
      </c>
      <c r="K15" s="9">
        <f t="shared" si="9"/>
        <v>0</v>
      </c>
      <c r="L15" s="9">
        <f t="shared" si="9"/>
        <v>0</v>
      </c>
      <c r="M15" s="10" t="str">
        <f t="shared" si="10"/>
        <v>MW</v>
      </c>
      <c r="N15" s="11" t="str">
        <f t="shared" si="11"/>
        <v>-</v>
      </c>
      <c r="O15" s="10" t="str">
        <f t="shared" si="10"/>
        <v>MW</v>
      </c>
      <c r="P15" s="23" t="str">
        <f t="shared" si="12"/>
        <v>-</v>
      </c>
      <c r="Q15" s="24">
        <f t="shared" si="13"/>
        <v>0</v>
      </c>
      <c r="R15" s="28">
        <f t="shared" si="3"/>
        <v>0</v>
      </c>
      <c r="S15" s="24">
        <f t="shared" si="4"/>
        <v>0</v>
      </c>
      <c r="T15" s="29">
        <f t="shared" si="0"/>
        <v>0</v>
      </c>
      <c r="U15" s="24">
        <f t="shared" si="1"/>
        <v>0</v>
      </c>
      <c r="V15" s="28">
        <f t="shared" si="5"/>
        <v>0</v>
      </c>
      <c r="W15" s="7">
        <f t="shared" si="2"/>
        <v>0</v>
      </c>
      <c r="X15" s="29">
        <f t="shared" si="14"/>
        <v>0</v>
      </c>
      <c r="Y15" s="142"/>
      <c r="Z1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map'!$F$2087:$J$2095,))))))))),BD15,FALSE),"-")</f>
        <v>Input</v>
      </c>
      <c r="AA1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map'!$F$2087:$J$2095,))))))))),BE15,FALSE),"-")</f>
        <v>GEL-AV8C_CH3_ACT</v>
      </c>
      <c r="AB1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map'!$F$2087:$J$2095,))))))))),BF15,FALSE),"-")</f>
        <v>BIT</v>
      </c>
      <c r="AC15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map'!$F$2087:$J$2095,))))))))),BG15,FALSE),"-")</f>
        <v>1.3</v>
      </c>
      <c r="AD1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map'!$F$2087:$J$2095,))))))))),BH15,FALSE),"-")</f>
        <v>Analog input module: CH3 RUN</v>
      </c>
      <c r="BB15" s="12">
        <v>6</v>
      </c>
      <c r="BC15" s="12">
        <v>6</v>
      </c>
      <c r="BD15" s="12">
        <v>6</v>
      </c>
      <c r="BE15" s="12">
        <v>6</v>
      </c>
      <c r="BF15" s="12">
        <v>6</v>
      </c>
      <c r="BG15" s="12">
        <v>6</v>
      </c>
      <c r="BH15" s="12">
        <v>6</v>
      </c>
      <c r="BI15" s="12">
        <v>6</v>
      </c>
      <c r="BJ15" s="12">
        <v>6</v>
      </c>
      <c r="BK15" s="12">
        <v>6</v>
      </c>
      <c r="BL15" s="12">
        <v>6</v>
      </c>
      <c r="BM15" s="12">
        <v>6</v>
      </c>
      <c r="BN15" s="12">
        <v>6</v>
      </c>
      <c r="BO15" s="12">
        <v>6</v>
      </c>
      <c r="BP15" s="12">
        <v>6</v>
      </c>
      <c r="BQ15" s="12">
        <v>6</v>
      </c>
      <c r="BR15" s="12">
        <v>6</v>
      </c>
    </row>
    <row r="16" spans="2:70" ht="16.5" customHeight="1" thickBot="1">
      <c r="B16" s="104">
        <v>5</v>
      </c>
      <c r="C16" s="104"/>
      <c r="D16" s="90">
        <f>IFERROR(VLOOKUP(C16,'refresh size'!C:E,2,FALSE),0)</f>
        <v>0</v>
      </c>
      <c r="E16" s="88">
        <f>IFERROR(VLOOKUP(C16,'refresh size'!C:E,3,FALSE),0)</f>
        <v>0</v>
      </c>
      <c r="F16" s="123" t="str">
        <f>IF(LEN(C16)&gt;0,IF(D16&gt;0,MAX(F$10:F15)+D16,"-"),"-")</f>
        <v>-</v>
      </c>
      <c r="G16" s="123" t="str">
        <f>IF(LEN(C16)&gt;0,IF(E16&gt;0,MAX(G$10:G15)+E16,"-"),"-")</f>
        <v>-</v>
      </c>
      <c r="H16" s="8">
        <f t="shared" si="6"/>
        <v>40</v>
      </c>
      <c r="I16" s="8">
        <f t="shared" si="7"/>
        <v>40</v>
      </c>
      <c r="J16" s="8">
        <f t="shared" si="8"/>
        <v>320</v>
      </c>
      <c r="K16" s="9">
        <f t="shared" si="9"/>
        <v>0</v>
      </c>
      <c r="L16" s="9">
        <f t="shared" si="9"/>
        <v>0</v>
      </c>
      <c r="M16" s="10" t="str">
        <f t="shared" si="10"/>
        <v>MW</v>
      </c>
      <c r="N16" s="11" t="str">
        <f t="shared" si="11"/>
        <v>-</v>
      </c>
      <c r="O16" s="10" t="str">
        <f t="shared" si="10"/>
        <v>MW</v>
      </c>
      <c r="P16" s="23" t="str">
        <f t="shared" si="12"/>
        <v>-</v>
      </c>
      <c r="Q16" s="24">
        <f t="shared" si="13"/>
        <v>0</v>
      </c>
      <c r="R16" s="28">
        <f t="shared" si="3"/>
        <v>0</v>
      </c>
      <c r="S16" s="24">
        <f t="shared" si="4"/>
        <v>0</v>
      </c>
      <c r="T16" s="29">
        <f t="shared" si="0"/>
        <v>0</v>
      </c>
      <c r="U16" s="24">
        <f t="shared" si="1"/>
        <v>0</v>
      </c>
      <c r="V16" s="28">
        <f t="shared" si="5"/>
        <v>0</v>
      </c>
      <c r="W16" s="7">
        <f t="shared" si="2"/>
        <v>0</v>
      </c>
      <c r="X16" s="29">
        <f t="shared" si="14"/>
        <v>0</v>
      </c>
      <c r="Y16" s="143"/>
      <c r="Z1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map'!$F$2087:$J$2095,))))))))),BD16,FALSE),"-")</f>
        <v>Input</v>
      </c>
      <c r="AA1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map'!$F$2087:$J$2095,))))))))),BE16,FALSE),"-")</f>
        <v>GEL-AV8C_CH4_ACT</v>
      </c>
      <c r="AB1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map'!$F$2087:$J$2095,))))))))),BF16,FALSE),"-")</f>
        <v>BIT</v>
      </c>
      <c r="AC16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map'!$F$2087:$J$2095,))))))))),BG16,FALSE),"-")</f>
        <v>1.4</v>
      </c>
      <c r="AD1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map'!$F$2087:$J$2095,))))))))),BH16,FALSE),"-")</f>
        <v>Analog input module: CH4 RUN</v>
      </c>
      <c r="BB16" s="12">
        <v>7</v>
      </c>
      <c r="BC16" s="12">
        <v>7</v>
      </c>
      <c r="BD16" s="12">
        <v>7</v>
      </c>
      <c r="BE16" s="12">
        <v>7</v>
      </c>
      <c r="BF16" s="12">
        <v>7</v>
      </c>
      <c r="BG16" s="12">
        <v>7</v>
      </c>
      <c r="BH16" s="12">
        <v>7</v>
      </c>
      <c r="BI16" s="12">
        <v>7</v>
      </c>
      <c r="BJ16" s="12">
        <v>7</v>
      </c>
      <c r="BK16" s="12">
        <v>7</v>
      </c>
      <c r="BL16" s="12">
        <v>7</v>
      </c>
      <c r="BM16" s="12">
        <v>7</v>
      </c>
      <c r="BN16" s="12">
        <v>7</v>
      </c>
      <c r="BO16" s="12">
        <v>7</v>
      </c>
      <c r="BP16" s="12">
        <v>7</v>
      </c>
      <c r="BQ16" s="12">
        <v>7</v>
      </c>
      <c r="BR16" s="12">
        <v>7</v>
      </c>
    </row>
    <row r="17" spans="2:70" ht="16.5" customHeight="1">
      <c r="B17" s="104">
        <v>6</v>
      </c>
      <c r="C17" s="104"/>
      <c r="D17" s="90">
        <f>IFERROR(VLOOKUP(C17,'refresh size'!C:E,2,FALSE),0)</f>
        <v>0</v>
      </c>
      <c r="E17" s="88">
        <f>IFERROR(VLOOKUP(C17,'refresh size'!C:E,3,FALSE),0)</f>
        <v>0</v>
      </c>
      <c r="F17" s="123" t="str">
        <f>IF(LEN(C17)&gt;0,IF(D17&gt;0,MAX(F$10:F16)+D17,"-"),"-")</f>
        <v>-</v>
      </c>
      <c r="G17" s="123" t="str">
        <f>IF(LEN(C17)&gt;0,IF(E17&gt;0,MAX(G$10:G16)+E17,"-"),"-")</f>
        <v>-</v>
      </c>
      <c r="H17" s="8">
        <f t="shared" si="6"/>
        <v>48</v>
      </c>
      <c r="I17" s="8">
        <f t="shared" si="7"/>
        <v>48</v>
      </c>
      <c r="J17" s="8">
        <f t="shared" si="8"/>
        <v>384</v>
      </c>
      <c r="K17" s="9">
        <f t="shared" si="9"/>
        <v>0</v>
      </c>
      <c r="L17" s="9">
        <f t="shared" si="9"/>
        <v>0</v>
      </c>
      <c r="M17" s="10" t="str">
        <f t="shared" si="10"/>
        <v>MW</v>
      </c>
      <c r="N17" s="11" t="str">
        <f t="shared" si="11"/>
        <v>-</v>
      </c>
      <c r="O17" s="10" t="str">
        <f t="shared" si="10"/>
        <v>MW</v>
      </c>
      <c r="P17" s="23" t="str">
        <f t="shared" si="12"/>
        <v>-</v>
      </c>
      <c r="Q17" s="24">
        <f t="shared" si="13"/>
        <v>0</v>
      </c>
      <c r="R17" s="28">
        <f t="shared" si="3"/>
        <v>0</v>
      </c>
      <c r="S17" s="24">
        <f t="shared" si="4"/>
        <v>0</v>
      </c>
      <c r="T17" s="29">
        <f>E17/2</f>
        <v>0</v>
      </c>
      <c r="U17" s="24">
        <f t="shared" si="1"/>
        <v>0</v>
      </c>
      <c r="V17" s="28">
        <f t="shared" si="5"/>
        <v>0</v>
      </c>
      <c r="W17" s="7">
        <f t="shared" si="2"/>
        <v>0</v>
      </c>
      <c r="X17" s="29">
        <f t="shared" si="14"/>
        <v>0</v>
      </c>
      <c r="Y17" s="112" t="s">
        <v>361</v>
      </c>
      <c r="Z1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map'!$F$2087:$J$2095,))))))))),BD17,FALSE),"-")</f>
        <v>Input</v>
      </c>
      <c r="AA1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map'!$F$2087:$J$2095,))))))))),BE17,FALSE),"-")</f>
        <v>GEL-AV8C_CH5_ACT</v>
      </c>
      <c r="AB1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map'!$F$2087:$J$2095,))))))))),BF17,FALSE),"-")</f>
        <v>BIT</v>
      </c>
      <c r="AC17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map'!$F$2087:$J$2095,))))))))),BG17,FALSE),"-")</f>
        <v>1.5</v>
      </c>
      <c r="AD1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map'!$F$2087:$J$2095,))))))))),BH17,FALSE),"-")</f>
        <v>Analog input module: CH5 RUN</v>
      </c>
      <c r="BB17" s="12">
        <v>8</v>
      </c>
      <c r="BC17" s="12">
        <v>8</v>
      </c>
      <c r="BD17" s="12">
        <v>8</v>
      </c>
      <c r="BE17" s="12">
        <v>8</v>
      </c>
      <c r="BF17" s="12">
        <v>8</v>
      </c>
      <c r="BG17" s="12">
        <v>8</v>
      </c>
      <c r="BH17" s="12">
        <v>8</v>
      </c>
      <c r="BI17" s="12">
        <v>8</v>
      </c>
      <c r="BJ17" s="12">
        <v>8</v>
      </c>
      <c r="BK17" s="12">
        <v>8</v>
      </c>
      <c r="BL17" s="12">
        <v>8</v>
      </c>
      <c r="BM17" s="12">
        <v>8</v>
      </c>
      <c r="BN17" s="12">
        <v>8</v>
      </c>
      <c r="BO17" s="12">
        <v>8</v>
      </c>
      <c r="BP17" s="12">
        <v>8</v>
      </c>
      <c r="BQ17" s="12">
        <v>8</v>
      </c>
      <c r="BR17" s="12">
        <v>8</v>
      </c>
    </row>
    <row r="18" spans="2:70" ht="16.5" customHeight="1" thickBot="1">
      <c r="B18" s="104">
        <v>7</v>
      </c>
      <c r="C18" s="104"/>
      <c r="D18" s="90">
        <f>IFERROR(VLOOKUP(C18,'refresh size'!C:E,2,FALSE),0)</f>
        <v>0</v>
      </c>
      <c r="E18" s="88">
        <f>IFERROR(VLOOKUP(C18,'refresh size'!C:E,3,FALSE),0)</f>
        <v>0</v>
      </c>
      <c r="F18" s="123" t="str">
        <f>IF(LEN(C18)&gt;0,IF(D18&gt;0,MAX(F$10:F17)+D18,"-"),"-")</f>
        <v>-</v>
      </c>
      <c r="G18" s="123" t="str">
        <f>IF(LEN(C18)&gt;0,IF(E18&gt;0,MAX(G$10:G17)+E18,"-"),"-")</f>
        <v>-</v>
      </c>
      <c r="H18" s="8">
        <f t="shared" si="6"/>
        <v>56</v>
      </c>
      <c r="I18" s="8">
        <f t="shared" si="7"/>
        <v>56</v>
      </c>
      <c r="J18" s="8">
        <f t="shared" si="8"/>
        <v>448</v>
      </c>
      <c r="K18" s="9">
        <f t="shared" si="9"/>
        <v>0</v>
      </c>
      <c r="L18" s="9">
        <f t="shared" si="9"/>
        <v>0</v>
      </c>
      <c r="M18" s="10" t="str">
        <f t="shared" si="10"/>
        <v>MW</v>
      </c>
      <c r="N18" s="11" t="str">
        <f t="shared" si="11"/>
        <v>-</v>
      </c>
      <c r="O18" s="10" t="str">
        <f t="shared" si="10"/>
        <v>MW</v>
      </c>
      <c r="P18" s="23" t="str">
        <f t="shared" si="12"/>
        <v>-</v>
      </c>
      <c r="Q18" s="24">
        <f t="shared" si="13"/>
        <v>0</v>
      </c>
      <c r="R18" s="28">
        <f t="shared" si="3"/>
        <v>0</v>
      </c>
      <c r="S18" s="24">
        <f t="shared" si="4"/>
        <v>0</v>
      </c>
      <c r="T18" s="29">
        <f>E18/2</f>
        <v>0</v>
      </c>
      <c r="U18" s="24">
        <f t="shared" si="1"/>
        <v>0</v>
      </c>
      <c r="V18" s="28">
        <f t="shared" si="5"/>
        <v>0</v>
      </c>
      <c r="W18" s="7">
        <f t="shared" si="2"/>
        <v>0</v>
      </c>
      <c r="X18" s="29">
        <f t="shared" si="14"/>
        <v>0</v>
      </c>
      <c r="Y18" s="113">
        <f>IFERROR(IFERROR(VLOOKUP(Y14,'All data map'!$C$2:$O$2062,11,FALSE),VLOOKUP(Y14,'All data map'!$C$2087:$O$2095,11,FALSE)),"-")</f>
        <v>42</v>
      </c>
      <c r="Z1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map'!$F$2087:$J$2095,))))))))),BD18,FALSE),"-")</f>
        <v>Input</v>
      </c>
      <c r="AA1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map'!$F$2087:$J$2095,))))))))),BE18,FALSE),"-")</f>
        <v>GEL-AV8C_CH6_ACT</v>
      </c>
      <c r="AB1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map'!$F$2087:$J$2095,))))))))),BF18,FALSE),"-")</f>
        <v>BIT</v>
      </c>
      <c r="AC18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map'!$F$2087:$J$2095,))))))))),BG18,FALSE),"-")</f>
        <v>1.6</v>
      </c>
      <c r="AD1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map'!$F$2087:$J$2095,))))))))),BH18,FALSE),"-")</f>
        <v>Analog input module: CH6 RUN</v>
      </c>
      <c r="BB18" s="12">
        <v>9</v>
      </c>
      <c r="BC18" s="12">
        <v>9</v>
      </c>
      <c r="BD18" s="12">
        <v>9</v>
      </c>
      <c r="BE18" s="12">
        <v>9</v>
      </c>
      <c r="BF18" s="12">
        <v>9</v>
      </c>
      <c r="BG18" s="12">
        <v>9</v>
      </c>
      <c r="BH18" s="12">
        <v>9</v>
      </c>
      <c r="BI18" s="12">
        <v>9</v>
      </c>
      <c r="BJ18" s="12">
        <v>9</v>
      </c>
      <c r="BK18" s="12">
        <v>9</v>
      </c>
      <c r="BL18" s="12">
        <v>9</v>
      </c>
      <c r="BM18" s="12">
        <v>9</v>
      </c>
      <c r="BN18" s="12">
        <v>9</v>
      </c>
      <c r="BO18" s="12">
        <v>9</v>
      </c>
      <c r="BP18" s="12">
        <v>9</v>
      </c>
      <c r="BQ18" s="12">
        <v>9</v>
      </c>
      <c r="BR18" s="12">
        <v>9</v>
      </c>
    </row>
    <row r="19" spans="2:70" ht="16.5" customHeight="1">
      <c r="B19" s="104">
        <v>8</v>
      </c>
      <c r="C19" s="91"/>
      <c r="D19" s="90">
        <f>IFERROR(VLOOKUP(C19,'refresh size'!C:E,2,FALSE),0)</f>
        <v>0</v>
      </c>
      <c r="E19" s="88">
        <f>IFERROR(VLOOKUP(C19,'refresh size'!C:E,3,FALSE),0)</f>
        <v>0</v>
      </c>
      <c r="F19" s="123" t="str">
        <f>IF(LEN(C19)&gt;0,IF(D19&gt;0,MAX(F$10:F18)+D19,"-"),"-")</f>
        <v>-</v>
      </c>
      <c r="G19" s="123" t="str">
        <f>IF(LEN(C19)&gt;0,IF(E19&gt;0,MAX(G$10:G18)+E19,"-"),"-")</f>
        <v>-</v>
      </c>
      <c r="H19" s="8">
        <f t="shared" si="6"/>
        <v>64</v>
      </c>
      <c r="I19" s="8">
        <f t="shared" si="7"/>
        <v>64</v>
      </c>
      <c r="J19" s="8">
        <f t="shared" si="8"/>
        <v>512</v>
      </c>
      <c r="K19" s="9">
        <f t="shared" si="9"/>
        <v>0</v>
      </c>
      <c r="L19" s="9">
        <f t="shared" si="9"/>
        <v>0</v>
      </c>
      <c r="M19" s="10" t="str">
        <f t="shared" si="10"/>
        <v>MW</v>
      </c>
      <c r="N19" s="11" t="str">
        <f t="shared" si="11"/>
        <v>-</v>
      </c>
      <c r="O19" s="10" t="str">
        <f t="shared" si="10"/>
        <v>MW</v>
      </c>
      <c r="P19" s="23" t="str">
        <f t="shared" si="12"/>
        <v>-</v>
      </c>
      <c r="Q19" s="24">
        <f t="shared" si="13"/>
        <v>0</v>
      </c>
      <c r="R19" s="28">
        <f t="shared" si="3"/>
        <v>0</v>
      </c>
      <c r="S19" s="24">
        <f t="shared" si="4"/>
        <v>0</v>
      </c>
      <c r="T19" s="29">
        <f t="shared" ref="T19:T22" si="15">E19/2</f>
        <v>0</v>
      </c>
      <c r="U19" s="25">
        <f t="shared" si="1"/>
        <v>0</v>
      </c>
      <c r="V19" s="28">
        <f t="shared" si="5"/>
        <v>0</v>
      </c>
      <c r="W19" s="7">
        <f t="shared" si="2"/>
        <v>0</v>
      </c>
      <c r="X19" s="29">
        <f t="shared" si="14"/>
        <v>0</v>
      </c>
      <c r="Y19" s="112" t="s">
        <v>362</v>
      </c>
      <c r="Z1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map'!$F$2087:$J$2095,))))))))),BD19,FALSE),"-")</f>
        <v>Input</v>
      </c>
      <c r="AA1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map'!$F$2087:$J$2095,))))))))),BE19,FALSE),"-")</f>
        <v>GEL-AV8C_CH7_ACT</v>
      </c>
      <c r="AB1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map'!$F$2087:$J$2095,))))))))),BF19,FALSE),"-")</f>
        <v>BIT</v>
      </c>
      <c r="AC19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map'!$F$2087:$J$2095,))))))))),BG19,FALSE),"-")</f>
        <v>1.7</v>
      </c>
      <c r="AD1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map'!$F$2087:$J$2095,))))))))),BH19,FALSE),"-")</f>
        <v>Analog input module: CH7 RUN</v>
      </c>
      <c r="BB19" s="12">
        <v>10</v>
      </c>
      <c r="BC19" s="12">
        <v>10</v>
      </c>
      <c r="BD19" s="12">
        <v>10</v>
      </c>
      <c r="BE19" s="12">
        <v>10</v>
      </c>
      <c r="BF19" s="12">
        <v>10</v>
      </c>
      <c r="BG19" s="12">
        <v>10</v>
      </c>
      <c r="BH19" s="12">
        <v>10</v>
      </c>
      <c r="BI19" s="12">
        <v>10</v>
      </c>
      <c r="BJ19" s="12">
        <v>10</v>
      </c>
      <c r="BK19" s="12">
        <v>10</v>
      </c>
      <c r="BL19" s="12">
        <v>10</v>
      </c>
      <c r="BM19" s="12">
        <v>10</v>
      </c>
      <c r="BN19" s="12">
        <v>10</v>
      </c>
      <c r="BO19" s="12">
        <v>10</v>
      </c>
      <c r="BP19" s="12">
        <v>10</v>
      </c>
      <c r="BQ19" s="12">
        <v>10</v>
      </c>
      <c r="BR19" s="12">
        <v>10</v>
      </c>
    </row>
    <row r="20" spans="2:70" ht="16.5" customHeight="1" thickBot="1">
      <c r="B20" s="104">
        <v>9</v>
      </c>
      <c r="C20" s="91"/>
      <c r="D20" s="90">
        <f>IFERROR(VLOOKUP(C20,'refresh size'!C:E,2,FALSE),0)</f>
        <v>0</v>
      </c>
      <c r="E20" s="88">
        <f>IFERROR(VLOOKUP(C20,'refresh size'!C:E,3,FALSE),0)</f>
        <v>0</v>
      </c>
      <c r="F20" s="123" t="str">
        <f>IF(LEN(C20)&gt;0,IF(D20&gt;0,MAX(F$10:F19)+D20,"-"),"-")</f>
        <v>-</v>
      </c>
      <c r="G20" s="123" t="str">
        <f>IF(LEN(C20)&gt;0,IF(E20&gt;0,MAX(G$10:G19)+E20,"-"),"-")</f>
        <v>-</v>
      </c>
      <c r="H20" s="8">
        <f t="shared" si="6"/>
        <v>72</v>
      </c>
      <c r="I20" s="8">
        <f t="shared" si="7"/>
        <v>72</v>
      </c>
      <c r="J20" s="8">
        <f t="shared" si="8"/>
        <v>576</v>
      </c>
      <c r="K20" s="9">
        <f t="shared" si="9"/>
        <v>0</v>
      </c>
      <c r="L20" s="9">
        <f t="shared" si="9"/>
        <v>0</v>
      </c>
      <c r="M20" s="10" t="str">
        <f t="shared" si="10"/>
        <v>MW</v>
      </c>
      <c r="N20" s="11" t="str">
        <f t="shared" si="11"/>
        <v>-</v>
      </c>
      <c r="O20" s="10" t="str">
        <f t="shared" si="10"/>
        <v>MW</v>
      </c>
      <c r="P20" s="23" t="str">
        <f t="shared" si="12"/>
        <v>-</v>
      </c>
      <c r="Q20" s="24">
        <f t="shared" si="13"/>
        <v>0</v>
      </c>
      <c r="R20" s="28">
        <f t="shared" si="3"/>
        <v>0</v>
      </c>
      <c r="S20" s="24">
        <f t="shared" si="4"/>
        <v>0</v>
      </c>
      <c r="T20" s="29">
        <f t="shared" si="15"/>
        <v>0</v>
      </c>
      <c r="U20" s="25">
        <f t="shared" si="1"/>
        <v>0</v>
      </c>
      <c r="V20" s="28">
        <f t="shared" si="5"/>
        <v>0</v>
      </c>
      <c r="W20" s="7">
        <f t="shared" si="2"/>
        <v>0</v>
      </c>
      <c r="X20" s="29">
        <f t="shared" si="14"/>
        <v>0</v>
      </c>
      <c r="Y20" s="113">
        <f>IFERROR(IFERROR(VLOOKUP(Y14, 'All data map'!$C$2:$O$2062,12,FALSE), VLOOKUP(Y14, 'All data map'!$C$2087:$O$2095,12, FALSE)),"-")</f>
        <v>1</v>
      </c>
      <c r="Z2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map'!$F$2087:$J$2095,))))))))),BD20,FALSE),"-")</f>
        <v>Input</v>
      </c>
      <c r="AA2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map'!$F$2087:$J$2095,))))))))),BE20,FALSE),"-")</f>
        <v>GEL-AV8C_CH0_DATA</v>
      </c>
      <c r="AB2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map'!$F$2087:$J$2095,))))))))),BF20,FALSE),"-")</f>
        <v>WORD</v>
      </c>
      <c r="AC20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map'!$F$2087:$J$2095,))))))))),BG20,FALSE),"-")</f>
        <v>2</v>
      </c>
      <c r="AD2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map'!$F$2087:$J$2095,))))))))),BH20,FALSE),"-")</f>
        <v>Analog input module: CH0 conversion value</v>
      </c>
      <c r="BB20" s="12">
        <v>11</v>
      </c>
      <c r="BC20" s="12">
        <v>11</v>
      </c>
      <c r="BD20" s="12">
        <v>11</v>
      </c>
      <c r="BE20" s="12">
        <v>11</v>
      </c>
      <c r="BF20" s="12">
        <v>11</v>
      </c>
      <c r="BG20" s="12">
        <v>11</v>
      </c>
      <c r="BH20" s="12">
        <v>11</v>
      </c>
      <c r="BI20" s="12">
        <v>11</v>
      </c>
      <c r="BJ20" s="12">
        <v>11</v>
      </c>
      <c r="BK20" s="12">
        <v>11</v>
      </c>
      <c r="BL20" s="12">
        <v>11</v>
      </c>
      <c r="BM20" s="12">
        <v>11</v>
      </c>
      <c r="BN20" s="12">
        <v>11</v>
      </c>
      <c r="BO20" s="12">
        <v>11</v>
      </c>
      <c r="BP20" s="12">
        <v>11</v>
      </c>
      <c r="BQ20" s="12">
        <v>11</v>
      </c>
      <c r="BR20" s="12">
        <v>11</v>
      </c>
    </row>
    <row r="21" spans="2:70" ht="16.5" customHeight="1">
      <c r="B21" s="104">
        <v>10</v>
      </c>
      <c r="C21" s="91"/>
      <c r="D21" s="90">
        <f>IFERROR(VLOOKUP(C21,'refresh size'!C:E,2,FALSE),0)</f>
        <v>0</v>
      </c>
      <c r="E21" s="88">
        <f>IFERROR(VLOOKUP(C21,'refresh size'!C:E,3,FALSE),0)</f>
        <v>0</v>
      </c>
      <c r="F21" s="123" t="str">
        <f>IF(LEN(C21)&gt;0,IF(D21&gt;0,MAX(F$10:F20)+D21,"-"),"-")</f>
        <v>-</v>
      </c>
      <c r="G21" s="123" t="str">
        <f>IF(LEN(C21)&gt;0,IF(E21&gt;0,MAX(G$10:G20)+E21,"-"),"-")</f>
        <v>-</v>
      </c>
      <c r="H21" s="8">
        <f t="shared" si="6"/>
        <v>80</v>
      </c>
      <c r="I21" s="8">
        <f t="shared" si="7"/>
        <v>80</v>
      </c>
      <c r="J21" s="8">
        <f t="shared" si="8"/>
        <v>640</v>
      </c>
      <c r="K21" s="9">
        <f t="shared" si="9"/>
        <v>0</v>
      </c>
      <c r="L21" s="9">
        <f t="shared" si="9"/>
        <v>0</v>
      </c>
      <c r="M21" s="10" t="str">
        <f t="shared" si="10"/>
        <v>MW</v>
      </c>
      <c r="N21" s="11" t="str">
        <f t="shared" si="11"/>
        <v>-</v>
      </c>
      <c r="O21" s="10" t="str">
        <f t="shared" si="10"/>
        <v>MW</v>
      </c>
      <c r="P21" s="23" t="str">
        <f t="shared" si="12"/>
        <v>-</v>
      </c>
      <c r="Q21" s="24">
        <f t="shared" si="13"/>
        <v>0</v>
      </c>
      <c r="R21" s="28">
        <f t="shared" si="3"/>
        <v>0</v>
      </c>
      <c r="S21" s="24">
        <f t="shared" si="4"/>
        <v>0</v>
      </c>
      <c r="T21" s="29">
        <f t="shared" si="15"/>
        <v>0</v>
      </c>
      <c r="U21" s="25">
        <f t="shared" si="1"/>
        <v>0</v>
      </c>
      <c r="V21" s="28">
        <f t="shared" si="5"/>
        <v>0</v>
      </c>
      <c r="W21" s="7">
        <f t="shared" si="2"/>
        <v>0</v>
      </c>
      <c r="X21" s="29">
        <f t="shared" si="14"/>
        <v>0</v>
      </c>
      <c r="Y21" s="112" t="s">
        <v>3210</v>
      </c>
      <c r="Z2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map'!$F$2087:$J$2095,))))))))),BD21,FALSE),"-")</f>
        <v>Input</v>
      </c>
      <c r="AA2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map'!$F$2087:$J$2095,))))))))),BE21,FALSE),"-")</f>
        <v>GEL-AV8C_CH1_DATA</v>
      </c>
      <c r="AB2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map'!$F$2087:$J$2095,))))))))),BF21,FALSE),"-")</f>
        <v>WORD</v>
      </c>
      <c r="AC21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map'!$F$2087:$J$2095,))))))))),BG21,FALSE),"-")</f>
        <v>3</v>
      </c>
      <c r="AD2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map'!$F$2087:$J$2095,))))))))),BH21,FALSE),"-")</f>
        <v>Analog input module: CH1 conversion value</v>
      </c>
      <c r="BB21" s="12">
        <v>12</v>
      </c>
      <c r="BC21" s="12">
        <v>12</v>
      </c>
      <c r="BD21" s="12">
        <v>12</v>
      </c>
      <c r="BE21" s="12">
        <v>12</v>
      </c>
      <c r="BF21" s="12">
        <v>12</v>
      </c>
      <c r="BG21" s="12">
        <v>12</v>
      </c>
      <c r="BH21" s="12">
        <v>12</v>
      </c>
      <c r="BI21" s="12">
        <v>12</v>
      </c>
      <c r="BJ21" s="12">
        <v>12</v>
      </c>
      <c r="BK21" s="12">
        <v>12</v>
      </c>
      <c r="BL21" s="12">
        <v>12</v>
      </c>
      <c r="BM21" s="12">
        <v>12</v>
      </c>
      <c r="BN21" s="12">
        <v>12</v>
      </c>
      <c r="BO21" s="12">
        <v>12</v>
      </c>
      <c r="BP21" s="12">
        <v>12</v>
      </c>
      <c r="BQ21" s="12">
        <v>12</v>
      </c>
      <c r="BR21" s="12">
        <v>12</v>
      </c>
    </row>
    <row r="22" spans="2:70" ht="17.25" customHeight="1" thickBot="1">
      <c r="B22" s="92">
        <v>11</v>
      </c>
      <c r="C22" s="93"/>
      <c r="D22" s="94">
        <f>IFERROR(VLOOKUP(C22,'refresh size'!C:E,2,FALSE),0)</f>
        <v>0</v>
      </c>
      <c r="E22" s="92">
        <f>IFERROR(VLOOKUP(C22,'refresh size'!C:E,3,FALSE),0)</f>
        <v>0</v>
      </c>
      <c r="F22" s="124" t="str">
        <f>IF(LEN(C22)&gt;0,IF(D22&gt;0,MAX(F$10:F21)+D22,"-"),"-")</f>
        <v>-</v>
      </c>
      <c r="G22" s="124" t="str">
        <f>IF(LEN(C22)&gt;0,IF(E22&gt;0,MAX(G$10:G21)+E22,"-"),"-")</f>
        <v>-</v>
      </c>
      <c r="H22" s="39">
        <f t="shared" si="6"/>
        <v>88</v>
      </c>
      <c r="I22" s="39">
        <f t="shared" si="7"/>
        <v>88</v>
      </c>
      <c r="J22" s="39">
        <f t="shared" si="8"/>
        <v>704</v>
      </c>
      <c r="K22" s="40">
        <f t="shared" si="9"/>
        <v>0</v>
      </c>
      <c r="L22" s="40">
        <f t="shared" si="9"/>
        <v>0</v>
      </c>
      <c r="M22" s="41" t="str">
        <f t="shared" si="10"/>
        <v>MW</v>
      </c>
      <c r="N22" s="42" t="str">
        <f t="shared" si="11"/>
        <v>-</v>
      </c>
      <c r="O22" s="41" t="str">
        <f t="shared" si="10"/>
        <v>MW</v>
      </c>
      <c r="P22" s="54" t="str">
        <f t="shared" si="12"/>
        <v>-</v>
      </c>
      <c r="Q22" s="37">
        <f t="shared" si="13"/>
        <v>0</v>
      </c>
      <c r="R22" s="48">
        <f t="shared" si="3"/>
        <v>0</v>
      </c>
      <c r="S22" s="37">
        <f t="shared" si="4"/>
        <v>0</v>
      </c>
      <c r="T22" s="49">
        <f t="shared" si="15"/>
        <v>0</v>
      </c>
      <c r="U22" s="50">
        <f t="shared" si="1"/>
        <v>0</v>
      </c>
      <c r="V22" s="48">
        <f t="shared" si="5"/>
        <v>0</v>
      </c>
      <c r="W22" s="38">
        <f t="shared" si="2"/>
        <v>0</v>
      </c>
      <c r="X22" s="49">
        <f t="shared" si="14"/>
        <v>0</v>
      </c>
      <c r="Y22" s="113">
        <f>IFERROR(IFERROR(VLOOKUP(Y14, 'All data map'!$C$2:$O$2062, 10, FALSE), VLOOKUP(Y14, 'All data map'!$C$2087:$O$2095, 10, FALSE)),"-")</f>
        <v>43</v>
      </c>
      <c r="Z2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map'!$F$2087:$J$2095,))))))))),BD22,FALSE),"-")</f>
        <v>Input</v>
      </c>
      <c r="AA2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map'!$F$2087:$J$2095,))))))))),BE22,FALSE),"-")</f>
        <v>GEL-AV8C_CH2_DATA</v>
      </c>
      <c r="AB2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map'!$F$2087:$J$2095,))))))))),BF22,FALSE),"-")</f>
        <v>WORD</v>
      </c>
      <c r="AC22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map'!$F$2087:$J$2095,))))))))),BG22,FALSE),"-")</f>
        <v>4</v>
      </c>
      <c r="AD2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map'!$F$2087:$J$2095,))))))))),BH22,FALSE),"-")</f>
        <v>Analog input module: CH2 conversion value</v>
      </c>
      <c r="BB22" s="12">
        <v>13</v>
      </c>
      <c r="BC22" s="12">
        <v>13</v>
      </c>
      <c r="BD22" s="12">
        <v>13</v>
      </c>
      <c r="BE22" s="12">
        <v>13</v>
      </c>
      <c r="BF22" s="12">
        <v>13</v>
      </c>
      <c r="BG22" s="12">
        <v>13</v>
      </c>
      <c r="BH22" s="12">
        <v>13</v>
      </c>
      <c r="BI22" s="12">
        <v>13</v>
      </c>
      <c r="BJ22" s="12">
        <v>13</v>
      </c>
      <c r="BK22" s="12">
        <v>13</v>
      </c>
      <c r="BL22" s="12">
        <v>13</v>
      </c>
      <c r="BM22" s="12">
        <v>13</v>
      </c>
      <c r="BN22" s="12">
        <v>13</v>
      </c>
      <c r="BO22" s="12">
        <v>13</v>
      </c>
      <c r="BP22" s="12">
        <v>13</v>
      </c>
      <c r="BQ22" s="12">
        <v>13</v>
      </c>
      <c r="BR22" s="12">
        <v>13</v>
      </c>
    </row>
    <row r="23" spans="2:70">
      <c r="B23" s="144" t="s">
        <v>17</v>
      </c>
      <c r="C23" s="145"/>
      <c r="D23" s="95">
        <f>SUM(D10:D22)</f>
        <v>30</v>
      </c>
      <c r="E23" s="96">
        <f>SUM(E10:E22)</f>
        <v>2</v>
      </c>
      <c r="Y23" s="5"/>
      <c r="Z2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map'!$F$2087:$J$2095,))))))))),BD23,FALSE),"-")</f>
        <v>Input</v>
      </c>
      <c r="AA2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map'!$F$2087:$J$2095,))))))))),BE23,FALSE),"-")</f>
        <v>GEL-AV8C_CH3_DATA</v>
      </c>
      <c r="AB2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map'!$F$2087:$J$2095,))))))))),BF23,FALSE),"-")</f>
        <v>WORD</v>
      </c>
      <c r="AC23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map'!$F$2087:$J$2095,))))))))),BG23,FALSE),"-")</f>
        <v>5</v>
      </c>
      <c r="AD2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map'!$F$2087:$J$2095,))))))))),BH23,FALSE),"-")</f>
        <v>Analog input module: CH3 conversion value</v>
      </c>
      <c r="BB23" s="12">
        <v>14</v>
      </c>
      <c r="BC23" s="12">
        <v>14</v>
      </c>
      <c r="BD23" s="12">
        <v>14</v>
      </c>
      <c r="BE23" s="12">
        <v>14</v>
      </c>
      <c r="BF23" s="12">
        <v>14</v>
      </c>
      <c r="BG23" s="12">
        <v>14</v>
      </c>
      <c r="BH23" s="12">
        <v>14</v>
      </c>
      <c r="BI23" s="12">
        <v>14</v>
      </c>
      <c r="BJ23" s="12">
        <v>14</v>
      </c>
      <c r="BK23" s="12">
        <v>14</v>
      </c>
      <c r="BL23" s="12">
        <v>14</v>
      </c>
      <c r="BM23" s="12">
        <v>14</v>
      </c>
      <c r="BN23" s="12">
        <v>14</v>
      </c>
      <c r="BO23" s="12">
        <v>14</v>
      </c>
      <c r="BP23" s="12">
        <v>14</v>
      </c>
      <c r="BQ23" s="12">
        <v>14</v>
      </c>
      <c r="BR23" s="12">
        <v>14</v>
      </c>
    </row>
    <row r="24" spans="2:70" ht="15.75" customHeight="1" thickBot="1">
      <c r="B24" s="146" t="s">
        <v>18</v>
      </c>
      <c r="C24" s="147"/>
      <c r="D24" s="92">
        <f>D23/2</f>
        <v>15</v>
      </c>
      <c r="E24" s="92">
        <f>E23/2</f>
        <v>1</v>
      </c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Z2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map'!$F$2087:$J$2095,))))))))),BD24,FALSE),"-")</f>
        <v>Input</v>
      </c>
      <c r="AA2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map'!$F$2087:$J$2095,))))))))),BE24,FALSE),"-")</f>
        <v>GEL-AV8C_CH4_DATA</v>
      </c>
      <c r="AB2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map'!$F$2087:$J$2095,))))))))),BF24,FALSE),"-")</f>
        <v>WORD</v>
      </c>
      <c r="AC24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map'!$F$2087:$J$2095,))))))))),BG24,FALSE),"-")</f>
        <v>6</v>
      </c>
      <c r="AD2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map'!$F$2087:$J$2095,))))))))),BH24,FALSE),"-")</f>
        <v>Analog input module: CH4 conversion value</v>
      </c>
      <c r="BB24" s="12">
        <v>15</v>
      </c>
      <c r="BC24" s="12">
        <v>15</v>
      </c>
      <c r="BD24" s="12">
        <v>15</v>
      </c>
      <c r="BE24" s="12">
        <v>15</v>
      </c>
      <c r="BF24" s="12">
        <v>15</v>
      </c>
      <c r="BG24" s="12">
        <v>15</v>
      </c>
      <c r="BH24" s="12">
        <v>15</v>
      </c>
      <c r="BI24" s="12">
        <v>15</v>
      </c>
      <c r="BJ24" s="12">
        <v>15</v>
      </c>
      <c r="BK24" s="12">
        <v>15</v>
      </c>
      <c r="BL24" s="12">
        <v>15</v>
      </c>
      <c r="BM24" s="12">
        <v>15</v>
      </c>
      <c r="BN24" s="12">
        <v>15</v>
      </c>
      <c r="BO24" s="12">
        <v>15</v>
      </c>
      <c r="BP24" s="12">
        <v>15</v>
      </c>
      <c r="BQ24" s="12">
        <v>15</v>
      </c>
      <c r="BR24" s="12">
        <v>15</v>
      </c>
    </row>
    <row r="25" spans="2:70">
      <c r="B25" s="99"/>
      <c r="C25" s="99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Z2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map'!$F$2087:$J$2095,))))))))),BD25,FALSE),"-")</f>
        <v>Input</v>
      </c>
      <c r="AA2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map'!$F$2087:$J$2095,))))))))),BE25,FALSE),"-")</f>
        <v>GEL-AV8C_CH5_DATA</v>
      </c>
      <c r="AB2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map'!$F$2087:$J$2095,))))))))),BF25,FALSE),"-")</f>
        <v>WORD</v>
      </c>
      <c r="AC25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map'!$F$2087:$J$2095,))))))))),BG25,FALSE),"-")</f>
        <v>7</v>
      </c>
      <c r="AD2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map'!$F$2087:$J$2095,))))))))),BH25,FALSE),"-")</f>
        <v>Analog input module: CH5 conversion value</v>
      </c>
      <c r="BB25" s="12">
        <v>16</v>
      </c>
      <c r="BC25" s="12">
        <v>16</v>
      </c>
      <c r="BD25" s="12">
        <v>16</v>
      </c>
      <c r="BE25" s="12">
        <v>16</v>
      </c>
      <c r="BF25" s="12">
        <v>16</v>
      </c>
      <c r="BG25" s="12">
        <v>16</v>
      </c>
      <c r="BH25" s="12">
        <v>16</v>
      </c>
      <c r="BI25" s="12">
        <v>16</v>
      </c>
      <c r="BJ25" s="12">
        <v>16</v>
      </c>
      <c r="BK25" s="12">
        <v>16</v>
      </c>
      <c r="BL25" s="12">
        <v>16</v>
      </c>
      <c r="BM25" s="12">
        <v>16</v>
      </c>
      <c r="BN25" s="12">
        <v>16</v>
      </c>
      <c r="BO25" s="12">
        <v>16</v>
      </c>
      <c r="BP25" s="12">
        <v>16</v>
      </c>
      <c r="BQ25" s="12">
        <v>16</v>
      </c>
      <c r="BR25" s="12">
        <v>16</v>
      </c>
    </row>
    <row r="26" spans="2:70">
      <c r="Z2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map'!$F$2087:$J$2095,))))))))),BD26,FALSE),"-")</f>
        <v>Input</v>
      </c>
      <c r="AA2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map'!$F$2087:$J$2095,))))))))),BE26,FALSE),"-")</f>
        <v>GEL-AV8C_CH6_DATA</v>
      </c>
      <c r="AB2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map'!$F$2087:$J$2095,))))))))),BF26,FALSE),"-")</f>
        <v>WORD</v>
      </c>
      <c r="AC26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map'!$F$2087:$J$2095,))))))))),BG26,FALSE),"-")</f>
        <v>8</v>
      </c>
      <c r="AD2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map'!$F$2087:$J$2095,))))))))),BH26,FALSE),"-")</f>
        <v>Analog input module: CH6 conversion value</v>
      </c>
      <c r="BB26" s="12">
        <v>17</v>
      </c>
      <c r="BC26" s="12">
        <v>17</v>
      </c>
      <c r="BD26" s="12">
        <v>17</v>
      </c>
      <c r="BE26" s="12">
        <v>17</v>
      </c>
      <c r="BF26" s="12">
        <v>17</v>
      </c>
      <c r="BG26" s="12">
        <v>17</v>
      </c>
      <c r="BH26" s="12">
        <v>17</v>
      </c>
      <c r="BI26" s="12">
        <v>17</v>
      </c>
      <c r="BJ26" s="12">
        <v>17</v>
      </c>
      <c r="BK26" s="12">
        <v>17</v>
      </c>
      <c r="BL26" s="12">
        <v>17</v>
      </c>
      <c r="BM26" s="12">
        <v>17</v>
      </c>
      <c r="BN26" s="12">
        <v>17</v>
      </c>
      <c r="BO26" s="12">
        <v>17</v>
      </c>
      <c r="BP26" s="12">
        <v>17</v>
      </c>
      <c r="BQ26" s="12">
        <v>17</v>
      </c>
      <c r="BR26" s="12">
        <v>17</v>
      </c>
    </row>
    <row r="27" spans="2:70">
      <c r="Z2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map'!$F$2087:$J$2095,))))))))),BD27,FALSE),"-")</f>
        <v>Input</v>
      </c>
      <c r="AA2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map'!$F$2087:$J$2095,))))))))),BE27,FALSE),"-")</f>
        <v>GEL-AV8C_CH7_DATA</v>
      </c>
      <c r="AB2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map'!$F$2087:$J$2095,))))))))),BF27,FALSE),"-")</f>
        <v>WORD</v>
      </c>
      <c r="AC27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map'!$F$2087:$J$2095,))))))))),BG27,FALSE),"-")</f>
        <v>9</v>
      </c>
      <c r="AD2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map'!$F$2087:$J$2095,))))))))),BH27,FALSE),"-")</f>
        <v>Analog input module: CH7 conversion value</v>
      </c>
      <c r="BB27" s="12">
        <v>18</v>
      </c>
      <c r="BC27" s="12">
        <v>18</v>
      </c>
      <c r="BD27" s="12">
        <v>18</v>
      </c>
      <c r="BE27" s="12">
        <v>18</v>
      </c>
      <c r="BF27" s="12">
        <v>18</v>
      </c>
      <c r="BG27" s="12">
        <v>18</v>
      </c>
      <c r="BH27" s="12">
        <v>18</v>
      </c>
      <c r="BI27" s="12">
        <v>18</v>
      </c>
      <c r="BJ27" s="12">
        <v>18</v>
      </c>
      <c r="BK27" s="12">
        <v>18</v>
      </c>
      <c r="BL27" s="12">
        <v>18</v>
      </c>
      <c r="BM27" s="12">
        <v>18</v>
      </c>
      <c r="BN27" s="12">
        <v>18</v>
      </c>
      <c r="BO27" s="12">
        <v>18</v>
      </c>
      <c r="BP27" s="12">
        <v>18</v>
      </c>
      <c r="BQ27" s="12">
        <v>18</v>
      </c>
      <c r="BR27" s="12">
        <v>18</v>
      </c>
    </row>
    <row r="28" spans="2:70">
      <c r="Z2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map'!$F$2087:$J$2095,))))))))),BD28,FALSE),"-")</f>
        <v>Input</v>
      </c>
      <c r="AA2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map'!$F$2087:$J$2095,))))))))),BE28,FALSE),"-")</f>
        <v>GEL-AV8C_CH0_IDD</v>
      </c>
      <c r="AB2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map'!$F$2087:$J$2095,))))))))),BF28,FALSE),"-")</f>
        <v>BIT</v>
      </c>
      <c r="AC28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map'!$F$2087:$J$2095,))))))))),BG28,FALSE),"-")</f>
        <v>10</v>
      </c>
      <c r="AD2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map'!$F$2087:$J$2095,))))))))),BH28,FALSE),"-")</f>
        <v>Analog input module: CH0 input disconnection detection</v>
      </c>
      <c r="BB28" s="12">
        <v>19</v>
      </c>
      <c r="BC28" s="12">
        <v>19</v>
      </c>
      <c r="BD28" s="12">
        <v>19</v>
      </c>
      <c r="BE28" s="12">
        <v>19</v>
      </c>
      <c r="BF28" s="12">
        <v>19</v>
      </c>
      <c r="BG28" s="12">
        <v>19</v>
      </c>
      <c r="BH28" s="12">
        <v>19</v>
      </c>
      <c r="BI28" s="12">
        <v>19</v>
      </c>
      <c r="BJ28" s="12">
        <v>19</v>
      </c>
      <c r="BK28" s="12">
        <v>19</v>
      </c>
      <c r="BL28" s="12">
        <v>19</v>
      </c>
      <c r="BM28" s="12">
        <v>19</v>
      </c>
      <c r="BN28" s="12">
        <v>19</v>
      </c>
      <c r="BO28" s="12">
        <v>19</v>
      </c>
      <c r="BP28" s="12">
        <v>19</v>
      </c>
      <c r="BQ28" s="12">
        <v>19</v>
      </c>
      <c r="BR28" s="12">
        <v>19</v>
      </c>
    </row>
    <row r="29" spans="2:70">
      <c r="Z2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map'!$F$2087:$J$2095,))))))))),BD29,FALSE),"-")</f>
        <v>Input</v>
      </c>
      <c r="AA2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map'!$F$2087:$J$2095,))))))))),BE29,FALSE),"-")</f>
        <v>GEL-AV8C_CH1_IDD</v>
      </c>
      <c r="AB2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map'!$F$2087:$J$2095,))))))))),BF29,FALSE),"-")</f>
        <v>BIT</v>
      </c>
      <c r="AC29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map'!$F$2087:$J$2095,))))))))),BG29,FALSE),"-")</f>
        <v>10.1</v>
      </c>
      <c r="AD2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map'!$F$2087:$J$2095,))))))))),BH29,FALSE),"-")</f>
        <v>Analog input module: CH1 input disconnection detection</v>
      </c>
      <c r="BB29" s="12">
        <v>20</v>
      </c>
      <c r="BC29" s="12">
        <v>20</v>
      </c>
      <c r="BD29" s="12">
        <v>20</v>
      </c>
      <c r="BE29" s="12">
        <v>20</v>
      </c>
      <c r="BF29" s="12">
        <v>20</v>
      </c>
      <c r="BG29" s="12">
        <v>20</v>
      </c>
      <c r="BH29" s="12">
        <v>20</v>
      </c>
      <c r="BI29" s="12">
        <v>20</v>
      </c>
      <c r="BJ29" s="12">
        <v>20</v>
      </c>
      <c r="BK29" s="12">
        <v>20</v>
      </c>
      <c r="BL29" s="12">
        <v>20</v>
      </c>
      <c r="BM29" s="12">
        <v>20</v>
      </c>
      <c r="BN29" s="12">
        <v>20</v>
      </c>
      <c r="BO29" s="12">
        <v>20</v>
      </c>
      <c r="BP29" s="12">
        <v>20</v>
      </c>
      <c r="BQ29" s="12">
        <v>20</v>
      </c>
      <c r="BR29" s="12">
        <v>20</v>
      </c>
    </row>
    <row r="30" spans="2:70">
      <c r="Z3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map'!$F$2087:$J$2095,))))))))),BD30,FALSE),"-")</f>
        <v>Input</v>
      </c>
      <c r="AA3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map'!$F$2087:$J$2095,))))))))),BE30,FALSE),"-")</f>
        <v>GEL-AV8C_CH2_IDD</v>
      </c>
      <c r="AB3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map'!$F$2087:$J$2095,))))))))),BF30,FALSE),"-")</f>
        <v>BIT</v>
      </c>
      <c r="AC30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map'!$F$2087:$J$2095,))))))))),BG30,FALSE),"-")</f>
        <v>10.199999999999999</v>
      </c>
      <c r="AD3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map'!$F$2087:$J$2095,))))))))),BH30,FALSE),"-")</f>
        <v>Analog input module: CH2 input disconnection detection</v>
      </c>
      <c r="BB30" s="12">
        <v>21</v>
      </c>
      <c r="BC30" s="12">
        <v>21</v>
      </c>
      <c r="BD30" s="12">
        <v>21</v>
      </c>
      <c r="BE30" s="12">
        <v>21</v>
      </c>
      <c r="BF30" s="12">
        <v>21</v>
      </c>
      <c r="BG30" s="12">
        <v>21</v>
      </c>
      <c r="BH30" s="12">
        <v>21</v>
      </c>
      <c r="BI30" s="12">
        <v>21</v>
      </c>
      <c r="BJ30" s="12">
        <v>21</v>
      </c>
      <c r="BK30" s="12">
        <v>21</v>
      </c>
      <c r="BL30" s="12">
        <v>21</v>
      </c>
      <c r="BM30" s="12">
        <v>21</v>
      </c>
      <c r="BN30" s="12">
        <v>21</v>
      </c>
      <c r="BO30" s="12">
        <v>21</v>
      </c>
      <c r="BP30" s="12">
        <v>21</v>
      </c>
      <c r="BQ30" s="12">
        <v>21</v>
      </c>
      <c r="BR30" s="12">
        <v>21</v>
      </c>
    </row>
    <row r="31" spans="2:70">
      <c r="Z3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map'!$F$2087:$J$2095,))))))))),BD31,FALSE),"-")</f>
        <v>Input</v>
      </c>
      <c r="AA3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map'!$F$2087:$J$2095,))))))))),BE31,FALSE),"-")</f>
        <v>GEL-AV8C_CH3_IDD</v>
      </c>
      <c r="AB3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map'!$F$2087:$J$2095,))))))))),BF31,FALSE),"-")</f>
        <v>BIT</v>
      </c>
      <c r="AC31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map'!$F$2087:$J$2095,))))))))),BG31,FALSE),"-")</f>
        <v>10.3</v>
      </c>
      <c r="AD3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map'!$F$2087:$J$2095,))))))))),BH31,FALSE),"-")</f>
        <v>Analog input module: CH3 input disconnection detection</v>
      </c>
      <c r="BB31" s="12">
        <v>22</v>
      </c>
      <c r="BC31" s="12">
        <v>22</v>
      </c>
      <c r="BD31" s="12">
        <v>22</v>
      </c>
      <c r="BE31" s="12">
        <v>22</v>
      </c>
      <c r="BF31" s="12">
        <v>22</v>
      </c>
      <c r="BG31" s="12">
        <v>22</v>
      </c>
      <c r="BH31" s="12">
        <v>22</v>
      </c>
      <c r="BI31" s="12">
        <v>22</v>
      </c>
      <c r="BJ31" s="12">
        <v>22</v>
      </c>
      <c r="BK31" s="12">
        <v>22</v>
      </c>
      <c r="BL31" s="12">
        <v>22</v>
      </c>
      <c r="BM31" s="12">
        <v>22</v>
      </c>
      <c r="BN31" s="12">
        <v>22</v>
      </c>
      <c r="BO31" s="12">
        <v>22</v>
      </c>
      <c r="BP31" s="12">
        <v>22</v>
      </c>
      <c r="BQ31" s="12">
        <v>22</v>
      </c>
      <c r="BR31" s="12">
        <v>22</v>
      </c>
    </row>
    <row r="32" spans="2:70">
      <c r="Z3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map'!$F$2087:$J$2095,))))))))),BD32,FALSE),"-")</f>
        <v>Input</v>
      </c>
      <c r="AA3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map'!$F$2087:$J$2095,))))))))),BE32,FALSE),"-")</f>
        <v>GEL-AV8C_CH4_IDD</v>
      </c>
      <c r="AB3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map'!$F$2087:$J$2095,))))))))),BF32,FALSE),"-")</f>
        <v>BIT</v>
      </c>
      <c r="AC32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map'!$F$2087:$J$2095,))))))))),BG32,FALSE),"-")</f>
        <v>10.4</v>
      </c>
      <c r="AD3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map'!$F$2087:$J$2095,))))))))),BH32,FALSE),"-")</f>
        <v>Analog input module: CH4 input disconnection detection</v>
      </c>
      <c r="BB32" s="12">
        <v>23</v>
      </c>
      <c r="BC32" s="12">
        <v>23</v>
      </c>
      <c r="BD32" s="12">
        <v>23</v>
      </c>
      <c r="BE32" s="12">
        <v>23</v>
      </c>
      <c r="BF32" s="12">
        <v>23</v>
      </c>
      <c r="BG32" s="12">
        <v>23</v>
      </c>
      <c r="BH32" s="12">
        <v>23</v>
      </c>
      <c r="BI32" s="12">
        <v>23</v>
      </c>
      <c r="BJ32" s="12">
        <v>23</v>
      </c>
      <c r="BK32" s="12">
        <v>23</v>
      </c>
      <c r="BL32" s="12">
        <v>23</v>
      </c>
      <c r="BM32" s="12">
        <v>23</v>
      </c>
      <c r="BN32" s="12">
        <v>23</v>
      </c>
      <c r="BO32" s="12">
        <v>23</v>
      </c>
      <c r="BP32" s="12">
        <v>23</v>
      </c>
      <c r="BQ32" s="12">
        <v>23</v>
      </c>
      <c r="BR32" s="12">
        <v>23</v>
      </c>
    </row>
    <row r="33" spans="3:70">
      <c r="C33" s="106"/>
      <c r="Z3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map'!$F$2087:$J$2095,))))))))),BD33,FALSE),"-")</f>
        <v>Input</v>
      </c>
      <c r="AA3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map'!$F$2087:$J$2095,))))))))),BE33,FALSE),"-")</f>
        <v>GEL-AV8C_CH5_IDD</v>
      </c>
      <c r="AB3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map'!$F$2087:$J$2095,))))))))),BF33,FALSE),"-")</f>
        <v>BIT</v>
      </c>
      <c r="AC33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map'!$F$2087:$J$2095,))))))))),BG33,FALSE),"-")</f>
        <v>10.5</v>
      </c>
      <c r="AD3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map'!$F$2087:$J$2095,))))))))),BH33,FALSE),"-")</f>
        <v>Analog input module: CH5 input disconnection detection</v>
      </c>
      <c r="BB33" s="12">
        <v>24</v>
      </c>
      <c r="BC33" s="12">
        <v>24</v>
      </c>
      <c r="BD33" s="12">
        <v>24</v>
      </c>
      <c r="BE33" s="12">
        <v>24</v>
      </c>
      <c r="BF33" s="12">
        <v>24</v>
      </c>
      <c r="BG33" s="12">
        <v>24</v>
      </c>
      <c r="BH33" s="12">
        <v>24</v>
      </c>
      <c r="BI33" s="12">
        <v>24</v>
      </c>
      <c r="BJ33" s="12">
        <v>24</v>
      </c>
      <c r="BK33" s="12">
        <v>24</v>
      </c>
      <c r="BL33" s="12">
        <v>24</v>
      </c>
      <c r="BM33" s="12">
        <v>24</v>
      </c>
      <c r="BN33" s="12">
        <v>24</v>
      </c>
      <c r="BO33" s="12">
        <v>24</v>
      </c>
      <c r="BP33" s="12">
        <v>24</v>
      </c>
      <c r="BQ33" s="12">
        <v>24</v>
      </c>
      <c r="BR33" s="12">
        <v>24</v>
      </c>
    </row>
    <row r="34" spans="3:70">
      <c r="C34" s="107"/>
      <c r="Z3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map'!$F$2087:$J$2095,))))))))),BD34,FALSE),"-")</f>
        <v>Input</v>
      </c>
      <c r="AA3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map'!$F$2087:$J$2095,))))))))),BE34,FALSE),"-")</f>
        <v>GEL-AV8C_CH6_IDD</v>
      </c>
      <c r="AB3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map'!$F$2087:$J$2095,))))))))),BF34,FALSE),"-")</f>
        <v>BIT</v>
      </c>
      <c r="AC34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map'!$F$2087:$J$2095,))))))))),BG34,FALSE),"-")</f>
        <v>10.6</v>
      </c>
      <c r="AD3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map'!$F$2087:$J$2095,))))))))),BH34,FALSE),"-")</f>
        <v>Analog input module: CH6 input disconnection detection</v>
      </c>
      <c r="BB34" s="12">
        <v>25</v>
      </c>
      <c r="BC34" s="12">
        <v>25</v>
      </c>
      <c r="BD34" s="12">
        <v>25</v>
      </c>
      <c r="BE34" s="12">
        <v>25</v>
      </c>
      <c r="BF34" s="12">
        <v>25</v>
      </c>
      <c r="BG34" s="12">
        <v>25</v>
      </c>
      <c r="BH34" s="12">
        <v>25</v>
      </c>
      <c r="BI34" s="12">
        <v>25</v>
      </c>
      <c r="BJ34" s="12">
        <v>25</v>
      </c>
      <c r="BK34" s="12">
        <v>25</v>
      </c>
      <c r="BL34" s="12">
        <v>25</v>
      </c>
      <c r="BM34" s="12">
        <v>25</v>
      </c>
      <c r="BN34" s="12">
        <v>25</v>
      </c>
      <c r="BO34" s="12">
        <v>25</v>
      </c>
      <c r="BP34" s="12">
        <v>25</v>
      </c>
      <c r="BQ34" s="12">
        <v>25</v>
      </c>
      <c r="BR34" s="12">
        <v>25</v>
      </c>
    </row>
    <row r="35" spans="3:70">
      <c r="Z3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map'!$F$2087:$J$2095,))))))))),BD35,FALSE),"-")</f>
        <v>Input</v>
      </c>
      <c r="AA3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map'!$F$2087:$J$2095,))))))))),BE35,FALSE),"-")</f>
        <v>GEL-AV8C_CH7_IDD</v>
      </c>
      <c r="AB3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map'!$F$2087:$J$2095,))))))))),BF35,FALSE),"-")</f>
        <v>BIT</v>
      </c>
      <c r="AC35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map'!$F$2087:$J$2095,))))))))),BG35,FALSE),"-")</f>
        <v>10.7</v>
      </c>
      <c r="AD3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map'!$F$2087:$J$2095,))))))))),BH35,FALSE),"-")</f>
        <v>Analog input module: CH7 input disconnection detection</v>
      </c>
      <c r="BB35" s="12">
        <v>26</v>
      </c>
      <c r="BC35" s="12">
        <v>26</v>
      </c>
      <c r="BD35" s="12">
        <v>26</v>
      </c>
      <c r="BE35" s="12">
        <v>26</v>
      </c>
      <c r="BF35" s="12">
        <v>26</v>
      </c>
      <c r="BG35" s="12">
        <v>26</v>
      </c>
      <c r="BH35" s="12">
        <v>26</v>
      </c>
      <c r="BI35" s="12">
        <v>26</v>
      </c>
      <c r="BJ35" s="12">
        <v>26</v>
      </c>
      <c r="BK35" s="12">
        <v>26</v>
      </c>
      <c r="BL35" s="12">
        <v>26</v>
      </c>
      <c r="BM35" s="12">
        <v>26</v>
      </c>
      <c r="BN35" s="12">
        <v>26</v>
      </c>
      <c r="BO35" s="12">
        <v>26</v>
      </c>
      <c r="BP35" s="12">
        <v>26</v>
      </c>
      <c r="BQ35" s="12">
        <v>26</v>
      </c>
      <c r="BR35" s="12">
        <v>26</v>
      </c>
    </row>
    <row r="36" spans="3:70">
      <c r="Z3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map'!$F$2087:$J$2095,))))))))),BD36,FALSE),"-")</f>
        <v>Input</v>
      </c>
      <c r="AA3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map'!$F$2087:$J$2095,))))))))),BE36,FALSE),"-")</f>
        <v>GEL-AV8C_CH0_HOOR</v>
      </c>
      <c r="AB3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map'!$F$2087:$J$2095,))))))))),BF36,FALSE),"-")</f>
        <v>BIT</v>
      </c>
      <c r="AC36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map'!$F$2087:$J$2095,))))))))),BG36,FALSE),"-")</f>
        <v>11</v>
      </c>
      <c r="AD3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map'!$F$2087:$J$2095,))))))))),BH36,FALSE),"-")</f>
        <v>Analog input module: Channel 0 alarm upper limit</v>
      </c>
      <c r="BB36" s="12">
        <v>27</v>
      </c>
      <c r="BC36" s="12">
        <v>27</v>
      </c>
      <c r="BD36" s="12">
        <v>27</v>
      </c>
      <c r="BE36" s="12">
        <v>27</v>
      </c>
      <c r="BF36" s="12">
        <v>27</v>
      </c>
      <c r="BG36" s="12">
        <v>27</v>
      </c>
      <c r="BH36" s="12">
        <v>27</v>
      </c>
      <c r="BI36" s="12">
        <v>27</v>
      </c>
      <c r="BJ36" s="12">
        <v>27</v>
      </c>
      <c r="BK36" s="12">
        <v>27</v>
      </c>
      <c r="BL36" s="12">
        <v>27</v>
      </c>
      <c r="BM36" s="12">
        <v>27</v>
      </c>
      <c r="BN36" s="12">
        <v>27</v>
      </c>
      <c r="BO36" s="12">
        <v>27</v>
      </c>
      <c r="BP36" s="12">
        <v>27</v>
      </c>
      <c r="BQ36" s="12">
        <v>27</v>
      </c>
      <c r="BR36" s="12">
        <v>27</v>
      </c>
    </row>
    <row r="37" spans="3:70">
      <c r="C37" s="106"/>
      <c r="Z3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map'!$F$2087:$J$2095,))))))))),BD37,FALSE),"-")</f>
        <v>Input</v>
      </c>
      <c r="AA3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map'!$F$2087:$J$2095,))))))))),BE37,FALSE),"-")</f>
        <v>GEL-AV8C_CH1_HOOR</v>
      </c>
      <c r="AB3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map'!$F$2087:$J$2095,))))))))),BF37,FALSE),"-")</f>
        <v>BIT</v>
      </c>
      <c r="AC37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map'!$F$2087:$J$2095,))))))))),BG37,FALSE),"-")</f>
        <v>11.1</v>
      </c>
      <c r="AD3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map'!$F$2087:$J$2095,))))))))),BH37,FALSE),"-")</f>
        <v>Analog input module: Channel 1 alarm upper limit</v>
      </c>
      <c r="BB37" s="12">
        <v>28</v>
      </c>
      <c r="BC37" s="12">
        <v>28</v>
      </c>
      <c r="BD37" s="12">
        <v>28</v>
      </c>
      <c r="BE37" s="12">
        <v>28</v>
      </c>
      <c r="BF37" s="12">
        <v>28</v>
      </c>
      <c r="BG37" s="12">
        <v>28</v>
      </c>
      <c r="BH37" s="12">
        <v>28</v>
      </c>
      <c r="BI37" s="12">
        <v>28</v>
      </c>
      <c r="BJ37" s="12">
        <v>28</v>
      </c>
      <c r="BK37" s="12">
        <v>28</v>
      </c>
      <c r="BL37" s="12">
        <v>28</v>
      </c>
      <c r="BM37" s="12">
        <v>28</v>
      </c>
      <c r="BN37" s="12">
        <v>28</v>
      </c>
      <c r="BO37" s="12">
        <v>28</v>
      </c>
      <c r="BP37" s="12">
        <v>28</v>
      </c>
      <c r="BQ37" s="12">
        <v>28</v>
      </c>
      <c r="BR37" s="12">
        <v>28</v>
      </c>
    </row>
    <row r="38" spans="3:70">
      <c r="C38" s="107"/>
      <c r="Z3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map'!$F$2087:$J$2095,))))))))),BD38,FALSE),"-")</f>
        <v>Input</v>
      </c>
      <c r="AA3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map'!$F$2087:$J$2095,))))))))),BE38,FALSE),"-")</f>
        <v>GEL-AV8C_CH2_HOOR</v>
      </c>
      <c r="AB3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map'!$F$2087:$J$2095,))))))))),BF38,FALSE),"-")</f>
        <v>BIT</v>
      </c>
      <c r="AC38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map'!$F$2087:$J$2095,))))))))),BG38,FALSE),"-")</f>
        <v>11.2</v>
      </c>
      <c r="AD3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map'!$F$2087:$J$2095,))))))))),BH38,FALSE),"-")</f>
        <v>Analog input module: Channel 2 alarm upper limit</v>
      </c>
      <c r="BB38" s="12">
        <v>29</v>
      </c>
      <c r="BC38" s="12">
        <v>29</v>
      </c>
      <c r="BD38" s="12">
        <v>29</v>
      </c>
      <c r="BE38" s="12">
        <v>29</v>
      </c>
      <c r="BF38" s="12">
        <v>29</v>
      </c>
      <c r="BG38" s="12">
        <v>29</v>
      </c>
      <c r="BH38" s="12">
        <v>29</v>
      </c>
      <c r="BI38" s="12">
        <v>29</v>
      </c>
      <c r="BJ38" s="12">
        <v>29</v>
      </c>
      <c r="BK38" s="12">
        <v>29</v>
      </c>
      <c r="BL38" s="12">
        <v>29</v>
      </c>
      <c r="BM38" s="12">
        <v>29</v>
      </c>
      <c r="BN38" s="12">
        <v>29</v>
      </c>
      <c r="BO38" s="12">
        <v>29</v>
      </c>
      <c r="BP38" s="12">
        <v>29</v>
      </c>
      <c r="BQ38" s="12">
        <v>29</v>
      </c>
      <c r="BR38" s="12">
        <v>29</v>
      </c>
    </row>
    <row r="39" spans="3:70">
      <c r="Z3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map'!$F$2087:$J$2095,))))))))),BD39,FALSE),"-")</f>
        <v>Input</v>
      </c>
      <c r="AA3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map'!$F$2087:$J$2095,))))))))),BE39,FALSE),"-")</f>
        <v>GEL-AV8C_CH3_HOOR</v>
      </c>
      <c r="AB3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map'!$F$2087:$J$2095,))))))))),BF39,FALSE),"-")</f>
        <v>BIT</v>
      </c>
      <c r="AC39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map'!$F$2087:$J$2095,))))))))),BG39,FALSE),"-")</f>
        <v>11.3</v>
      </c>
      <c r="AD3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map'!$F$2087:$J$2095,))))))))),BH39,FALSE),"-")</f>
        <v>Analog input module: Channel 3 alarm upper limit</v>
      </c>
      <c r="BB39" s="12">
        <v>30</v>
      </c>
      <c r="BC39" s="12">
        <v>30</v>
      </c>
      <c r="BD39" s="12">
        <v>30</v>
      </c>
      <c r="BE39" s="12">
        <v>30</v>
      </c>
      <c r="BF39" s="12">
        <v>30</v>
      </c>
      <c r="BG39" s="12">
        <v>30</v>
      </c>
      <c r="BH39" s="12">
        <v>30</v>
      </c>
      <c r="BI39" s="12">
        <v>30</v>
      </c>
      <c r="BJ39" s="12">
        <v>30</v>
      </c>
      <c r="BK39" s="12">
        <v>30</v>
      </c>
      <c r="BL39" s="12">
        <v>30</v>
      </c>
      <c r="BM39" s="12">
        <v>30</v>
      </c>
      <c r="BN39" s="12">
        <v>30</v>
      </c>
      <c r="BO39" s="12">
        <v>30</v>
      </c>
      <c r="BP39" s="12">
        <v>30</v>
      </c>
      <c r="BQ39" s="12">
        <v>30</v>
      </c>
      <c r="BR39" s="12">
        <v>30</v>
      </c>
    </row>
    <row r="40" spans="3:70">
      <c r="Z4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map'!$F$2087:$J$2095,))))))))),BD40,FALSE),"-")</f>
        <v>Input</v>
      </c>
      <c r="AA4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map'!$F$2087:$J$2095,))))))))),BE40,FALSE),"-")</f>
        <v>GEL-AV8C_CH4_HOOR</v>
      </c>
      <c r="AB4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map'!$F$2087:$J$2095,))))))))),BF40,FALSE),"-")</f>
        <v>BIT</v>
      </c>
      <c r="AC40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map'!$F$2087:$J$2095,))))))))),BG40,FALSE),"-")</f>
        <v>11.4</v>
      </c>
      <c r="AD4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map'!$F$2087:$J$2095,))))))))),BH40,FALSE),"-")</f>
        <v>Analog input module: Channel 4 alarm upper limit</v>
      </c>
      <c r="BB40" s="12">
        <v>31</v>
      </c>
      <c r="BC40" s="12">
        <v>31</v>
      </c>
      <c r="BD40" s="12">
        <v>31</v>
      </c>
      <c r="BE40" s="12">
        <v>31</v>
      </c>
      <c r="BF40" s="12">
        <v>31</v>
      </c>
      <c r="BG40" s="12">
        <v>31</v>
      </c>
      <c r="BH40" s="12">
        <v>31</v>
      </c>
      <c r="BI40" s="12">
        <v>31</v>
      </c>
      <c r="BJ40" s="12">
        <v>31</v>
      </c>
      <c r="BK40" s="12">
        <v>31</v>
      </c>
      <c r="BL40" s="12">
        <v>31</v>
      </c>
      <c r="BM40" s="12">
        <v>31</v>
      </c>
      <c r="BN40" s="12">
        <v>31</v>
      </c>
      <c r="BO40" s="12">
        <v>31</v>
      </c>
      <c r="BP40" s="12">
        <v>31</v>
      </c>
      <c r="BQ40" s="12">
        <v>31</v>
      </c>
      <c r="BR40" s="12">
        <v>31</v>
      </c>
    </row>
    <row r="41" spans="3:70">
      <c r="Z4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map'!$F$2087:$J$2095,))))))))),BD41,FALSE),"-")</f>
        <v>Input</v>
      </c>
      <c r="AA4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map'!$F$2087:$J$2095,))))))))),BE41,FALSE),"-")</f>
        <v>GEL-AV8C_CH5_HOOR</v>
      </c>
      <c r="AB4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map'!$F$2087:$J$2095,))))))))),BF41,FALSE),"-")</f>
        <v>BIT</v>
      </c>
      <c r="AC41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map'!$F$2087:$J$2095,))))))))),BG41,FALSE),"-")</f>
        <v>11.5</v>
      </c>
      <c r="AD4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map'!$F$2087:$J$2095,))))))))),BH41,FALSE),"-")</f>
        <v>Analog input module: Channel 5 alarm upper limit</v>
      </c>
      <c r="BB41" s="12">
        <v>32</v>
      </c>
      <c r="BC41" s="12">
        <v>32</v>
      </c>
      <c r="BD41" s="12">
        <v>32</v>
      </c>
      <c r="BE41" s="12">
        <v>32</v>
      </c>
      <c r="BF41" s="12">
        <v>32</v>
      </c>
      <c r="BG41" s="12">
        <v>32</v>
      </c>
      <c r="BH41" s="12">
        <v>32</v>
      </c>
      <c r="BI41" s="12">
        <v>32</v>
      </c>
      <c r="BJ41" s="12">
        <v>32</v>
      </c>
      <c r="BK41" s="12">
        <v>32</v>
      </c>
      <c r="BL41" s="12">
        <v>32</v>
      </c>
      <c r="BM41" s="12">
        <v>32</v>
      </c>
      <c r="BN41" s="12">
        <v>32</v>
      </c>
      <c r="BO41" s="12">
        <v>32</v>
      </c>
      <c r="BP41" s="12">
        <v>32</v>
      </c>
      <c r="BQ41" s="12">
        <v>32</v>
      </c>
      <c r="BR41" s="12">
        <v>32</v>
      </c>
    </row>
    <row r="42" spans="3:70">
      <c r="Z4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map'!$F$2087:$J$2095,))))))))),BD42,FALSE),"-")</f>
        <v>Input</v>
      </c>
      <c r="AA4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map'!$F$2087:$J$2095,))))))))),BE42,FALSE),"-")</f>
        <v>GEL-AV8C_CH6_HOOR</v>
      </c>
      <c r="AB4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map'!$F$2087:$J$2095,))))))))),BF42,FALSE),"-")</f>
        <v>BIT</v>
      </c>
      <c r="AC42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map'!$F$2087:$J$2095,))))))))),BG42,FALSE),"-")</f>
        <v>11.6</v>
      </c>
      <c r="AD4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map'!$F$2087:$J$2095,))))))))),BH42,FALSE),"-")</f>
        <v>Analog input module: Channel 6 alarm upper limit</v>
      </c>
      <c r="BB42" s="12">
        <v>33</v>
      </c>
      <c r="BC42" s="12">
        <v>33</v>
      </c>
      <c r="BD42" s="12">
        <v>33</v>
      </c>
      <c r="BE42" s="12">
        <v>33</v>
      </c>
      <c r="BF42" s="12">
        <v>33</v>
      </c>
      <c r="BG42" s="12">
        <v>33</v>
      </c>
      <c r="BH42" s="12">
        <v>33</v>
      </c>
      <c r="BI42" s="12">
        <v>33</v>
      </c>
      <c r="BJ42" s="12">
        <v>33</v>
      </c>
      <c r="BK42" s="12">
        <v>33</v>
      </c>
      <c r="BL42" s="12">
        <v>33</v>
      </c>
      <c r="BM42" s="12">
        <v>33</v>
      </c>
      <c r="BN42" s="12">
        <v>33</v>
      </c>
      <c r="BO42" s="12">
        <v>33</v>
      </c>
      <c r="BP42" s="12">
        <v>33</v>
      </c>
      <c r="BQ42" s="12">
        <v>33</v>
      </c>
      <c r="BR42" s="12">
        <v>33</v>
      </c>
    </row>
    <row r="43" spans="3:70">
      <c r="Z4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map'!$F$2087:$J$2095,))))))))),BD43,FALSE),"-")</f>
        <v>Input</v>
      </c>
      <c r="AA4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map'!$F$2087:$J$2095,))))))))),BE43,FALSE),"-")</f>
        <v>GEL-AV8C_CH7_HOOR</v>
      </c>
      <c r="AB4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map'!$F$2087:$J$2095,))))))))),BF43,FALSE),"-")</f>
        <v>BIT</v>
      </c>
      <c r="AC43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map'!$F$2087:$J$2095,))))))))),BG43,FALSE),"-")</f>
        <v>11.7</v>
      </c>
      <c r="AD4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map'!$F$2087:$J$2095,))))))))),BH43,FALSE),"-")</f>
        <v>Analog input module: Channel 7 alarm upper limit</v>
      </c>
      <c r="BB43" s="12">
        <v>34</v>
      </c>
      <c r="BC43" s="12">
        <v>34</v>
      </c>
      <c r="BD43" s="12">
        <v>34</v>
      </c>
      <c r="BE43" s="12">
        <v>34</v>
      </c>
      <c r="BF43" s="12">
        <v>34</v>
      </c>
      <c r="BG43" s="12">
        <v>34</v>
      </c>
      <c r="BH43" s="12">
        <v>34</v>
      </c>
      <c r="BI43" s="12">
        <v>34</v>
      </c>
      <c r="BJ43" s="12">
        <v>34</v>
      </c>
      <c r="BK43" s="12">
        <v>34</v>
      </c>
      <c r="BL43" s="12">
        <v>34</v>
      </c>
      <c r="BM43" s="12">
        <v>34</v>
      </c>
      <c r="BN43" s="12">
        <v>34</v>
      </c>
      <c r="BO43" s="12">
        <v>34</v>
      </c>
      <c r="BP43" s="12">
        <v>34</v>
      </c>
      <c r="BQ43" s="12">
        <v>34</v>
      </c>
      <c r="BR43" s="12">
        <v>34</v>
      </c>
    </row>
    <row r="44" spans="3:70">
      <c r="Z4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map'!$F$2087:$J$2095,))))))))),BD44,FALSE),"-")</f>
        <v>Input</v>
      </c>
      <c r="AA4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map'!$F$2087:$J$2095,))))))))),BE44,FALSE),"-")</f>
        <v>GEL-AV8C_CH0_LOOR</v>
      </c>
      <c r="AB4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map'!$F$2087:$J$2095,))))))))),BF44,FALSE),"-")</f>
        <v>BIT</v>
      </c>
      <c r="AC44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map'!$F$2087:$J$2095,))))))))),BG44,FALSE),"-")</f>
        <v>12</v>
      </c>
      <c r="AD4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map'!$F$2087:$J$2095,))))))))),BH44,FALSE),"-")</f>
        <v>Analog input module: Channel 0 alarm lower limit</v>
      </c>
      <c r="BB44" s="12">
        <v>35</v>
      </c>
      <c r="BC44" s="12">
        <v>35</v>
      </c>
      <c r="BD44" s="12">
        <v>35</v>
      </c>
      <c r="BE44" s="12">
        <v>35</v>
      </c>
      <c r="BF44" s="12">
        <v>35</v>
      </c>
      <c r="BG44" s="12">
        <v>35</v>
      </c>
      <c r="BH44" s="12">
        <v>35</v>
      </c>
      <c r="BI44" s="12">
        <v>35</v>
      </c>
      <c r="BJ44" s="12">
        <v>35</v>
      </c>
      <c r="BK44" s="12">
        <v>35</v>
      </c>
      <c r="BL44" s="12">
        <v>35</v>
      </c>
      <c r="BM44" s="12">
        <v>35</v>
      </c>
      <c r="BN44" s="12">
        <v>35</v>
      </c>
      <c r="BO44" s="12">
        <v>35</v>
      </c>
      <c r="BP44" s="12">
        <v>35</v>
      </c>
      <c r="BQ44" s="12">
        <v>35</v>
      </c>
      <c r="BR44" s="12">
        <v>35</v>
      </c>
    </row>
    <row r="45" spans="3:70">
      <c r="Z4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map'!$F$2087:$J$2095,))))))))),BD45,FALSE),"-")</f>
        <v>Input</v>
      </c>
      <c r="AA4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map'!$F$2087:$J$2095,))))))))),BE45,FALSE),"-")</f>
        <v>GEL-AV8C_CH1_LOOR</v>
      </c>
      <c r="AB4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map'!$F$2087:$J$2095,))))))))),BF45,FALSE),"-")</f>
        <v>BIT</v>
      </c>
      <c r="AC45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map'!$F$2087:$J$2095,))))))))),BG45,FALSE),"-")</f>
        <v>12.1</v>
      </c>
      <c r="AD4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map'!$F$2087:$J$2095,))))))))),BH45,FALSE),"-")</f>
        <v>Analog input module: Channel 1 alarm lower limit</v>
      </c>
      <c r="BB45" s="12">
        <v>36</v>
      </c>
      <c r="BC45" s="12">
        <v>36</v>
      </c>
      <c r="BD45" s="12">
        <v>36</v>
      </c>
      <c r="BE45" s="12">
        <v>36</v>
      </c>
      <c r="BF45" s="12">
        <v>36</v>
      </c>
      <c r="BG45" s="12">
        <v>36</v>
      </c>
      <c r="BH45" s="12">
        <v>36</v>
      </c>
      <c r="BI45" s="12">
        <v>36</v>
      </c>
      <c r="BJ45" s="12">
        <v>36</v>
      </c>
      <c r="BK45" s="12">
        <v>36</v>
      </c>
      <c r="BL45" s="12">
        <v>36</v>
      </c>
      <c r="BM45" s="12">
        <v>36</v>
      </c>
      <c r="BN45" s="12">
        <v>36</v>
      </c>
      <c r="BO45" s="12">
        <v>36</v>
      </c>
      <c r="BP45" s="12">
        <v>36</v>
      </c>
      <c r="BQ45" s="12">
        <v>36</v>
      </c>
      <c r="BR45" s="12">
        <v>36</v>
      </c>
    </row>
    <row r="46" spans="3:70">
      <c r="Z4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map'!$F$2087:$J$2095,))))))))),BD46,FALSE),"-")</f>
        <v>Input</v>
      </c>
      <c r="AA4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map'!$F$2087:$J$2095,))))))))),BE46,FALSE),"-")</f>
        <v>GEL-AV8C_CH2_LOOR</v>
      </c>
      <c r="AB4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map'!$F$2087:$J$2095,))))))))),BF46,FALSE),"-")</f>
        <v>BIT</v>
      </c>
      <c r="AC46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map'!$F$2087:$J$2095,))))))))),BG46,FALSE),"-")</f>
        <v>12.2</v>
      </c>
      <c r="AD4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map'!$F$2087:$J$2095,))))))))),BH46,FALSE),"-")</f>
        <v>Analog input module: Channel 2 alarm lower limit</v>
      </c>
      <c r="BB46" s="12">
        <v>37</v>
      </c>
      <c r="BC46" s="12">
        <v>37</v>
      </c>
      <c r="BD46" s="12">
        <v>37</v>
      </c>
      <c r="BE46" s="12">
        <v>37</v>
      </c>
      <c r="BF46" s="12">
        <v>37</v>
      </c>
      <c r="BG46" s="12">
        <v>37</v>
      </c>
      <c r="BH46" s="12">
        <v>37</v>
      </c>
      <c r="BI46" s="12">
        <v>37</v>
      </c>
      <c r="BJ46" s="12">
        <v>37</v>
      </c>
      <c r="BK46" s="12">
        <v>37</v>
      </c>
      <c r="BL46" s="12">
        <v>37</v>
      </c>
      <c r="BM46" s="12">
        <v>37</v>
      </c>
      <c r="BN46" s="12">
        <v>37</v>
      </c>
      <c r="BO46" s="12">
        <v>37</v>
      </c>
      <c r="BP46" s="12">
        <v>37</v>
      </c>
      <c r="BQ46" s="12">
        <v>37</v>
      </c>
      <c r="BR46" s="12">
        <v>37</v>
      </c>
    </row>
    <row r="47" spans="3:70">
      <c r="Z4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map'!$F$2087:$J$2095,))))))))),BD47,FALSE),"-")</f>
        <v>Input</v>
      </c>
      <c r="AA4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map'!$F$2087:$J$2095,))))))))),BE47,FALSE),"-")</f>
        <v>GEL-AV8C_CH3_LOOR</v>
      </c>
      <c r="AB4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map'!$F$2087:$J$2095,))))))))),BF47,FALSE),"-")</f>
        <v>BIT</v>
      </c>
      <c r="AC47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map'!$F$2087:$J$2095,))))))))),BG47,FALSE),"-")</f>
        <v>12.3</v>
      </c>
      <c r="AD4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map'!$F$2087:$J$2095,))))))))),BH47,FALSE),"-")</f>
        <v>Analog input module: Channel 3 alarm lower limit</v>
      </c>
      <c r="BB47" s="12">
        <v>38</v>
      </c>
      <c r="BC47" s="12">
        <v>38</v>
      </c>
      <c r="BD47" s="12">
        <v>38</v>
      </c>
      <c r="BE47" s="12">
        <v>38</v>
      </c>
      <c r="BF47" s="12">
        <v>38</v>
      </c>
      <c r="BG47" s="12">
        <v>38</v>
      </c>
      <c r="BH47" s="12">
        <v>38</v>
      </c>
      <c r="BI47" s="12">
        <v>38</v>
      </c>
      <c r="BJ47" s="12">
        <v>38</v>
      </c>
      <c r="BK47" s="12">
        <v>38</v>
      </c>
      <c r="BL47" s="12">
        <v>38</v>
      </c>
      <c r="BM47" s="12">
        <v>38</v>
      </c>
      <c r="BN47" s="12">
        <v>38</v>
      </c>
      <c r="BO47" s="12">
        <v>38</v>
      </c>
      <c r="BP47" s="12">
        <v>38</v>
      </c>
      <c r="BQ47" s="12">
        <v>38</v>
      </c>
      <c r="BR47" s="12">
        <v>38</v>
      </c>
    </row>
    <row r="48" spans="3:70">
      <c r="Z4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map'!$F$2087:$J$2095,))))))))),BD48,FALSE),"-")</f>
        <v>Input</v>
      </c>
      <c r="AA4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map'!$F$2087:$J$2095,))))))))),BE48,FALSE),"-")</f>
        <v>GEL-AV8C_CH4_LOOR</v>
      </c>
      <c r="AB4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map'!$F$2087:$J$2095,))))))))),BF48,FALSE),"-")</f>
        <v>BIT</v>
      </c>
      <c r="AC48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map'!$F$2087:$J$2095,))))))))),BG48,FALSE),"-")</f>
        <v>12.4</v>
      </c>
      <c r="AD4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map'!$F$2087:$J$2095,))))))))),BH48,FALSE),"-")</f>
        <v>Analog input module: Channel 4 alarm lower limit</v>
      </c>
      <c r="BB48" s="12">
        <v>39</v>
      </c>
      <c r="BC48" s="12">
        <v>39</v>
      </c>
      <c r="BD48" s="12">
        <v>39</v>
      </c>
      <c r="BE48" s="12">
        <v>39</v>
      </c>
      <c r="BF48" s="12">
        <v>39</v>
      </c>
      <c r="BG48" s="12">
        <v>39</v>
      </c>
      <c r="BH48" s="12">
        <v>39</v>
      </c>
      <c r="BI48" s="12">
        <v>39</v>
      </c>
      <c r="BJ48" s="12">
        <v>39</v>
      </c>
      <c r="BK48" s="12">
        <v>39</v>
      </c>
      <c r="BL48" s="12">
        <v>39</v>
      </c>
      <c r="BM48" s="12">
        <v>39</v>
      </c>
      <c r="BN48" s="12">
        <v>39</v>
      </c>
      <c r="BO48" s="12">
        <v>39</v>
      </c>
      <c r="BP48" s="12">
        <v>39</v>
      </c>
      <c r="BQ48" s="12">
        <v>39</v>
      </c>
      <c r="BR48" s="12">
        <v>39</v>
      </c>
    </row>
    <row r="49" spans="26:70">
      <c r="Z4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map'!$F$2087:$J$2095,))))))))),BD49,FALSE),"-")</f>
        <v>Input</v>
      </c>
      <c r="AA4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map'!$F$2087:$J$2095,))))))))),BE49,FALSE),"-")</f>
        <v>GEL-AV8C_CH5_LOOR</v>
      </c>
      <c r="AB4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map'!$F$2087:$J$2095,))))))))),BF49,FALSE),"-")</f>
        <v>BIT</v>
      </c>
      <c r="AC49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map'!$F$2087:$J$2095,))))))))),BG49,FALSE),"-")</f>
        <v>12.5</v>
      </c>
      <c r="AD4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map'!$F$2087:$J$2095,))))))))),BH49,FALSE),"-")</f>
        <v>Analog input module: Channel 5 alarm lower limit</v>
      </c>
      <c r="BB49" s="12">
        <v>40</v>
      </c>
      <c r="BC49" s="12">
        <v>40</v>
      </c>
      <c r="BD49" s="12">
        <v>40</v>
      </c>
      <c r="BE49" s="12">
        <v>40</v>
      </c>
      <c r="BF49" s="12">
        <v>40</v>
      </c>
      <c r="BG49" s="12">
        <v>40</v>
      </c>
      <c r="BH49" s="12">
        <v>40</v>
      </c>
      <c r="BI49" s="12">
        <v>40</v>
      </c>
      <c r="BJ49" s="12">
        <v>40</v>
      </c>
      <c r="BK49" s="12">
        <v>40</v>
      </c>
      <c r="BL49" s="12">
        <v>40</v>
      </c>
      <c r="BM49" s="12">
        <v>40</v>
      </c>
      <c r="BN49" s="12">
        <v>40</v>
      </c>
      <c r="BO49" s="12">
        <v>40</v>
      </c>
      <c r="BP49" s="12">
        <v>40</v>
      </c>
      <c r="BQ49" s="12">
        <v>40</v>
      </c>
      <c r="BR49" s="12">
        <v>40</v>
      </c>
    </row>
    <row r="50" spans="26:70">
      <c r="Z5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map'!$F$2087:$J$2095,))))))))),BD50,FALSE),"-")</f>
        <v>Input</v>
      </c>
      <c r="AA5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map'!$F$2087:$J$2095,))))))))),BE50,FALSE),"-")</f>
        <v>GEL-AV8C_CH6_LOOR</v>
      </c>
      <c r="AB5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map'!$F$2087:$J$2095,))))))))),BF50,FALSE),"-")</f>
        <v>BIT</v>
      </c>
      <c r="AC50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map'!$F$2087:$J$2095,))))))))),BG50,FALSE),"-")</f>
        <v>12.6</v>
      </c>
      <c r="AD5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map'!$F$2087:$J$2095,))))))))),BH50,FALSE),"-")</f>
        <v>Analog input module: Channel 6 alarm lower limit</v>
      </c>
      <c r="BB50" s="12">
        <v>41</v>
      </c>
      <c r="BC50" s="12">
        <v>41</v>
      </c>
      <c r="BD50" s="12">
        <v>41</v>
      </c>
      <c r="BE50" s="12">
        <v>41</v>
      </c>
      <c r="BF50" s="12">
        <v>41</v>
      </c>
      <c r="BG50" s="12">
        <v>41</v>
      </c>
      <c r="BH50" s="12">
        <v>41</v>
      </c>
      <c r="BI50" s="12">
        <v>41</v>
      </c>
      <c r="BJ50" s="12">
        <v>41</v>
      </c>
      <c r="BK50" s="12">
        <v>41</v>
      </c>
      <c r="BL50" s="12">
        <v>41</v>
      </c>
      <c r="BM50" s="12">
        <v>41</v>
      </c>
      <c r="BN50" s="12">
        <v>41</v>
      </c>
      <c r="BO50" s="12">
        <v>41</v>
      </c>
      <c r="BP50" s="12">
        <v>41</v>
      </c>
      <c r="BQ50" s="12">
        <v>41</v>
      </c>
      <c r="BR50" s="12">
        <v>41</v>
      </c>
    </row>
    <row r="51" spans="26:70">
      <c r="Z5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map'!$F$2087:$J$2095,))))))))),BD51,FALSE),"-")</f>
        <v>Input</v>
      </c>
      <c r="AA5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map'!$F$2087:$J$2095,))))))))),BE51,FALSE),"-")</f>
        <v>GEL-AV8C_CH7_LOOR</v>
      </c>
      <c r="AB5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map'!$F$2087:$J$2095,))))))))),BF51,FALSE),"-")</f>
        <v>BIT</v>
      </c>
      <c r="AC51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map'!$F$2087:$J$2095,))))))))),BG51,FALSE),"-")</f>
        <v>12.7</v>
      </c>
      <c r="AD5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map'!$F$2087:$J$2095,))))))))),BH51,FALSE),"-")</f>
        <v>Analog input module: Channel 7 alarm lower limit</v>
      </c>
      <c r="BB51" s="12">
        <v>42</v>
      </c>
      <c r="BC51" s="12">
        <v>42</v>
      </c>
      <c r="BD51" s="12">
        <v>42</v>
      </c>
      <c r="BE51" s="12">
        <v>42</v>
      </c>
      <c r="BF51" s="12">
        <v>42</v>
      </c>
      <c r="BG51" s="12">
        <v>42</v>
      </c>
      <c r="BH51" s="12">
        <v>42</v>
      </c>
      <c r="BI51" s="12">
        <v>42</v>
      </c>
      <c r="BJ51" s="12">
        <v>42</v>
      </c>
      <c r="BK51" s="12">
        <v>42</v>
      </c>
      <c r="BL51" s="12">
        <v>42</v>
      </c>
      <c r="BM51" s="12">
        <v>42</v>
      </c>
      <c r="BN51" s="12">
        <v>42</v>
      </c>
      <c r="BO51" s="12">
        <v>42</v>
      </c>
      <c r="BP51" s="12">
        <v>42</v>
      </c>
      <c r="BQ51" s="12">
        <v>42</v>
      </c>
      <c r="BR51" s="12">
        <v>42</v>
      </c>
    </row>
    <row r="52" spans="26:70">
      <c r="Z5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map'!$F$2087:$J$2095,))))))))),BD52,FALSE),"-")</f>
        <v>Output</v>
      </c>
      <c r="AA5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map'!$F$2087:$J$2095,))))))))),BE52,FALSE),"-")</f>
        <v>GEL-AV8C_ERR_CLR</v>
      </c>
      <c r="AB5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map'!$F$2087:$J$2095,))))))))),BF52,FALSE),"-")</f>
        <v>BIT</v>
      </c>
      <c r="AC52" s="85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map'!$F$2087:$J$2095,))))))))),BG52,FALSE),"-")</f>
        <v>0</v>
      </c>
      <c r="AD5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map'!$F$2087:$J$2095,))))))))),BH52,FALSE),"-")</f>
        <v>Analog input module: Error clear request</v>
      </c>
      <c r="BB52" s="12">
        <v>43</v>
      </c>
      <c r="BC52" s="12">
        <v>43</v>
      </c>
      <c r="BD52" s="12">
        <v>43</v>
      </c>
      <c r="BE52" s="12">
        <v>43</v>
      </c>
      <c r="BF52" s="12">
        <v>43</v>
      </c>
      <c r="BG52" s="12">
        <v>43</v>
      </c>
      <c r="BH52" s="12">
        <v>43</v>
      </c>
      <c r="BI52" s="12">
        <v>43</v>
      </c>
      <c r="BJ52" s="12">
        <v>43</v>
      </c>
      <c r="BK52" s="12">
        <v>43</v>
      </c>
      <c r="BL52" s="12">
        <v>43</v>
      </c>
      <c r="BM52" s="12">
        <v>43</v>
      </c>
      <c r="BN52" s="12">
        <v>43</v>
      </c>
      <c r="BO52" s="12">
        <v>43</v>
      </c>
      <c r="BP52" s="12">
        <v>43</v>
      </c>
      <c r="BQ52" s="12">
        <v>43</v>
      </c>
      <c r="BR52" s="12">
        <v>43</v>
      </c>
    </row>
    <row r="53" spans="26:70">
      <c r="Z5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map'!$F$2087:$J$2095,))))))))),BD53,FALSE),"-")</f>
        <v>-</v>
      </c>
      <c r="AA5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map'!$F$2087:$J$2095,))))))))),BE53,FALSE),"-")</f>
        <v>-</v>
      </c>
      <c r="AB5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map'!$F$2087:$J$2095,))))))))),BF53,FALSE),"-")</f>
        <v>-</v>
      </c>
      <c r="AC53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map'!$F$2087:$J$2095,))))))))),BG53,FALSE),"-")</f>
        <v>-</v>
      </c>
      <c r="AD5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map'!$F$2087:$J$2095,))))))))),BH53,FALSE),"-")</f>
        <v>-</v>
      </c>
      <c r="BB53" s="12">
        <v>44</v>
      </c>
      <c r="BC53" s="12">
        <v>44</v>
      </c>
      <c r="BD53" s="12">
        <v>44</v>
      </c>
      <c r="BE53" s="12">
        <v>44</v>
      </c>
      <c r="BF53" s="12">
        <v>44</v>
      </c>
      <c r="BG53" s="12">
        <v>44</v>
      </c>
      <c r="BH53" s="12">
        <v>44</v>
      </c>
      <c r="BI53" s="12">
        <v>44</v>
      </c>
      <c r="BJ53" s="12">
        <v>44</v>
      </c>
      <c r="BK53" s="12">
        <v>44</v>
      </c>
      <c r="BL53" s="12">
        <v>44</v>
      </c>
      <c r="BM53" s="12">
        <v>44</v>
      </c>
      <c r="BN53" s="12">
        <v>44</v>
      </c>
      <c r="BO53" s="12">
        <v>44</v>
      </c>
      <c r="BP53" s="12">
        <v>44</v>
      </c>
      <c r="BQ53" s="12">
        <v>44</v>
      </c>
      <c r="BR53" s="12">
        <v>44</v>
      </c>
    </row>
    <row r="54" spans="26:70">
      <c r="Z5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map'!$F$2087:$J$2095,))))))))),BD54,FALSE),"-")</f>
        <v>-</v>
      </c>
      <c r="AA5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map'!$F$2087:$J$2095,))))))))),BE54,FALSE),"-")</f>
        <v>-</v>
      </c>
      <c r="AB5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map'!$F$2087:$J$2095,))))))))),BF54,FALSE),"-")</f>
        <v>-</v>
      </c>
      <c r="AC54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map'!$F$2087:$J$2095,))))))))),BG54,FALSE),"-")</f>
        <v>-</v>
      </c>
      <c r="AD5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map'!$F$2087:$J$2095,))))))))),BH54,FALSE),"-")</f>
        <v>-</v>
      </c>
      <c r="BB54" s="12">
        <v>45</v>
      </c>
      <c r="BC54" s="12">
        <v>45</v>
      </c>
      <c r="BD54" s="12">
        <v>45</v>
      </c>
      <c r="BE54" s="12">
        <v>45</v>
      </c>
      <c r="BF54" s="12">
        <v>45</v>
      </c>
      <c r="BG54" s="12">
        <v>45</v>
      </c>
      <c r="BH54" s="12">
        <v>45</v>
      </c>
      <c r="BI54" s="12">
        <v>45</v>
      </c>
      <c r="BJ54" s="12">
        <v>45</v>
      </c>
      <c r="BK54" s="12">
        <v>45</v>
      </c>
      <c r="BL54" s="12">
        <v>45</v>
      </c>
      <c r="BM54" s="12">
        <v>45</v>
      </c>
      <c r="BN54" s="12">
        <v>45</v>
      </c>
      <c r="BO54" s="12">
        <v>45</v>
      </c>
      <c r="BP54" s="12">
        <v>45</v>
      </c>
      <c r="BQ54" s="12">
        <v>45</v>
      </c>
      <c r="BR54" s="12">
        <v>45</v>
      </c>
    </row>
    <row r="55" spans="26:70">
      <c r="Z5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map'!$F$2087:$J$2095,))))))))),BD55,FALSE),"-")</f>
        <v>-</v>
      </c>
      <c r="AA5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map'!$F$2087:$J$2095,))))))))),BE55,FALSE),"-")</f>
        <v>-</v>
      </c>
      <c r="AB5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map'!$F$2087:$J$2095,))))))))),BF55,FALSE),"-")</f>
        <v>-</v>
      </c>
      <c r="AC55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map'!$F$2087:$J$2095,))))))))),BG55,FALSE),"-")</f>
        <v>-</v>
      </c>
      <c r="AD5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map'!$F$2087:$J$2095,))))))))),BH55,FALSE),"-")</f>
        <v>-</v>
      </c>
      <c r="BB55" s="12">
        <v>46</v>
      </c>
      <c r="BC55" s="12">
        <v>46</v>
      </c>
      <c r="BD55" s="12">
        <v>46</v>
      </c>
      <c r="BE55" s="12">
        <v>46</v>
      </c>
      <c r="BF55" s="12">
        <v>46</v>
      </c>
      <c r="BG55" s="12">
        <v>46</v>
      </c>
      <c r="BH55" s="12">
        <v>46</v>
      </c>
      <c r="BI55" s="12">
        <v>46</v>
      </c>
      <c r="BJ55" s="12">
        <v>46</v>
      </c>
      <c r="BK55" s="12">
        <v>46</v>
      </c>
      <c r="BL55" s="12">
        <v>46</v>
      </c>
      <c r="BM55" s="12">
        <v>46</v>
      </c>
      <c r="BN55" s="12">
        <v>46</v>
      </c>
      <c r="BO55" s="12">
        <v>46</v>
      </c>
      <c r="BP55" s="12">
        <v>46</v>
      </c>
      <c r="BQ55" s="12">
        <v>46</v>
      </c>
      <c r="BR55" s="12">
        <v>46</v>
      </c>
    </row>
    <row r="56" spans="26:70">
      <c r="Z5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map'!$F$2087:$J$2095,))))))))),BD56,FALSE),"-")</f>
        <v>-</v>
      </c>
      <c r="AA5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map'!$F$2087:$J$2095,))))))))),BE56,FALSE),"-")</f>
        <v>-</v>
      </c>
      <c r="AB5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map'!$F$2087:$J$2095,))))))))),BF56,FALSE),"-")</f>
        <v>-</v>
      </c>
      <c r="AC56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map'!$F$2087:$J$2095,))))))))),BG56,FALSE),"-")</f>
        <v>-</v>
      </c>
      <c r="AD5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map'!$F$2087:$J$2095,))))))))),BH56,FALSE),"-")</f>
        <v>-</v>
      </c>
      <c r="BB56" s="12">
        <v>47</v>
      </c>
      <c r="BC56" s="12">
        <v>47</v>
      </c>
      <c r="BD56" s="12">
        <v>47</v>
      </c>
      <c r="BE56" s="12">
        <v>47</v>
      </c>
      <c r="BF56" s="12">
        <v>47</v>
      </c>
      <c r="BG56" s="12">
        <v>47</v>
      </c>
      <c r="BH56" s="12">
        <v>47</v>
      </c>
      <c r="BI56" s="12">
        <v>47</v>
      </c>
      <c r="BJ56" s="12">
        <v>47</v>
      </c>
      <c r="BK56" s="12">
        <v>47</v>
      </c>
      <c r="BL56" s="12">
        <v>47</v>
      </c>
      <c r="BM56" s="12">
        <v>47</v>
      </c>
      <c r="BN56" s="12">
        <v>47</v>
      </c>
      <c r="BO56" s="12">
        <v>47</v>
      </c>
      <c r="BP56" s="12">
        <v>47</v>
      </c>
      <c r="BQ56" s="12">
        <v>47</v>
      </c>
      <c r="BR56" s="12">
        <v>47</v>
      </c>
    </row>
    <row r="57" spans="26:70">
      <c r="Z5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map'!$F$2087:$J$2095,))))))))),BD57,FALSE),"-")</f>
        <v>-</v>
      </c>
      <c r="AA5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map'!$F$2087:$J$2095,))))))))),BE57,FALSE),"-")</f>
        <v>-</v>
      </c>
      <c r="AB5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map'!$F$2087:$J$2095,))))))))),BF57,FALSE),"-")</f>
        <v>-</v>
      </c>
      <c r="AC57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map'!$F$2087:$J$2095,))))))))),BG57,FALSE),"-")</f>
        <v>-</v>
      </c>
      <c r="AD5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map'!$F$2087:$J$2095,))))))))),BH57,FALSE),"-")</f>
        <v>-</v>
      </c>
      <c r="BB57" s="12">
        <v>48</v>
      </c>
      <c r="BC57" s="12">
        <v>48</v>
      </c>
      <c r="BD57" s="12">
        <v>48</v>
      </c>
      <c r="BE57" s="12">
        <v>48</v>
      </c>
      <c r="BF57" s="12">
        <v>48</v>
      </c>
      <c r="BG57" s="12">
        <v>48</v>
      </c>
      <c r="BH57" s="12">
        <v>48</v>
      </c>
      <c r="BI57" s="12">
        <v>48</v>
      </c>
      <c r="BJ57" s="12">
        <v>48</v>
      </c>
      <c r="BK57" s="12">
        <v>48</v>
      </c>
      <c r="BL57" s="12">
        <v>48</v>
      </c>
      <c r="BM57" s="12">
        <v>48</v>
      </c>
      <c r="BN57" s="12">
        <v>48</v>
      </c>
      <c r="BO57" s="12">
        <v>48</v>
      </c>
      <c r="BP57" s="12">
        <v>48</v>
      </c>
      <c r="BQ57" s="12">
        <v>48</v>
      </c>
      <c r="BR57" s="12">
        <v>48</v>
      </c>
    </row>
    <row r="58" spans="26:70">
      <c r="Z5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map'!$F$2087:$J$2095,))))))))),BD58,FALSE),"-")</f>
        <v>-</v>
      </c>
      <c r="AA5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map'!$F$2087:$J$2095,))))))))),BE58,FALSE),"-")</f>
        <v>-</v>
      </c>
      <c r="AB5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map'!$F$2087:$J$2095,))))))))),BF58,FALSE),"-")</f>
        <v>-</v>
      </c>
      <c r="AC58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map'!$F$2087:$J$2095,))))))))),BG58,FALSE),"-")</f>
        <v>-</v>
      </c>
      <c r="AD5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map'!$F$2087:$J$2095,))))))))),BH58,FALSE),"-")</f>
        <v>-</v>
      </c>
      <c r="BB58" s="12">
        <v>49</v>
      </c>
      <c r="BC58" s="12">
        <v>49</v>
      </c>
      <c r="BD58" s="12">
        <v>49</v>
      </c>
      <c r="BE58" s="12">
        <v>49</v>
      </c>
      <c r="BF58" s="12">
        <v>49</v>
      </c>
      <c r="BG58" s="12">
        <v>49</v>
      </c>
      <c r="BH58" s="12">
        <v>49</v>
      </c>
      <c r="BI58" s="12">
        <v>49</v>
      </c>
      <c r="BJ58" s="12">
        <v>49</v>
      </c>
      <c r="BK58" s="12">
        <v>49</v>
      </c>
      <c r="BL58" s="12">
        <v>49</v>
      </c>
      <c r="BM58" s="12">
        <v>49</v>
      </c>
      <c r="BN58" s="12">
        <v>49</v>
      </c>
      <c r="BO58" s="12">
        <v>49</v>
      </c>
      <c r="BP58" s="12">
        <v>49</v>
      </c>
      <c r="BQ58" s="12">
        <v>49</v>
      </c>
      <c r="BR58" s="12">
        <v>49</v>
      </c>
    </row>
    <row r="59" spans="26:70">
      <c r="Z5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map'!$F$2087:$J$2095,))))))))),BD59,FALSE),"-")</f>
        <v>-</v>
      </c>
      <c r="AA5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map'!$F$2087:$J$2095,))))))))),BE59,FALSE),"-")</f>
        <v>-</v>
      </c>
      <c r="AB5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map'!$F$2087:$J$2095,))))))))),BF59,FALSE),"-")</f>
        <v>-</v>
      </c>
      <c r="AC59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map'!$F$2087:$J$2095,))))))))),BG59,FALSE),"-")</f>
        <v>-</v>
      </c>
      <c r="AD5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map'!$F$2087:$J$2095,))))))))),BH59,FALSE),"-")</f>
        <v>-</v>
      </c>
      <c r="BB59" s="12">
        <v>50</v>
      </c>
      <c r="BC59" s="12">
        <v>50</v>
      </c>
      <c r="BD59" s="12">
        <v>50</v>
      </c>
      <c r="BE59" s="12">
        <v>50</v>
      </c>
      <c r="BF59" s="12">
        <v>50</v>
      </c>
      <c r="BG59" s="12">
        <v>50</v>
      </c>
      <c r="BH59" s="12">
        <v>50</v>
      </c>
      <c r="BI59" s="12">
        <v>50</v>
      </c>
      <c r="BJ59" s="12">
        <v>50</v>
      </c>
      <c r="BK59" s="12">
        <v>50</v>
      </c>
      <c r="BL59" s="12">
        <v>50</v>
      </c>
      <c r="BM59" s="12">
        <v>50</v>
      </c>
      <c r="BN59" s="12">
        <v>50</v>
      </c>
      <c r="BO59" s="12">
        <v>50</v>
      </c>
      <c r="BP59" s="12">
        <v>50</v>
      </c>
      <c r="BQ59" s="12">
        <v>50</v>
      </c>
      <c r="BR59" s="12">
        <v>50</v>
      </c>
    </row>
    <row r="60" spans="26:70">
      <c r="Z6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map'!$F$2087:$J$2095,))))))))),BD60,FALSE),"-")</f>
        <v>-</v>
      </c>
      <c r="AA6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map'!$F$2087:$J$2095,))))))))),BE60,FALSE),"-")</f>
        <v>-</v>
      </c>
      <c r="AB6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map'!$F$2087:$J$2095,))))))))),BF60,FALSE),"-")</f>
        <v>-</v>
      </c>
      <c r="AC60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map'!$F$2087:$J$2095,))))))))),BG60,FALSE),"-")</f>
        <v>-</v>
      </c>
      <c r="AD6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map'!$F$2087:$J$2095,))))))))),BH60,FALSE),"-")</f>
        <v>-</v>
      </c>
      <c r="BB60" s="12">
        <v>51</v>
      </c>
      <c r="BC60" s="12">
        <v>51</v>
      </c>
      <c r="BD60" s="12">
        <v>51</v>
      </c>
      <c r="BE60" s="12">
        <v>51</v>
      </c>
      <c r="BF60" s="12">
        <v>51</v>
      </c>
      <c r="BG60" s="12">
        <v>51</v>
      </c>
      <c r="BH60" s="12">
        <v>51</v>
      </c>
      <c r="BI60" s="12">
        <v>51</v>
      </c>
      <c r="BJ60" s="12">
        <v>51</v>
      </c>
      <c r="BK60" s="12">
        <v>51</v>
      </c>
      <c r="BL60" s="12">
        <v>51</v>
      </c>
      <c r="BM60" s="12">
        <v>51</v>
      </c>
      <c r="BN60" s="12">
        <v>51</v>
      </c>
      <c r="BO60" s="12">
        <v>51</v>
      </c>
      <c r="BP60" s="12">
        <v>51</v>
      </c>
      <c r="BQ60" s="12">
        <v>51</v>
      </c>
      <c r="BR60" s="12">
        <v>51</v>
      </c>
    </row>
    <row r="61" spans="26:70">
      <c r="Z6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map'!$F$2087:$J$2095,))))))))),BD61,FALSE),"-")</f>
        <v>-</v>
      </c>
      <c r="AA6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map'!$F$2087:$J$2095,))))))))),BE61,FALSE),"-")</f>
        <v>-</v>
      </c>
      <c r="AB6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map'!$F$2087:$J$2095,))))))))),BF61,FALSE),"-")</f>
        <v>-</v>
      </c>
      <c r="AC61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map'!$F$2087:$J$2095,))))))))),BG61,FALSE),"-")</f>
        <v>-</v>
      </c>
      <c r="AD6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map'!$F$2087:$J$2095,))))))))),BH61,FALSE),"-")</f>
        <v>-</v>
      </c>
      <c r="BB61" s="12">
        <v>52</v>
      </c>
      <c r="BC61" s="12">
        <v>52</v>
      </c>
      <c r="BD61" s="12">
        <v>52</v>
      </c>
      <c r="BE61" s="12">
        <v>52</v>
      </c>
      <c r="BF61" s="12">
        <v>52</v>
      </c>
      <c r="BG61" s="12">
        <v>52</v>
      </c>
      <c r="BH61" s="12">
        <v>52</v>
      </c>
      <c r="BI61" s="12">
        <v>52</v>
      </c>
      <c r="BJ61" s="12">
        <v>52</v>
      </c>
      <c r="BK61" s="12">
        <v>52</v>
      </c>
      <c r="BL61" s="12">
        <v>52</v>
      </c>
      <c r="BM61" s="12">
        <v>52</v>
      </c>
      <c r="BN61" s="12">
        <v>52</v>
      </c>
      <c r="BO61" s="12">
        <v>52</v>
      </c>
      <c r="BP61" s="12">
        <v>52</v>
      </c>
      <c r="BQ61" s="12">
        <v>52</v>
      </c>
      <c r="BR61" s="12">
        <v>52</v>
      </c>
    </row>
    <row r="62" spans="26:70">
      <c r="Z6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map'!$F$2087:$J$2095,))))))))),BD62,FALSE),"-")</f>
        <v>-</v>
      </c>
      <c r="AA6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map'!$F$2087:$J$2095,))))))))),BE62,FALSE),"-")</f>
        <v>-</v>
      </c>
      <c r="AB6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map'!$F$2087:$J$2095,))))))))),BF62,FALSE),"-")</f>
        <v>-</v>
      </c>
      <c r="AC62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map'!$F$2087:$J$2095,))))))))),BG62,FALSE),"-")</f>
        <v>-</v>
      </c>
      <c r="AD6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map'!$F$2087:$J$2095,))))))))),BH62,FALSE),"-")</f>
        <v>-</v>
      </c>
      <c r="BB62" s="12">
        <v>53</v>
      </c>
      <c r="BC62" s="12">
        <v>53</v>
      </c>
      <c r="BD62" s="12">
        <v>53</v>
      </c>
      <c r="BE62" s="12">
        <v>53</v>
      </c>
      <c r="BF62" s="12">
        <v>53</v>
      </c>
      <c r="BG62" s="12">
        <v>53</v>
      </c>
      <c r="BH62" s="12">
        <v>53</v>
      </c>
      <c r="BI62" s="12">
        <v>53</v>
      </c>
      <c r="BJ62" s="12">
        <v>53</v>
      </c>
      <c r="BK62" s="12">
        <v>53</v>
      </c>
      <c r="BL62" s="12">
        <v>53</v>
      </c>
      <c r="BM62" s="12">
        <v>53</v>
      </c>
      <c r="BN62" s="12">
        <v>53</v>
      </c>
      <c r="BO62" s="12">
        <v>53</v>
      </c>
      <c r="BP62" s="12">
        <v>53</v>
      </c>
      <c r="BQ62" s="12">
        <v>53</v>
      </c>
      <c r="BR62" s="12">
        <v>53</v>
      </c>
    </row>
    <row r="63" spans="26:70">
      <c r="Z6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map'!$F$2087:$J$2095,))))))))),BD63,FALSE),"-")</f>
        <v>-</v>
      </c>
      <c r="AA6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map'!$F$2087:$J$2095,))))))))),BE63,FALSE),"-")</f>
        <v>-</v>
      </c>
      <c r="AB6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map'!$F$2087:$J$2095,))))))))),BF63,FALSE),"-")</f>
        <v>-</v>
      </c>
      <c r="AC63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map'!$F$2087:$J$2095,))))))))),BG63,FALSE),"-")</f>
        <v>-</v>
      </c>
      <c r="AD6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map'!$F$2087:$J$2095,))))))))),BH63,FALSE),"-")</f>
        <v>-</v>
      </c>
      <c r="BB63" s="12">
        <v>54</v>
      </c>
      <c r="BC63" s="12">
        <v>54</v>
      </c>
      <c r="BD63" s="12">
        <v>54</v>
      </c>
      <c r="BE63" s="12">
        <v>54</v>
      </c>
      <c r="BF63" s="12">
        <v>54</v>
      </c>
      <c r="BG63" s="12">
        <v>54</v>
      </c>
      <c r="BH63" s="12">
        <v>54</v>
      </c>
      <c r="BI63" s="12">
        <v>54</v>
      </c>
      <c r="BJ63" s="12">
        <v>54</v>
      </c>
      <c r="BK63" s="12">
        <v>54</v>
      </c>
      <c r="BL63" s="12">
        <v>54</v>
      </c>
      <c r="BM63" s="12">
        <v>54</v>
      </c>
      <c r="BN63" s="12">
        <v>54</v>
      </c>
      <c r="BO63" s="12">
        <v>54</v>
      </c>
      <c r="BP63" s="12">
        <v>54</v>
      </c>
      <c r="BQ63" s="12">
        <v>54</v>
      </c>
      <c r="BR63" s="12">
        <v>54</v>
      </c>
    </row>
    <row r="64" spans="26:70">
      <c r="Z6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map'!$F$2087:$J$2095,))))))))),BD64,FALSE),"-")</f>
        <v>-</v>
      </c>
      <c r="AA6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map'!$F$2087:$J$2095,))))))))),BE64,FALSE),"-")</f>
        <v>-</v>
      </c>
      <c r="AB6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map'!$F$2087:$J$2095,))))))))),BF64,FALSE),"-")</f>
        <v>-</v>
      </c>
      <c r="AC64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map'!$F$2087:$J$2095,))))))))),BG64,FALSE),"-")</f>
        <v>-</v>
      </c>
      <c r="AD6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map'!$F$2087:$J$2095,))))))))),BH64,FALSE),"-")</f>
        <v>-</v>
      </c>
      <c r="BB64" s="12">
        <v>55</v>
      </c>
      <c r="BC64" s="12">
        <v>55</v>
      </c>
      <c r="BD64" s="12">
        <v>55</v>
      </c>
      <c r="BE64" s="12">
        <v>55</v>
      </c>
      <c r="BF64" s="12">
        <v>55</v>
      </c>
      <c r="BG64" s="12">
        <v>55</v>
      </c>
      <c r="BH64" s="12">
        <v>55</v>
      </c>
      <c r="BI64" s="12">
        <v>55</v>
      </c>
      <c r="BJ64" s="12">
        <v>55</v>
      </c>
      <c r="BK64" s="12">
        <v>55</v>
      </c>
      <c r="BL64" s="12">
        <v>55</v>
      </c>
      <c r="BM64" s="12">
        <v>55</v>
      </c>
      <c r="BN64" s="12">
        <v>55</v>
      </c>
      <c r="BO64" s="12">
        <v>55</v>
      </c>
      <c r="BP64" s="12">
        <v>55</v>
      </c>
      <c r="BQ64" s="12">
        <v>55</v>
      </c>
      <c r="BR64" s="12">
        <v>55</v>
      </c>
    </row>
    <row r="65" spans="26:70">
      <c r="Z6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map'!$F$2087:$J$2095,))))))))),BD65,FALSE),"-")</f>
        <v>-</v>
      </c>
      <c r="AA6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map'!$F$2087:$J$2095,))))))))),BE65,FALSE),"-")</f>
        <v>-</v>
      </c>
      <c r="AB6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map'!$F$2087:$J$2095,))))))))),BF65,FALSE),"-")</f>
        <v>-</v>
      </c>
      <c r="AC65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map'!$F$2087:$J$2095,))))))))),BG65,FALSE),"-")</f>
        <v>-</v>
      </c>
      <c r="AD6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map'!$F$2087:$J$2095,))))))))),BH65,FALSE),"-")</f>
        <v>-</v>
      </c>
      <c r="BB65" s="12">
        <v>56</v>
      </c>
      <c r="BC65" s="12">
        <v>56</v>
      </c>
      <c r="BD65" s="12">
        <v>56</v>
      </c>
      <c r="BE65" s="12">
        <v>56</v>
      </c>
      <c r="BF65" s="12">
        <v>56</v>
      </c>
      <c r="BG65" s="12">
        <v>56</v>
      </c>
      <c r="BH65" s="12">
        <v>56</v>
      </c>
      <c r="BI65" s="12">
        <v>56</v>
      </c>
      <c r="BJ65" s="12">
        <v>56</v>
      </c>
      <c r="BK65" s="12">
        <v>56</v>
      </c>
      <c r="BL65" s="12">
        <v>56</v>
      </c>
      <c r="BM65" s="12">
        <v>56</v>
      </c>
      <c r="BN65" s="12">
        <v>56</v>
      </c>
      <c r="BO65" s="12">
        <v>56</v>
      </c>
      <c r="BP65" s="12">
        <v>56</v>
      </c>
      <c r="BQ65" s="12">
        <v>56</v>
      </c>
      <c r="BR65" s="12">
        <v>56</v>
      </c>
    </row>
    <row r="66" spans="26:70">
      <c r="Z6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map'!$F$2087:$J$2095,))))))))),BD66,FALSE),"-")</f>
        <v>-</v>
      </c>
      <c r="AA6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map'!$F$2087:$J$2095,))))))))),BE66,FALSE),"-")</f>
        <v>-</v>
      </c>
      <c r="AB6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map'!$F$2087:$J$2095,))))))))),BF66,FALSE),"-")</f>
        <v>-</v>
      </c>
      <c r="AC66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map'!$F$2087:$J$2095,))))))))),BG66,FALSE),"-")</f>
        <v>-</v>
      </c>
      <c r="AD6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map'!$F$2087:$J$2095,))))))))),BH66,FALSE),"-")</f>
        <v>-</v>
      </c>
      <c r="BB66" s="12">
        <v>57</v>
      </c>
      <c r="BC66" s="12">
        <v>57</v>
      </c>
      <c r="BD66" s="12">
        <v>57</v>
      </c>
      <c r="BE66" s="12">
        <v>57</v>
      </c>
      <c r="BF66" s="12">
        <v>57</v>
      </c>
      <c r="BG66" s="12">
        <v>57</v>
      </c>
      <c r="BH66" s="12">
        <v>57</v>
      </c>
      <c r="BI66" s="12">
        <v>57</v>
      </c>
      <c r="BJ66" s="12">
        <v>57</v>
      </c>
      <c r="BK66" s="12">
        <v>57</v>
      </c>
      <c r="BL66" s="12">
        <v>57</v>
      </c>
      <c r="BM66" s="12">
        <v>57</v>
      </c>
      <c r="BN66" s="12">
        <v>57</v>
      </c>
      <c r="BO66" s="12">
        <v>57</v>
      </c>
      <c r="BP66" s="12">
        <v>57</v>
      </c>
      <c r="BQ66" s="12">
        <v>57</v>
      </c>
      <c r="BR66" s="12">
        <v>57</v>
      </c>
    </row>
    <row r="67" spans="26:70">
      <c r="Z6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map'!$F$2087:$J$2095,))))))))),BD67,FALSE),"-")</f>
        <v>-</v>
      </c>
      <c r="AA6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map'!$F$2087:$J$2095,))))))))),BE67,FALSE),"-")</f>
        <v>-</v>
      </c>
      <c r="AB6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map'!$F$2087:$J$2095,))))))))),BF67,FALSE),"-")</f>
        <v>-</v>
      </c>
      <c r="AC67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map'!$F$2087:$J$2095,))))))))),BG67,FALSE),"-")</f>
        <v>-</v>
      </c>
      <c r="AD6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map'!$F$2087:$J$2095,))))))))),BH67,FALSE),"-")</f>
        <v>-</v>
      </c>
      <c r="BB67" s="12">
        <v>58</v>
      </c>
      <c r="BC67" s="12">
        <v>58</v>
      </c>
      <c r="BD67" s="12">
        <v>58</v>
      </c>
      <c r="BE67" s="12">
        <v>58</v>
      </c>
      <c r="BF67" s="12">
        <v>58</v>
      </c>
      <c r="BG67" s="12">
        <v>58</v>
      </c>
      <c r="BH67" s="12">
        <v>58</v>
      </c>
      <c r="BI67" s="12">
        <v>58</v>
      </c>
      <c r="BJ67" s="12">
        <v>58</v>
      </c>
      <c r="BK67" s="12">
        <v>58</v>
      </c>
      <c r="BL67" s="12">
        <v>58</v>
      </c>
      <c r="BM67" s="12">
        <v>58</v>
      </c>
      <c r="BN67" s="12">
        <v>58</v>
      </c>
      <c r="BO67" s="12">
        <v>58</v>
      </c>
      <c r="BP67" s="12">
        <v>58</v>
      </c>
      <c r="BQ67" s="12">
        <v>58</v>
      </c>
      <c r="BR67" s="12">
        <v>58</v>
      </c>
    </row>
    <row r="68" spans="26:70">
      <c r="Z6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map'!$F$2087:$J$2095,))))))))),BD68,FALSE),"-")</f>
        <v>-</v>
      </c>
      <c r="AA6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map'!$F$2087:$J$2095,))))))))),BE68,FALSE),"-")</f>
        <v>-</v>
      </c>
      <c r="AB6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map'!$F$2087:$J$2095,))))))))),BF68,FALSE),"-")</f>
        <v>-</v>
      </c>
      <c r="AC68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map'!$F$2087:$J$2095,))))))))),BG68,FALSE),"-")</f>
        <v>-</v>
      </c>
      <c r="AD6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map'!$F$2087:$J$2095,))))))))),BH68,FALSE),"-")</f>
        <v>-</v>
      </c>
      <c r="BB68" s="12">
        <v>59</v>
      </c>
      <c r="BC68" s="12">
        <v>59</v>
      </c>
      <c r="BD68" s="12">
        <v>59</v>
      </c>
      <c r="BE68" s="12">
        <v>59</v>
      </c>
      <c r="BF68" s="12">
        <v>59</v>
      </c>
      <c r="BG68" s="12">
        <v>59</v>
      </c>
      <c r="BH68" s="12">
        <v>59</v>
      </c>
      <c r="BI68" s="12">
        <v>59</v>
      </c>
      <c r="BJ68" s="12">
        <v>59</v>
      </c>
      <c r="BK68" s="12">
        <v>59</v>
      </c>
      <c r="BL68" s="12">
        <v>59</v>
      </c>
      <c r="BM68" s="12">
        <v>59</v>
      </c>
      <c r="BN68" s="12">
        <v>59</v>
      </c>
      <c r="BO68" s="12">
        <v>59</v>
      </c>
      <c r="BP68" s="12">
        <v>59</v>
      </c>
      <c r="BQ68" s="12">
        <v>59</v>
      </c>
      <c r="BR68" s="12">
        <v>59</v>
      </c>
    </row>
    <row r="69" spans="26:70">
      <c r="Z6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map'!$F$2087:$J$2095,))))))))),BD69,FALSE),"-")</f>
        <v>-</v>
      </c>
      <c r="AA6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map'!$F$2087:$J$2095,))))))))),BE69,FALSE),"-")</f>
        <v>-</v>
      </c>
      <c r="AB6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map'!$F$2087:$J$2095,))))))))),BF69,FALSE),"-")</f>
        <v>-</v>
      </c>
      <c r="AC69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map'!$F$2087:$J$2095,))))))))),BG69,FALSE),"-")</f>
        <v>-</v>
      </c>
      <c r="AD6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map'!$F$2087:$J$2095,))))))))),BH69,FALSE),"-")</f>
        <v>-</v>
      </c>
      <c r="BB69" s="12">
        <v>60</v>
      </c>
      <c r="BC69" s="12">
        <v>60</v>
      </c>
      <c r="BD69" s="12">
        <v>60</v>
      </c>
      <c r="BE69" s="12">
        <v>60</v>
      </c>
      <c r="BF69" s="12">
        <v>60</v>
      </c>
      <c r="BG69" s="12">
        <v>60</v>
      </c>
      <c r="BH69" s="12">
        <v>60</v>
      </c>
      <c r="BI69" s="12">
        <v>60</v>
      </c>
      <c r="BJ69" s="12">
        <v>60</v>
      </c>
      <c r="BK69" s="12">
        <v>60</v>
      </c>
      <c r="BL69" s="12">
        <v>60</v>
      </c>
      <c r="BM69" s="12">
        <v>60</v>
      </c>
      <c r="BN69" s="12">
        <v>60</v>
      </c>
      <c r="BO69" s="12">
        <v>60</v>
      </c>
      <c r="BP69" s="12">
        <v>60</v>
      </c>
      <c r="BQ69" s="12">
        <v>60</v>
      </c>
      <c r="BR69" s="12">
        <v>60</v>
      </c>
    </row>
    <row r="70" spans="26:70">
      <c r="Z7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map'!$F$2087:$J$2095,))))))))),BD70,FALSE),"-")</f>
        <v>-</v>
      </c>
      <c r="AA7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map'!$F$2087:$J$2095,))))))))),BE70,FALSE),"-")</f>
        <v>-</v>
      </c>
      <c r="AB7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map'!$F$2087:$J$2095,))))))))),BF70,FALSE),"-")</f>
        <v>-</v>
      </c>
      <c r="AC70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map'!$F$2087:$J$2095,))))))))),BG70,FALSE),"-")</f>
        <v>-</v>
      </c>
      <c r="AD7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map'!$F$2087:$J$2095,))))))))),BH70,FALSE),"-")</f>
        <v>-</v>
      </c>
      <c r="BB70" s="12">
        <v>61</v>
      </c>
      <c r="BC70" s="12">
        <v>61</v>
      </c>
      <c r="BD70" s="12">
        <v>61</v>
      </c>
      <c r="BE70" s="12">
        <v>61</v>
      </c>
      <c r="BF70" s="12">
        <v>61</v>
      </c>
      <c r="BG70" s="12">
        <v>61</v>
      </c>
      <c r="BH70" s="12">
        <v>61</v>
      </c>
      <c r="BI70" s="12">
        <v>61</v>
      </c>
      <c r="BJ70" s="12">
        <v>61</v>
      </c>
      <c r="BK70" s="12">
        <v>61</v>
      </c>
      <c r="BL70" s="12">
        <v>61</v>
      </c>
      <c r="BM70" s="12">
        <v>61</v>
      </c>
      <c r="BN70" s="12">
        <v>61</v>
      </c>
      <c r="BO70" s="12">
        <v>61</v>
      </c>
      <c r="BP70" s="12">
        <v>61</v>
      </c>
      <c r="BQ70" s="12">
        <v>61</v>
      </c>
      <c r="BR70" s="12">
        <v>61</v>
      </c>
    </row>
    <row r="71" spans="26:70">
      <c r="Z7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map'!$F$2087:$J$2095,))))))))),BD71,FALSE),"-")</f>
        <v>-</v>
      </c>
      <c r="AA7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map'!$F$2087:$J$2095,))))))))),BE71,FALSE),"-")</f>
        <v>-</v>
      </c>
      <c r="AB7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map'!$F$2087:$J$2095,))))))))),BF71,FALSE),"-")</f>
        <v>-</v>
      </c>
      <c r="AC71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map'!$F$2087:$J$2095,))))))))),BG71,FALSE),"-")</f>
        <v>-</v>
      </c>
      <c r="AD7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map'!$F$2087:$J$2095,))))))))),BH71,FALSE),"-")</f>
        <v>-</v>
      </c>
      <c r="BB71" s="12">
        <v>62</v>
      </c>
      <c r="BC71" s="12">
        <v>62</v>
      </c>
      <c r="BD71" s="12">
        <v>62</v>
      </c>
      <c r="BE71" s="12">
        <v>62</v>
      </c>
      <c r="BF71" s="12">
        <v>62</v>
      </c>
      <c r="BG71" s="12">
        <v>62</v>
      </c>
      <c r="BH71" s="12">
        <v>62</v>
      </c>
      <c r="BI71" s="12">
        <v>62</v>
      </c>
      <c r="BJ71" s="12">
        <v>62</v>
      </c>
      <c r="BK71" s="12">
        <v>62</v>
      </c>
      <c r="BL71" s="12">
        <v>62</v>
      </c>
      <c r="BM71" s="12">
        <v>62</v>
      </c>
      <c r="BN71" s="12">
        <v>62</v>
      </c>
      <c r="BO71" s="12">
        <v>62</v>
      </c>
      <c r="BP71" s="12">
        <v>62</v>
      </c>
      <c r="BQ71" s="12">
        <v>62</v>
      </c>
      <c r="BR71" s="12">
        <v>62</v>
      </c>
    </row>
    <row r="72" spans="26:70">
      <c r="Z7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map'!$F$2087:$J$2095,))))))))),BD72,FALSE),"-")</f>
        <v>-</v>
      </c>
      <c r="AA7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map'!$F$2087:$J$2095,))))))))),BE72,FALSE),"-")</f>
        <v>-</v>
      </c>
      <c r="AB7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map'!$F$2087:$J$2095,))))))))),BF72,FALSE),"-")</f>
        <v>-</v>
      </c>
      <c r="AC72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map'!$F$2087:$J$2095,))))))))),BG72,FALSE),"-")</f>
        <v>-</v>
      </c>
      <c r="AD7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map'!$F$2087:$J$2095,))))))))),BH72,FALSE),"-")</f>
        <v>-</v>
      </c>
      <c r="BB72" s="12">
        <v>63</v>
      </c>
      <c r="BC72" s="12">
        <v>63</v>
      </c>
      <c r="BD72" s="12">
        <v>63</v>
      </c>
      <c r="BE72" s="12">
        <v>63</v>
      </c>
      <c r="BF72" s="12">
        <v>63</v>
      </c>
      <c r="BG72" s="12">
        <v>63</v>
      </c>
      <c r="BH72" s="12">
        <v>63</v>
      </c>
      <c r="BI72" s="12">
        <v>63</v>
      </c>
      <c r="BJ72" s="12">
        <v>63</v>
      </c>
      <c r="BK72" s="12">
        <v>63</v>
      </c>
      <c r="BL72" s="12">
        <v>63</v>
      </c>
      <c r="BM72" s="12">
        <v>63</v>
      </c>
      <c r="BN72" s="12">
        <v>63</v>
      </c>
      <c r="BO72" s="12">
        <v>63</v>
      </c>
      <c r="BP72" s="12">
        <v>63</v>
      </c>
      <c r="BQ72" s="12">
        <v>63</v>
      </c>
      <c r="BR72" s="12">
        <v>63</v>
      </c>
    </row>
    <row r="73" spans="26:70">
      <c r="Z7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map'!$F$2087:$J$2095,))))))))),BD73,FALSE),"-")</f>
        <v>-</v>
      </c>
      <c r="AA7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map'!$F$2087:$J$2095,))))))))),BE73,FALSE),"-")</f>
        <v>-</v>
      </c>
      <c r="AB7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map'!$F$2087:$J$2095,))))))))),BF73,FALSE),"-")</f>
        <v>-</v>
      </c>
      <c r="AC73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map'!$F$2087:$J$2095,))))))))),BG73,FALSE),"-")</f>
        <v>-</v>
      </c>
      <c r="AD7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map'!$F$2087:$J$2095,))))))))),BH73,FALSE),"-")</f>
        <v>-</v>
      </c>
      <c r="BB73" s="12">
        <v>64</v>
      </c>
      <c r="BC73" s="12">
        <v>64</v>
      </c>
      <c r="BD73" s="12">
        <v>64</v>
      </c>
      <c r="BE73" s="12">
        <v>64</v>
      </c>
      <c r="BF73" s="12">
        <v>64</v>
      </c>
      <c r="BG73" s="12">
        <v>64</v>
      </c>
      <c r="BH73" s="12">
        <v>64</v>
      </c>
      <c r="BI73" s="12">
        <v>64</v>
      </c>
      <c r="BJ73" s="12">
        <v>64</v>
      </c>
      <c r="BK73" s="12">
        <v>64</v>
      </c>
      <c r="BL73" s="12">
        <v>64</v>
      </c>
      <c r="BM73" s="12">
        <v>64</v>
      </c>
      <c r="BN73" s="12">
        <v>64</v>
      </c>
      <c r="BO73" s="12">
        <v>64</v>
      </c>
      <c r="BP73" s="12">
        <v>64</v>
      </c>
      <c r="BQ73" s="12">
        <v>64</v>
      </c>
      <c r="BR73" s="12">
        <v>64</v>
      </c>
    </row>
    <row r="74" spans="26:70">
      <c r="Z7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map'!$F$2087:$J$2095,))))))))),BD74,FALSE),"-")</f>
        <v>-</v>
      </c>
      <c r="AA7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map'!$F$2087:$J$2095,))))))))),BE74,FALSE),"-")</f>
        <v>-</v>
      </c>
      <c r="AB7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map'!$F$2087:$J$2095,))))))))),BF74,FALSE),"-")</f>
        <v>-</v>
      </c>
      <c r="AC74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map'!$F$2087:$J$2095,))))))))),BG74,FALSE),"-")</f>
        <v>-</v>
      </c>
      <c r="AD7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map'!$F$2087:$J$2095,))))))))),BH74,FALSE),"-")</f>
        <v>-</v>
      </c>
      <c r="BB74" s="12">
        <v>65</v>
      </c>
      <c r="BC74" s="12">
        <v>65</v>
      </c>
      <c r="BD74" s="12">
        <v>65</v>
      </c>
      <c r="BE74" s="12">
        <v>65</v>
      </c>
      <c r="BF74" s="12">
        <v>65</v>
      </c>
      <c r="BG74" s="12">
        <v>65</v>
      </c>
      <c r="BH74" s="12">
        <v>65</v>
      </c>
      <c r="BI74" s="12">
        <v>65</v>
      </c>
      <c r="BJ74" s="12">
        <v>65</v>
      </c>
      <c r="BK74" s="12">
        <v>65</v>
      </c>
      <c r="BL74" s="12">
        <v>65</v>
      </c>
      <c r="BM74" s="12">
        <v>65</v>
      </c>
      <c r="BN74" s="12">
        <v>65</v>
      </c>
      <c r="BO74" s="12">
        <v>65</v>
      </c>
      <c r="BP74" s="12">
        <v>65</v>
      </c>
      <c r="BQ74" s="12">
        <v>65</v>
      </c>
      <c r="BR74" s="12">
        <v>65</v>
      </c>
    </row>
    <row r="75" spans="26:70">
      <c r="Z7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map'!$F$2087:$J$2095,))))))))),BD75,FALSE),"-")</f>
        <v>-</v>
      </c>
      <c r="AA7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map'!$F$2087:$J$2095,))))))))),BE75,FALSE),"-")</f>
        <v>-</v>
      </c>
      <c r="AB7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map'!$F$2087:$J$2095,))))))))),BF75,FALSE),"-")</f>
        <v>-</v>
      </c>
      <c r="AC75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map'!$F$2087:$J$2095,))))))))),BG75,FALSE),"-")</f>
        <v>-</v>
      </c>
      <c r="AD7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map'!$F$2087:$J$2095,))))))))),BH75,FALSE),"-")</f>
        <v>-</v>
      </c>
      <c r="BB75" s="12">
        <v>66</v>
      </c>
      <c r="BC75" s="12">
        <v>66</v>
      </c>
      <c r="BD75" s="12">
        <v>66</v>
      </c>
      <c r="BE75" s="12">
        <v>66</v>
      </c>
      <c r="BF75" s="12">
        <v>66</v>
      </c>
      <c r="BG75" s="12">
        <v>66</v>
      </c>
      <c r="BH75" s="12">
        <v>66</v>
      </c>
      <c r="BI75" s="12">
        <v>66</v>
      </c>
      <c r="BJ75" s="12">
        <v>66</v>
      </c>
      <c r="BK75" s="12">
        <v>66</v>
      </c>
      <c r="BL75" s="12">
        <v>66</v>
      </c>
      <c r="BM75" s="12">
        <v>66</v>
      </c>
      <c r="BN75" s="12">
        <v>66</v>
      </c>
      <c r="BO75" s="12">
        <v>66</v>
      </c>
      <c r="BP75" s="12">
        <v>66</v>
      </c>
      <c r="BQ75" s="12">
        <v>66</v>
      </c>
      <c r="BR75" s="12">
        <v>66</v>
      </c>
    </row>
    <row r="76" spans="26:70">
      <c r="Z7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map'!$F$2087:$J$2095,))))))))),BD76,FALSE),"-")</f>
        <v>-</v>
      </c>
      <c r="AA7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map'!$F$2087:$J$2095,))))))))),BE76,FALSE),"-")</f>
        <v>-</v>
      </c>
      <c r="AB7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map'!$F$2087:$J$2095,))))))))),BF76,FALSE),"-")</f>
        <v>-</v>
      </c>
      <c r="AC76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map'!$F$2087:$J$2095,))))))))),BG76,FALSE),"-")</f>
        <v>-</v>
      </c>
      <c r="AD7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map'!$F$2087:$J$2095,))))))))),BH76,FALSE),"-")</f>
        <v>-</v>
      </c>
      <c r="BB76" s="12">
        <v>67</v>
      </c>
      <c r="BC76" s="12">
        <v>67</v>
      </c>
      <c r="BD76" s="12">
        <v>67</v>
      </c>
      <c r="BE76" s="12">
        <v>67</v>
      </c>
      <c r="BF76" s="12">
        <v>67</v>
      </c>
      <c r="BG76" s="12">
        <v>67</v>
      </c>
      <c r="BH76" s="12">
        <v>67</v>
      </c>
      <c r="BI76" s="12">
        <v>67</v>
      </c>
      <c r="BJ76" s="12">
        <v>67</v>
      </c>
      <c r="BK76" s="12">
        <v>67</v>
      </c>
      <c r="BL76" s="12">
        <v>67</v>
      </c>
      <c r="BM76" s="12">
        <v>67</v>
      </c>
      <c r="BN76" s="12">
        <v>67</v>
      </c>
      <c r="BO76" s="12">
        <v>67</v>
      </c>
      <c r="BP76" s="12">
        <v>67</v>
      </c>
      <c r="BQ76" s="12">
        <v>67</v>
      </c>
      <c r="BR76" s="12">
        <v>67</v>
      </c>
    </row>
    <row r="77" spans="26:70">
      <c r="Z7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map'!$F$2087:$J$2095,))))))))),BD77,FALSE),"-")</f>
        <v>-</v>
      </c>
      <c r="AA7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map'!$F$2087:$J$2095,))))))))),BE77,FALSE),"-")</f>
        <v>-</v>
      </c>
      <c r="AB7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map'!$F$2087:$J$2095,))))))))),BF77,FALSE),"-")</f>
        <v>-</v>
      </c>
      <c r="AC77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map'!$F$2087:$J$2095,))))))))),BG77,FALSE),"-")</f>
        <v>-</v>
      </c>
      <c r="AD7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map'!$F$2087:$J$2095,))))))))),BH77,FALSE),"-")</f>
        <v>-</v>
      </c>
      <c r="BB77" s="12">
        <v>68</v>
      </c>
      <c r="BC77" s="12">
        <v>68</v>
      </c>
      <c r="BD77" s="12">
        <v>68</v>
      </c>
      <c r="BE77" s="12">
        <v>68</v>
      </c>
      <c r="BF77" s="12">
        <v>68</v>
      </c>
      <c r="BG77" s="12">
        <v>68</v>
      </c>
      <c r="BH77" s="12">
        <v>68</v>
      </c>
      <c r="BI77" s="12">
        <v>68</v>
      </c>
      <c r="BJ77" s="12">
        <v>68</v>
      </c>
      <c r="BK77" s="12">
        <v>68</v>
      </c>
      <c r="BL77" s="12">
        <v>68</v>
      </c>
      <c r="BM77" s="12">
        <v>68</v>
      </c>
      <c r="BN77" s="12">
        <v>68</v>
      </c>
      <c r="BO77" s="12">
        <v>68</v>
      </c>
      <c r="BP77" s="12">
        <v>68</v>
      </c>
      <c r="BQ77" s="12">
        <v>68</v>
      </c>
      <c r="BR77" s="12">
        <v>68</v>
      </c>
    </row>
    <row r="78" spans="26:70">
      <c r="Z7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map'!$F$2087:$J$2095,))))))))),BD78,FALSE),"-")</f>
        <v>-</v>
      </c>
      <c r="AA7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map'!$F$2087:$J$2095,))))))))),BE78,FALSE),"-")</f>
        <v>-</v>
      </c>
      <c r="AB7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map'!$F$2087:$J$2095,))))))))),BF78,FALSE),"-")</f>
        <v>-</v>
      </c>
      <c r="AC78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map'!$F$2087:$J$2095,))))))))),BG78,FALSE),"-")</f>
        <v>-</v>
      </c>
      <c r="AD7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map'!$F$2087:$J$2095,))))))))),BH78,FALSE),"-")</f>
        <v>-</v>
      </c>
      <c r="BB78" s="12">
        <v>69</v>
      </c>
      <c r="BC78" s="12">
        <v>69</v>
      </c>
      <c r="BD78" s="12">
        <v>69</v>
      </c>
      <c r="BE78" s="12">
        <v>69</v>
      </c>
      <c r="BF78" s="12">
        <v>69</v>
      </c>
      <c r="BG78" s="12">
        <v>69</v>
      </c>
      <c r="BH78" s="12">
        <v>69</v>
      </c>
      <c r="BI78" s="12">
        <v>69</v>
      </c>
      <c r="BJ78" s="12">
        <v>69</v>
      </c>
      <c r="BK78" s="12">
        <v>69</v>
      </c>
      <c r="BL78" s="12">
        <v>69</v>
      </c>
      <c r="BM78" s="12">
        <v>69</v>
      </c>
      <c r="BN78" s="12">
        <v>69</v>
      </c>
      <c r="BO78" s="12">
        <v>69</v>
      </c>
      <c r="BP78" s="12">
        <v>69</v>
      </c>
      <c r="BQ78" s="12">
        <v>69</v>
      </c>
      <c r="BR78" s="12">
        <v>69</v>
      </c>
    </row>
    <row r="79" spans="26:70">
      <c r="Z7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map'!$F$2087:$J$2095,))))))))),BD79,FALSE),"-")</f>
        <v>-</v>
      </c>
      <c r="AA7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map'!$F$2087:$J$2095,))))))))),BE79,FALSE),"-")</f>
        <v>-</v>
      </c>
      <c r="AB7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map'!$F$2087:$J$2095,))))))))),BF79,FALSE),"-")</f>
        <v>-</v>
      </c>
      <c r="AC79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map'!$F$2087:$J$2095,))))))))),BG79,FALSE),"-")</f>
        <v>-</v>
      </c>
      <c r="AD7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map'!$F$2087:$J$2095,))))))))),BH79,FALSE),"-")</f>
        <v>-</v>
      </c>
      <c r="BB79" s="12">
        <v>70</v>
      </c>
      <c r="BC79" s="12">
        <v>70</v>
      </c>
      <c r="BD79" s="12">
        <v>70</v>
      </c>
      <c r="BE79" s="12">
        <v>70</v>
      </c>
      <c r="BF79" s="12">
        <v>70</v>
      </c>
      <c r="BG79" s="12">
        <v>70</v>
      </c>
      <c r="BH79" s="12">
        <v>70</v>
      </c>
      <c r="BI79" s="12">
        <v>70</v>
      </c>
      <c r="BJ79" s="12">
        <v>70</v>
      </c>
      <c r="BK79" s="12">
        <v>70</v>
      </c>
      <c r="BL79" s="12">
        <v>70</v>
      </c>
      <c r="BM79" s="12">
        <v>70</v>
      </c>
      <c r="BN79" s="12">
        <v>70</v>
      </c>
      <c r="BO79" s="12">
        <v>70</v>
      </c>
      <c r="BP79" s="12">
        <v>70</v>
      </c>
      <c r="BQ79" s="12">
        <v>70</v>
      </c>
      <c r="BR79" s="12">
        <v>70</v>
      </c>
    </row>
    <row r="80" spans="26:70">
      <c r="Z8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map'!$F$2087:$J$2095,))))))))),BD80,FALSE),"-")</f>
        <v>-</v>
      </c>
      <c r="AA8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map'!$F$2087:$J$2095,))))))))),BE80,FALSE),"-")</f>
        <v>-</v>
      </c>
      <c r="AB8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map'!$F$2087:$J$2095,))))))))),BF80,FALSE),"-")</f>
        <v>-</v>
      </c>
      <c r="AC80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map'!$F$2087:$J$2095,))))))))),BG80,FALSE),"-")</f>
        <v>-</v>
      </c>
      <c r="AD8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map'!$F$2087:$J$2095,))))))))),BH80,FALSE),"-")</f>
        <v>-</v>
      </c>
      <c r="BB80" s="12">
        <v>71</v>
      </c>
      <c r="BC80" s="12">
        <v>71</v>
      </c>
      <c r="BD80" s="12">
        <v>71</v>
      </c>
      <c r="BE80" s="12">
        <v>71</v>
      </c>
      <c r="BF80" s="12">
        <v>71</v>
      </c>
      <c r="BG80" s="12">
        <v>71</v>
      </c>
      <c r="BH80" s="12">
        <v>71</v>
      </c>
      <c r="BI80" s="12">
        <v>71</v>
      </c>
      <c r="BJ80" s="12">
        <v>71</v>
      </c>
      <c r="BK80" s="12">
        <v>71</v>
      </c>
      <c r="BL80" s="12">
        <v>71</v>
      </c>
      <c r="BM80" s="12">
        <v>71</v>
      </c>
      <c r="BN80" s="12">
        <v>71</v>
      </c>
      <c r="BO80" s="12">
        <v>71</v>
      </c>
      <c r="BP80" s="12">
        <v>71</v>
      </c>
      <c r="BQ80" s="12">
        <v>71</v>
      </c>
      <c r="BR80" s="12">
        <v>71</v>
      </c>
    </row>
    <row r="81" spans="26:70">
      <c r="Z8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map'!$F$2087:$J$2095,))))))))),BD81,FALSE),"-")</f>
        <v>-</v>
      </c>
      <c r="AA8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map'!$F$2087:$J$2095,))))))))),BE81,FALSE),"-")</f>
        <v>-</v>
      </c>
      <c r="AB8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map'!$F$2087:$J$2095,))))))))),BF81,FALSE),"-")</f>
        <v>-</v>
      </c>
      <c r="AC81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map'!$F$2087:$J$2095,))))))))),BG81,FALSE),"-")</f>
        <v>-</v>
      </c>
      <c r="AD8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map'!$F$2087:$J$2095,))))))))),BH81,FALSE),"-")</f>
        <v>-</v>
      </c>
      <c r="BB81" s="12">
        <v>72</v>
      </c>
      <c r="BC81" s="12">
        <v>72</v>
      </c>
      <c r="BD81" s="12">
        <v>72</v>
      </c>
      <c r="BE81" s="12">
        <v>72</v>
      </c>
      <c r="BF81" s="12">
        <v>72</v>
      </c>
      <c r="BG81" s="12">
        <v>72</v>
      </c>
      <c r="BH81" s="12">
        <v>72</v>
      </c>
      <c r="BI81" s="12">
        <v>72</v>
      </c>
      <c r="BJ81" s="12">
        <v>72</v>
      </c>
      <c r="BK81" s="12">
        <v>72</v>
      </c>
      <c r="BL81" s="12">
        <v>72</v>
      </c>
      <c r="BM81" s="12">
        <v>72</v>
      </c>
      <c r="BN81" s="12">
        <v>72</v>
      </c>
      <c r="BO81" s="12">
        <v>72</v>
      </c>
      <c r="BP81" s="12">
        <v>72</v>
      </c>
      <c r="BQ81" s="12">
        <v>72</v>
      </c>
      <c r="BR81" s="12">
        <v>72</v>
      </c>
    </row>
    <row r="82" spans="26:70">
      <c r="Z8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map'!$F$2087:$J$2095,))))))))),BD82,FALSE),"-")</f>
        <v>-</v>
      </c>
      <c r="AA8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map'!$F$2087:$J$2095,))))))))),BE82,FALSE),"-")</f>
        <v>-</v>
      </c>
      <c r="AB8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map'!$F$2087:$J$2095,))))))))),BF82,FALSE),"-")</f>
        <v>-</v>
      </c>
      <c r="AC82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map'!$F$2087:$J$2095,))))))))),BG82,FALSE),"-")</f>
        <v>-</v>
      </c>
      <c r="AD8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map'!$F$2087:$J$2095,))))))))),BH82,FALSE),"-")</f>
        <v>-</v>
      </c>
      <c r="BB82" s="12">
        <v>73</v>
      </c>
      <c r="BC82" s="12">
        <v>73</v>
      </c>
      <c r="BD82" s="12">
        <v>73</v>
      </c>
      <c r="BE82" s="12">
        <v>73</v>
      </c>
      <c r="BF82" s="12">
        <v>73</v>
      </c>
      <c r="BG82" s="12">
        <v>73</v>
      </c>
      <c r="BH82" s="12">
        <v>73</v>
      </c>
      <c r="BI82" s="12">
        <v>73</v>
      </c>
      <c r="BJ82" s="12">
        <v>73</v>
      </c>
      <c r="BK82" s="12">
        <v>73</v>
      </c>
      <c r="BL82" s="12">
        <v>73</v>
      </c>
      <c r="BM82" s="12">
        <v>73</v>
      </c>
      <c r="BN82" s="12">
        <v>73</v>
      </c>
      <c r="BO82" s="12">
        <v>73</v>
      </c>
      <c r="BP82" s="12">
        <v>73</v>
      </c>
      <c r="BQ82" s="12">
        <v>73</v>
      </c>
      <c r="BR82" s="12">
        <v>73</v>
      </c>
    </row>
    <row r="83" spans="26:70">
      <c r="Z8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map'!$F$2087:$J$2095,))))))))),BD83,FALSE),"-")</f>
        <v>-</v>
      </c>
      <c r="AA8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map'!$F$2087:$J$2095,))))))))),BE83,FALSE),"-")</f>
        <v>-</v>
      </c>
      <c r="AB8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map'!$F$2087:$J$2095,))))))))),BF83,FALSE),"-")</f>
        <v>-</v>
      </c>
      <c r="AC83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map'!$F$2087:$J$2095,))))))))),BG83,FALSE),"-")</f>
        <v>-</v>
      </c>
      <c r="AD8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map'!$F$2087:$J$2095,))))))))),BH83,FALSE),"-")</f>
        <v>-</v>
      </c>
      <c r="BB83" s="12">
        <v>74</v>
      </c>
      <c r="BC83" s="12">
        <v>74</v>
      </c>
      <c r="BD83" s="12">
        <v>74</v>
      </c>
      <c r="BE83" s="12">
        <v>74</v>
      </c>
      <c r="BF83" s="12">
        <v>74</v>
      </c>
      <c r="BG83" s="12">
        <v>74</v>
      </c>
      <c r="BH83" s="12">
        <v>74</v>
      </c>
      <c r="BI83" s="12">
        <v>74</v>
      </c>
      <c r="BJ83" s="12">
        <v>74</v>
      </c>
      <c r="BK83" s="12">
        <v>74</v>
      </c>
      <c r="BL83" s="12">
        <v>74</v>
      </c>
      <c r="BM83" s="12">
        <v>74</v>
      </c>
      <c r="BN83" s="12">
        <v>74</v>
      </c>
      <c r="BO83" s="12">
        <v>74</v>
      </c>
      <c r="BP83" s="12">
        <v>74</v>
      </c>
      <c r="BQ83" s="12">
        <v>74</v>
      </c>
      <c r="BR83" s="12">
        <v>74</v>
      </c>
    </row>
    <row r="84" spans="26:70">
      <c r="Z8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map'!$F$2087:$J$2095,))))))))),BD84,FALSE),"-")</f>
        <v>-</v>
      </c>
      <c r="AA8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map'!$F$2087:$J$2095,))))))))),BE84,FALSE),"-")</f>
        <v>-</v>
      </c>
      <c r="AB8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map'!$F$2087:$J$2095,))))))))),BF84,FALSE),"-")</f>
        <v>-</v>
      </c>
      <c r="AC84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map'!$F$2087:$J$2095,))))))))),BG84,FALSE),"-")</f>
        <v>-</v>
      </c>
      <c r="AD8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map'!$F$2087:$J$2095,))))))))),BH84,FALSE),"-")</f>
        <v>-</v>
      </c>
      <c r="BB84" s="12">
        <v>75</v>
      </c>
      <c r="BC84" s="12">
        <v>75</v>
      </c>
      <c r="BD84" s="12">
        <v>75</v>
      </c>
      <c r="BE84" s="12">
        <v>75</v>
      </c>
      <c r="BF84" s="12">
        <v>75</v>
      </c>
      <c r="BG84" s="12">
        <v>75</v>
      </c>
      <c r="BH84" s="12">
        <v>75</v>
      </c>
      <c r="BI84" s="12">
        <v>75</v>
      </c>
      <c r="BJ84" s="12">
        <v>75</v>
      </c>
      <c r="BK84" s="12">
        <v>75</v>
      </c>
      <c r="BL84" s="12">
        <v>75</v>
      </c>
      <c r="BM84" s="12">
        <v>75</v>
      </c>
      <c r="BN84" s="12">
        <v>75</v>
      </c>
      <c r="BO84" s="12">
        <v>75</v>
      </c>
      <c r="BP84" s="12">
        <v>75</v>
      </c>
      <c r="BQ84" s="12">
        <v>75</v>
      </c>
      <c r="BR84" s="12">
        <v>75</v>
      </c>
    </row>
    <row r="85" spans="26:70">
      <c r="Z8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map'!$F$2087:$J$2095,))))))))),BD85,FALSE),"-")</f>
        <v>-</v>
      </c>
      <c r="AA8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map'!$F$2087:$J$2095,))))))))),BE85,FALSE),"-")</f>
        <v>-</v>
      </c>
      <c r="AB8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map'!$F$2087:$J$2095,))))))))),BF85,FALSE),"-")</f>
        <v>-</v>
      </c>
      <c r="AC85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map'!$F$2087:$J$2095,))))))))),BG85,FALSE),"-")</f>
        <v>-</v>
      </c>
      <c r="AD8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map'!$F$2087:$J$2095,))))))))),BH85,FALSE),"-")</f>
        <v>-</v>
      </c>
      <c r="BB85" s="12">
        <v>76</v>
      </c>
      <c r="BC85" s="12">
        <v>76</v>
      </c>
      <c r="BD85" s="12">
        <v>76</v>
      </c>
      <c r="BE85" s="12">
        <v>76</v>
      </c>
      <c r="BF85" s="12">
        <v>76</v>
      </c>
      <c r="BG85" s="12">
        <v>76</v>
      </c>
      <c r="BH85" s="12">
        <v>76</v>
      </c>
      <c r="BI85" s="12">
        <v>76</v>
      </c>
      <c r="BJ85" s="12">
        <v>76</v>
      </c>
      <c r="BK85" s="12">
        <v>76</v>
      </c>
      <c r="BL85" s="12">
        <v>76</v>
      </c>
      <c r="BM85" s="12">
        <v>76</v>
      </c>
      <c r="BN85" s="12">
        <v>76</v>
      </c>
      <c r="BO85" s="12">
        <v>76</v>
      </c>
      <c r="BP85" s="12">
        <v>76</v>
      </c>
      <c r="BQ85" s="12">
        <v>76</v>
      </c>
      <c r="BR85" s="12">
        <v>76</v>
      </c>
    </row>
    <row r="86" spans="26:70">
      <c r="Z8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map'!$F$2087:$J$2095,))))))))),BD86,FALSE),"-")</f>
        <v>-</v>
      </c>
      <c r="AA8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map'!$F$2087:$J$2095,))))))))),BE86,FALSE),"-")</f>
        <v>-</v>
      </c>
      <c r="AB8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map'!$F$2087:$J$2095,))))))))),BF86,FALSE),"-")</f>
        <v>-</v>
      </c>
      <c r="AC86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map'!$F$2087:$J$2095,))))))))),BG86,FALSE),"-")</f>
        <v>-</v>
      </c>
      <c r="AD8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map'!$F$2087:$J$2095,))))))))),BH86,FALSE),"-")</f>
        <v>-</v>
      </c>
      <c r="BB86" s="12">
        <v>77</v>
      </c>
      <c r="BC86" s="12">
        <v>77</v>
      </c>
      <c r="BD86" s="12">
        <v>77</v>
      </c>
      <c r="BE86" s="12">
        <v>77</v>
      </c>
      <c r="BF86" s="12">
        <v>77</v>
      </c>
      <c r="BG86" s="12">
        <v>77</v>
      </c>
      <c r="BH86" s="12">
        <v>77</v>
      </c>
      <c r="BI86" s="12">
        <v>77</v>
      </c>
      <c r="BJ86" s="12">
        <v>77</v>
      </c>
      <c r="BK86" s="12">
        <v>77</v>
      </c>
      <c r="BL86" s="12">
        <v>77</v>
      </c>
      <c r="BM86" s="12">
        <v>77</v>
      </c>
      <c r="BN86" s="12">
        <v>77</v>
      </c>
      <c r="BO86" s="12">
        <v>77</v>
      </c>
      <c r="BP86" s="12">
        <v>77</v>
      </c>
      <c r="BQ86" s="12">
        <v>77</v>
      </c>
      <c r="BR86" s="12">
        <v>77</v>
      </c>
    </row>
    <row r="87" spans="26:70">
      <c r="Z8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map'!$F$2087:$J$2095,))))))))),BD87,FALSE),"-")</f>
        <v>-</v>
      </c>
      <c r="AA8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map'!$F$2087:$J$2095,))))))))),BE87,FALSE),"-")</f>
        <v>-</v>
      </c>
      <c r="AB8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map'!$F$2087:$J$2095,))))))))),BF87,FALSE),"-")</f>
        <v>-</v>
      </c>
      <c r="AC87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map'!$F$2087:$J$2095,))))))))),BG87,FALSE),"-")</f>
        <v>-</v>
      </c>
      <c r="AD8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map'!$F$2087:$J$2095,))))))))),BH87,FALSE),"-")</f>
        <v>-</v>
      </c>
      <c r="BB87" s="12">
        <v>78</v>
      </c>
      <c r="BC87" s="12">
        <v>78</v>
      </c>
      <c r="BD87" s="12">
        <v>78</v>
      </c>
      <c r="BE87" s="12">
        <v>78</v>
      </c>
      <c r="BF87" s="12">
        <v>78</v>
      </c>
      <c r="BG87" s="12">
        <v>78</v>
      </c>
      <c r="BH87" s="12">
        <v>78</v>
      </c>
      <c r="BI87" s="12">
        <v>78</v>
      </c>
      <c r="BJ87" s="12">
        <v>78</v>
      </c>
      <c r="BK87" s="12">
        <v>78</v>
      </c>
      <c r="BL87" s="12">
        <v>78</v>
      </c>
      <c r="BM87" s="12">
        <v>78</v>
      </c>
      <c r="BN87" s="12">
        <v>78</v>
      </c>
      <c r="BO87" s="12">
        <v>78</v>
      </c>
      <c r="BP87" s="12">
        <v>78</v>
      </c>
      <c r="BQ87" s="12">
        <v>78</v>
      </c>
      <c r="BR87" s="12">
        <v>78</v>
      </c>
    </row>
    <row r="88" spans="26:70">
      <c r="Z8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map'!$F$2087:$J$2095,))))))))),BD88,FALSE),"-")</f>
        <v>-</v>
      </c>
      <c r="AA8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map'!$F$2087:$J$2095,))))))))),BE88,FALSE),"-")</f>
        <v>-</v>
      </c>
      <c r="AB8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map'!$F$2087:$J$2095,))))))))),BF88,FALSE),"-")</f>
        <v>-</v>
      </c>
      <c r="AC88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map'!$F$2087:$J$2095,))))))))),BG88,FALSE),"-")</f>
        <v>-</v>
      </c>
      <c r="AD8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map'!$F$2087:$J$2095,))))))))),BH88,FALSE),"-")</f>
        <v>-</v>
      </c>
      <c r="BB88" s="12">
        <v>79</v>
      </c>
      <c r="BC88" s="12">
        <v>79</v>
      </c>
      <c r="BD88" s="12">
        <v>79</v>
      </c>
      <c r="BE88" s="12">
        <v>79</v>
      </c>
      <c r="BF88" s="12">
        <v>79</v>
      </c>
      <c r="BG88" s="12">
        <v>79</v>
      </c>
      <c r="BH88" s="12">
        <v>79</v>
      </c>
      <c r="BI88" s="12">
        <v>79</v>
      </c>
      <c r="BJ88" s="12">
        <v>79</v>
      </c>
      <c r="BK88" s="12">
        <v>79</v>
      </c>
      <c r="BL88" s="12">
        <v>79</v>
      </c>
      <c r="BM88" s="12">
        <v>79</v>
      </c>
      <c r="BN88" s="12">
        <v>79</v>
      </c>
      <c r="BO88" s="12">
        <v>79</v>
      </c>
      <c r="BP88" s="12">
        <v>79</v>
      </c>
      <c r="BQ88" s="12">
        <v>79</v>
      </c>
      <c r="BR88" s="12">
        <v>79</v>
      </c>
    </row>
    <row r="89" spans="26:70">
      <c r="Z8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map'!$F$2087:$J$2095,))))))))),BD89,FALSE),"-")</f>
        <v>-</v>
      </c>
      <c r="AA8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map'!$F$2087:$J$2095,))))))))),BE89,FALSE),"-")</f>
        <v>-</v>
      </c>
      <c r="AB8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map'!$F$2087:$J$2095,))))))))),BF89,FALSE),"-")</f>
        <v>-</v>
      </c>
      <c r="AC89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map'!$F$2087:$J$2095,))))))))),BG89,FALSE),"-")</f>
        <v>-</v>
      </c>
      <c r="AD8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map'!$F$2087:$J$2095,))))))))),BH89,FALSE),"-")</f>
        <v>-</v>
      </c>
      <c r="BB89" s="12">
        <v>80</v>
      </c>
      <c r="BC89" s="12">
        <v>80</v>
      </c>
      <c r="BD89" s="12">
        <v>80</v>
      </c>
      <c r="BE89" s="12">
        <v>80</v>
      </c>
      <c r="BF89" s="12">
        <v>80</v>
      </c>
      <c r="BG89" s="12">
        <v>80</v>
      </c>
      <c r="BH89" s="12">
        <v>80</v>
      </c>
      <c r="BI89" s="12">
        <v>80</v>
      </c>
      <c r="BJ89" s="12">
        <v>80</v>
      </c>
      <c r="BK89" s="12">
        <v>80</v>
      </c>
      <c r="BL89" s="12">
        <v>80</v>
      </c>
      <c r="BM89" s="12">
        <v>80</v>
      </c>
      <c r="BN89" s="12">
        <v>80</v>
      </c>
      <c r="BO89" s="12">
        <v>80</v>
      </c>
      <c r="BP89" s="12">
        <v>80</v>
      </c>
      <c r="BQ89" s="12">
        <v>80</v>
      </c>
      <c r="BR89" s="12">
        <v>80</v>
      </c>
    </row>
    <row r="90" spans="26:70">
      <c r="Z9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map'!$F$2087:$J$2095,))))))))),BD90,FALSE),"-")</f>
        <v>-</v>
      </c>
      <c r="AA9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map'!$F$2087:$J$2095,))))))))),BE90,FALSE),"-")</f>
        <v>-</v>
      </c>
      <c r="AB9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map'!$F$2087:$J$2095,))))))))),BF90,FALSE),"-")</f>
        <v>-</v>
      </c>
      <c r="AC90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map'!$F$2087:$J$2095,))))))))),BG90,FALSE),"-")</f>
        <v>-</v>
      </c>
      <c r="AD9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map'!$F$2087:$J$2095,))))))))),BH90,FALSE),"-")</f>
        <v>-</v>
      </c>
      <c r="BB90" s="12">
        <v>81</v>
      </c>
      <c r="BC90" s="12">
        <v>81</v>
      </c>
      <c r="BD90" s="12">
        <v>81</v>
      </c>
      <c r="BE90" s="12">
        <v>81</v>
      </c>
      <c r="BF90" s="12">
        <v>81</v>
      </c>
      <c r="BG90" s="12">
        <v>81</v>
      </c>
      <c r="BH90" s="12">
        <v>81</v>
      </c>
      <c r="BI90" s="12">
        <v>81</v>
      </c>
      <c r="BJ90" s="12">
        <v>81</v>
      </c>
      <c r="BK90" s="12">
        <v>81</v>
      </c>
      <c r="BL90" s="12">
        <v>81</v>
      </c>
      <c r="BM90" s="12">
        <v>81</v>
      </c>
      <c r="BN90" s="12">
        <v>81</v>
      </c>
      <c r="BO90" s="12">
        <v>81</v>
      </c>
      <c r="BP90" s="12">
        <v>81</v>
      </c>
      <c r="BQ90" s="12">
        <v>81</v>
      </c>
      <c r="BR90" s="12">
        <v>81</v>
      </c>
    </row>
    <row r="91" spans="26:70">
      <c r="Z9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map'!$F$2087:$J$2095,))))))))),BD91,FALSE),"-")</f>
        <v>-</v>
      </c>
      <c r="AA9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map'!$F$2087:$J$2095,))))))))),BE91,FALSE),"-")</f>
        <v>-</v>
      </c>
      <c r="AB9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map'!$F$2087:$J$2095,))))))))),BF91,FALSE),"-")</f>
        <v>-</v>
      </c>
      <c r="AC91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map'!$F$2087:$J$2095,))))))))),BG91,FALSE),"-")</f>
        <v>-</v>
      </c>
      <c r="AD9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map'!$F$2087:$J$2095,))))))))),BH91,FALSE),"-")</f>
        <v>-</v>
      </c>
      <c r="BB91" s="12">
        <v>82</v>
      </c>
      <c r="BC91" s="12">
        <v>82</v>
      </c>
      <c r="BD91" s="12">
        <v>82</v>
      </c>
      <c r="BE91" s="12">
        <v>82</v>
      </c>
      <c r="BF91" s="12">
        <v>82</v>
      </c>
      <c r="BG91" s="12">
        <v>82</v>
      </c>
      <c r="BH91" s="12">
        <v>82</v>
      </c>
      <c r="BI91" s="12">
        <v>82</v>
      </c>
      <c r="BJ91" s="12">
        <v>82</v>
      </c>
      <c r="BK91" s="12">
        <v>82</v>
      </c>
      <c r="BL91" s="12">
        <v>82</v>
      </c>
      <c r="BM91" s="12">
        <v>82</v>
      </c>
      <c r="BN91" s="12">
        <v>82</v>
      </c>
      <c r="BO91" s="12">
        <v>82</v>
      </c>
      <c r="BP91" s="12">
        <v>82</v>
      </c>
      <c r="BQ91" s="12">
        <v>82</v>
      </c>
      <c r="BR91" s="12">
        <v>82</v>
      </c>
    </row>
    <row r="92" spans="26:70">
      <c r="Z9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map'!$F$2087:$J$2095,))))))))),BD92,FALSE),"-")</f>
        <v>-</v>
      </c>
      <c r="AA9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map'!$F$2087:$J$2095,))))))))),BE92,FALSE),"-")</f>
        <v>-</v>
      </c>
      <c r="AB9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map'!$F$2087:$J$2095,))))))))),BF92,FALSE),"-")</f>
        <v>-</v>
      </c>
      <c r="AC92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map'!$F$2087:$J$2095,))))))))),BG92,FALSE),"-")</f>
        <v>-</v>
      </c>
      <c r="AD9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map'!$F$2087:$J$2095,))))))))),BH92,FALSE),"-")</f>
        <v>-</v>
      </c>
      <c r="BB92" s="12">
        <v>83</v>
      </c>
      <c r="BC92" s="12">
        <v>83</v>
      </c>
      <c r="BD92" s="12">
        <v>83</v>
      </c>
      <c r="BE92" s="12">
        <v>83</v>
      </c>
      <c r="BF92" s="12">
        <v>83</v>
      </c>
      <c r="BG92" s="12">
        <v>83</v>
      </c>
      <c r="BH92" s="12">
        <v>83</v>
      </c>
      <c r="BI92" s="12">
        <v>83</v>
      </c>
      <c r="BJ92" s="12">
        <v>83</v>
      </c>
      <c r="BK92" s="12">
        <v>83</v>
      </c>
      <c r="BL92" s="12">
        <v>83</v>
      </c>
      <c r="BM92" s="12">
        <v>83</v>
      </c>
      <c r="BN92" s="12">
        <v>83</v>
      </c>
      <c r="BO92" s="12">
        <v>83</v>
      </c>
      <c r="BP92" s="12">
        <v>83</v>
      </c>
      <c r="BQ92" s="12">
        <v>83</v>
      </c>
      <c r="BR92" s="12">
        <v>83</v>
      </c>
    </row>
    <row r="93" spans="26:70">
      <c r="Z9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map'!$F$2087:$J$2095,))))))))),BD93,FALSE),"-")</f>
        <v>-</v>
      </c>
      <c r="AA9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map'!$F$2087:$J$2095,))))))))),BE93,FALSE),"-")</f>
        <v>-</v>
      </c>
      <c r="AB9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map'!$F$2087:$J$2095,))))))))),BF93,FALSE),"-")</f>
        <v>-</v>
      </c>
      <c r="AC93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map'!$F$2087:$J$2095,))))))))),BG93,FALSE),"-")</f>
        <v>-</v>
      </c>
      <c r="AD9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map'!$F$2087:$J$2095,))))))))),BH93,FALSE),"-")</f>
        <v>-</v>
      </c>
      <c r="BB93" s="12">
        <v>84</v>
      </c>
      <c r="BC93" s="12">
        <v>84</v>
      </c>
      <c r="BD93" s="12">
        <v>84</v>
      </c>
      <c r="BE93" s="12">
        <v>84</v>
      </c>
      <c r="BF93" s="12">
        <v>84</v>
      </c>
      <c r="BG93" s="12">
        <v>84</v>
      </c>
      <c r="BH93" s="12">
        <v>84</v>
      </c>
      <c r="BI93" s="12">
        <v>84</v>
      </c>
      <c r="BJ93" s="12">
        <v>84</v>
      </c>
      <c r="BK93" s="12">
        <v>84</v>
      </c>
      <c r="BL93" s="12">
        <v>84</v>
      </c>
      <c r="BM93" s="12">
        <v>84</v>
      </c>
      <c r="BN93" s="12">
        <v>84</v>
      </c>
      <c r="BO93" s="12">
        <v>84</v>
      </c>
      <c r="BP93" s="12">
        <v>84</v>
      </c>
      <c r="BQ93" s="12">
        <v>84</v>
      </c>
      <c r="BR93" s="12">
        <v>84</v>
      </c>
    </row>
    <row r="94" spans="26:70">
      <c r="Z9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map'!$F$2087:$J$2095,))))))))),BD94,FALSE),"-")</f>
        <v>-</v>
      </c>
      <c r="AA9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map'!$F$2087:$J$2095,))))))))),BE94,FALSE),"-")</f>
        <v>-</v>
      </c>
      <c r="AB9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map'!$F$2087:$J$2095,))))))))),BF94,FALSE),"-")</f>
        <v>-</v>
      </c>
      <c r="AC94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map'!$F$2087:$J$2095,))))))))),BG94,FALSE),"-")</f>
        <v>-</v>
      </c>
      <c r="AD9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map'!$F$2087:$J$2095,))))))))),BH94,FALSE),"-")</f>
        <v>-</v>
      </c>
      <c r="BB94" s="12">
        <v>85</v>
      </c>
      <c r="BC94" s="12">
        <v>85</v>
      </c>
      <c r="BD94" s="12">
        <v>85</v>
      </c>
      <c r="BE94" s="12">
        <v>85</v>
      </c>
      <c r="BF94" s="12">
        <v>85</v>
      </c>
      <c r="BG94" s="12">
        <v>85</v>
      </c>
      <c r="BH94" s="12">
        <v>85</v>
      </c>
      <c r="BI94" s="12">
        <v>85</v>
      </c>
      <c r="BJ94" s="12">
        <v>85</v>
      </c>
      <c r="BK94" s="12">
        <v>85</v>
      </c>
      <c r="BL94" s="12">
        <v>85</v>
      </c>
      <c r="BM94" s="12">
        <v>85</v>
      </c>
      <c r="BN94" s="12">
        <v>85</v>
      </c>
      <c r="BO94" s="12">
        <v>85</v>
      </c>
      <c r="BP94" s="12">
        <v>85</v>
      </c>
      <c r="BQ94" s="12">
        <v>85</v>
      </c>
      <c r="BR94" s="12">
        <v>85</v>
      </c>
    </row>
    <row r="95" spans="26:70">
      <c r="Z9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map'!$F$2087:$J$2095,))))))))),BD95,FALSE),"-")</f>
        <v>-</v>
      </c>
      <c r="AA9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map'!$F$2087:$J$2095,))))))))),BE95,FALSE),"-")</f>
        <v>-</v>
      </c>
      <c r="AB9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map'!$F$2087:$J$2095,))))))))),BF95,FALSE),"-")</f>
        <v>-</v>
      </c>
      <c r="AC95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map'!$F$2087:$J$2095,))))))))),BG95,FALSE),"-")</f>
        <v>-</v>
      </c>
      <c r="AD9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map'!$F$2087:$J$2095,))))))))),BH95,FALSE),"-")</f>
        <v>-</v>
      </c>
      <c r="BB95" s="12">
        <v>86</v>
      </c>
      <c r="BC95" s="12">
        <v>86</v>
      </c>
      <c r="BD95" s="12">
        <v>86</v>
      </c>
      <c r="BE95" s="12">
        <v>86</v>
      </c>
      <c r="BF95" s="12">
        <v>86</v>
      </c>
      <c r="BG95" s="12">
        <v>86</v>
      </c>
      <c r="BH95" s="12">
        <v>86</v>
      </c>
      <c r="BI95" s="12">
        <v>86</v>
      </c>
      <c r="BJ95" s="12">
        <v>86</v>
      </c>
      <c r="BK95" s="12">
        <v>86</v>
      </c>
      <c r="BL95" s="12">
        <v>86</v>
      </c>
      <c r="BM95" s="12">
        <v>86</v>
      </c>
      <c r="BN95" s="12">
        <v>86</v>
      </c>
      <c r="BO95" s="12">
        <v>86</v>
      </c>
      <c r="BP95" s="12">
        <v>86</v>
      </c>
      <c r="BQ95" s="12">
        <v>86</v>
      </c>
      <c r="BR95" s="12">
        <v>86</v>
      </c>
    </row>
    <row r="96" spans="26:70">
      <c r="Z9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map'!$F$2087:$J$2095,))))))))),BD96,FALSE),"-")</f>
        <v>-</v>
      </c>
      <c r="AA9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map'!$F$2087:$J$2095,))))))))),BE96,FALSE),"-")</f>
        <v>-</v>
      </c>
      <c r="AB9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map'!$F$2087:$J$2095,))))))))),BF96,FALSE),"-")</f>
        <v>-</v>
      </c>
      <c r="AC96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map'!$F$2087:$J$2095,))))))))),BG96,FALSE),"-")</f>
        <v>-</v>
      </c>
      <c r="AD9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map'!$F$2087:$J$2095,))))))))),BH96,FALSE),"-")</f>
        <v>-</v>
      </c>
      <c r="BB96" s="12">
        <v>87</v>
      </c>
      <c r="BC96" s="12">
        <v>87</v>
      </c>
      <c r="BD96" s="12">
        <v>87</v>
      </c>
      <c r="BE96" s="12">
        <v>87</v>
      </c>
      <c r="BF96" s="12">
        <v>87</v>
      </c>
      <c r="BG96" s="12">
        <v>87</v>
      </c>
      <c r="BH96" s="12">
        <v>87</v>
      </c>
      <c r="BI96" s="12">
        <v>87</v>
      </c>
      <c r="BJ96" s="12">
        <v>87</v>
      </c>
      <c r="BK96" s="12">
        <v>87</v>
      </c>
      <c r="BL96" s="12">
        <v>87</v>
      </c>
      <c r="BM96" s="12">
        <v>87</v>
      </c>
      <c r="BN96" s="12">
        <v>87</v>
      </c>
      <c r="BO96" s="12">
        <v>87</v>
      </c>
      <c r="BP96" s="12">
        <v>87</v>
      </c>
      <c r="BQ96" s="12">
        <v>87</v>
      </c>
      <c r="BR96" s="12">
        <v>87</v>
      </c>
    </row>
    <row r="97" spans="26:70">
      <c r="Z9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map'!$F$2087:$J$2095,))))))))),BD97,FALSE),"-")</f>
        <v>-</v>
      </c>
      <c r="AA9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map'!$F$2087:$J$2095,))))))))),BE97,FALSE),"-")</f>
        <v>-</v>
      </c>
      <c r="AB9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map'!$F$2087:$J$2095,))))))))),BF97,FALSE),"-")</f>
        <v>-</v>
      </c>
      <c r="AC97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map'!$F$2087:$J$2095,))))))))),BG97,FALSE),"-")</f>
        <v>-</v>
      </c>
      <c r="AD9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map'!$F$2087:$J$2095,))))))))),BH97,FALSE),"-")</f>
        <v>-</v>
      </c>
      <c r="BB97" s="12">
        <v>88</v>
      </c>
      <c r="BC97" s="12">
        <v>88</v>
      </c>
      <c r="BD97" s="12">
        <v>88</v>
      </c>
      <c r="BE97" s="12">
        <v>88</v>
      </c>
      <c r="BF97" s="12">
        <v>88</v>
      </c>
      <c r="BG97" s="12">
        <v>88</v>
      </c>
      <c r="BH97" s="12">
        <v>88</v>
      </c>
      <c r="BI97" s="12">
        <v>88</v>
      </c>
      <c r="BJ97" s="12">
        <v>88</v>
      </c>
      <c r="BK97" s="12">
        <v>88</v>
      </c>
      <c r="BL97" s="12">
        <v>88</v>
      </c>
      <c r="BM97" s="12">
        <v>88</v>
      </c>
      <c r="BN97" s="12">
        <v>88</v>
      </c>
      <c r="BO97" s="12">
        <v>88</v>
      </c>
      <c r="BP97" s="12">
        <v>88</v>
      </c>
      <c r="BQ97" s="12">
        <v>88</v>
      </c>
      <c r="BR97" s="12">
        <v>88</v>
      </c>
    </row>
    <row r="98" spans="26:70">
      <c r="Z9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map'!$F$2087:$J$2095,))))))))),BD98,FALSE),"-")</f>
        <v>-</v>
      </c>
      <c r="AA9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map'!$F$2087:$J$2095,))))))))),BE98,FALSE),"-")</f>
        <v>-</v>
      </c>
      <c r="AB9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map'!$F$2087:$J$2095,))))))))),BF98,FALSE),"-")</f>
        <v>-</v>
      </c>
      <c r="AC98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map'!$F$2087:$J$2095,))))))))),BG98,FALSE),"-")</f>
        <v>-</v>
      </c>
      <c r="AD9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map'!$F$2087:$J$2095,))))))))),BH98,FALSE),"-")</f>
        <v>-</v>
      </c>
      <c r="BB98" s="12">
        <v>89</v>
      </c>
      <c r="BC98" s="12">
        <v>89</v>
      </c>
      <c r="BD98" s="12">
        <v>89</v>
      </c>
      <c r="BE98" s="12">
        <v>89</v>
      </c>
      <c r="BF98" s="12">
        <v>89</v>
      </c>
      <c r="BG98" s="12">
        <v>89</v>
      </c>
      <c r="BH98" s="12">
        <v>89</v>
      </c>
      <c r="BI98" s="12">
        <v>89</v>
      </c>
      <c r="BJ98" s="12">
        <v>89</v>
      </c>
      <c r="BK98" s="12">
        <v>89</v>
      </c>
      <c r="BL98" s="12">
        <v>89</v>
      </c>
      <c r="BM98" s="12">
        <v>89</v>
      </c>
      <c r="BN98" s="12">
        <v>89</v>
      </c>
      <c r="BO98" s="12">
        <v>89</v>
      </c>
      <c r="BP98" s="12">
        <v>89</v>
      </c>
      <c r="BQ98" s="12">
        <v>89</v>
      </c>
      <c r="BR98" s="12">
        <v>89</v>
      </c>
    </row>
    <row r="99" spans="26:70">
      <c r="Z9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map'!$F$2087:$J$2095,))))))))),BD99,FALSE),"-")</f>
        <v>-</v>
      </c>
      <c r="AA9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map'!$F$2087:$J$2095,))))))))),BE99,FALSE),"-")</f>
        <v>-</v>
      </c>
      <c r="AB9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map'!$F$2087:$J$2095,))))))))),BF99,FALSE),"-")</f>
        <v>-</v>
      </c>
      <c r="AC99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map'!$F$2087:$J$2095,))))))))),BG99,FALSE),"-")</f>
        <v>-</v>
      </c>
      <c r="AD9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map'!$F$2087:$J$2095,))))))))),BH99,FALSE),"-")</f>
        <v>-</v>
      </c>
      <c r="BB99" s="12">
        <v>90</v>
      </c>
      <c r="BC99" s="12">
        <v>90</v>
      </c>
      <c r="BD99" s="12">
        <v>90</v>
      </c>
      <c r="BE99" s="12">
        <v>90</v>
      </c>
      <c r="BF99" s="12">
        <v>90</v>
      </c>
      <c r="BG99" s="12">
        <v>90</v>
      </c>
      <c r="BH99" s="12">
        <v>90</v>
      </c>
      <c r="BI99" s="12">
        <v>90</v>
      </c>
      <c r="BJ99" s="12">
        <v>90</v>
      </c>
      <c r="BK99" s="12">
        <v>90</v>
      </c>
      <c r="BL99" s="12">
        <v>90</v>
      </c>
      <c r="BM99" s="12">
        <v>90</v>
      </c>
      <c r="BN99" s="12">
        <v>90</v>
      </c>
      <c r="BO99" s="12">
        <v>90</v>
      </c>
      <c r="BP99" s="12">
        <v>90</v>
      </c>
      <c r="BQ99" s="12">
        <v>90</v>
      </c>
      <c r="BR99" s="12">
        <v>90</v>
      </c>
    </row>
    <row r="100" spans="26:70">
      <c r="Z100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map'!$F$2087:$J$2095,))))))))),BD100,FALSE),"-")</f>
        <v>-</v>
      </c>
      <c r="AA100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map'!$F$2087:$J$2095,))))))))),BE100,FALSE),"-")</f>
        <v>-</v>
      </c>
      <c r="AB100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map'!$F$2087:$J$2095,))))))))),BF100,FALSE),"-")</f>
        <v>-</v>
      </c>
      <c r="AC100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map'!$F$2087:$J$2095,))))))))),BG100,FALSE),"-")</f>
        <v>-</v>
      </c>
      <c r="AD100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map'!$F$2087:$J$2095,))))))))),BH100,FALSE),"-")</f>
        <v>-</v>
      </c>
      <c r="BB100" s="12">
        <v>91</v>
      </c>
      <c r="BC100" s="12">
        <v>91</v>
      </c>
      <c r="BD100" s="12">
        <v>91</v>
      </c>
      <c r="BE100" s="12">
        <v>91</v>
      </c>
      <c r="BF100" s="12">
        <v>91</v>
      </c>
      <c r="BG100" s="12">
        <v>91</v>
      </c>
      <c r="BH100" s="12">
        <v>91</v>
      </c>
      <c r="BI100" s="12">
        <v>91</v>
      </c>
      <c r="BJ100" s="12">
        <v>91</v>
      </c>
      <c r="BK100" s="12">
        <v>91</v>
      </c>
      <c r="BL100" s="12">
        <v>91</v>
      </c>
      <c r="BM100" s="12">
        <v>91</v>
      </c>
      <c r="BN100" s="12">
        <v>91</v>
      </c>
      <c r="BO100" s="12">
        <v>91</v>
      </c>
      <c r="BP100" s="12">
        <v>91</v>
      </c>
      <c r="BQ100" s="12">
        <v>91</v>
      </c>
      <c r="BR100" s="12">
        <v>91</v>
      </c>
    </row>
    <row r="101" spans="26:70">
      <c r="Z101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map'!$F$2087:$J$2095,))))))))),BD101,FALSE),"-")</f>
        <v>-</v>
      </c>
      <c r="AA101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map'!$F$2087:$J$2095,))))))))),BE101,FALSE),"-")</f>
        <v>-</v>
      </c>
      <c r="AB101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map'!$F$2087:$J$2095,))))))))),BF101,FALSE),"-")</f>
        <v>-</v>
      </c>
      <c r="AC101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map'!$F$2087:$J$2095,))))))))),BG101,FALSE),"-")</f>
        <v>-</v>
      </c>
      <c r="AD101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map'!$F$2087:$J$2095,))))))))),BH101,FALSE),"-")</f>
        <v>-</v>
      </c>
      <c r="BB101" s="12">
        <v>92</v>
      </c>
      <c r="BC101" s="12">
        <v>92</v>
      </c>
      <c r="BD101" s="12">
        <v>92</v>
      </c>
      <c r="BE101" s="12">
        <v>92</v>
      </c>
      <c r="BF101" s="12">
        <v>92</v>
      </c>
      <c r="BG101" s="12">
        <v>92</v>
      </c>
      <c r="BH101" s="12">
        <v>92</v>
      </c>
      <c r="BI101" s="12">
        <v>92</v>
      </c>
      <c r="BJ101" s="12">
        <v>92</v>
      </c>
      <c r="BK101" s="12">
        <v>92</v>
      </c>
      <c r="BL101" s="12">
        <v>92</v>
      </c>
      <c r="BM101" s="12">
        <v>92</v>
      </c>
      <c r="BN101" s="12">
        <v>92</v>
      </c>
      <c r="BO101" s="12">
        <v>92</v>
      </c>
      <c r="BP101" s="12">
        <v>92</v>
      </c>
      <c r="BQ101" s="12">
        <v>92</v>
      </c>
      <c r="BR101" s="12">
        <v>92</v>
      </c>
    </row>
    <row r="102" spans="26:70">
      <c r="Z102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map'!$F$2087:$J$2095,))))))))),BD102,FALSE),"-")</f>
        <v>-</v>
      </c>
      <c r="AA102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map'!$F$2087:$J$2095,))))))))),BE102,FALSE),"-")</f>
        <v>-</v>
      </c>
      <c r="AB102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map'!$F$2087:$J$2095,))))))))),BF102,FALSE),"-")</f>
        <v>-</v>
      </c>
      <c r="AC102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map'!$F$2087:$J$2095,))))))))),BG102,FALSE),"-")</f>
        <v>-</v>
      </c>
      <c r="AD102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map'!$F$2087:$J$2095,))))))))),BH102,FALSE),"-")</f>
        <v>-</v>
      </c>
      <c r="BB102" s="12">
        <v>93</v>
      </c>
      <c r="BC102" s="12">
        <v>93</v>
      </c>
      <c r="BD102" s="12">
        <v>93</v>
      </c>
      <c r="BE102" s="12">
        <v>93</v>
      </c>
      <c r="BF102" s="12">
        <v>93</v>
      </c>
      <c r="BG102" s="12">
        <v>93</v>
      </c>
      <c r="BH102" s="12">
        <v>93</v>
      </c>
      <c r="BI102" s="12">
        <v>93</v>
      </c>
      <c r="BJ102" s="12">
        <v>93</v>
      </c>
      <c r="BK102" s="12">
        <v>93</v>
      </c>
      <c r="BL102" s="12">
        <v>93</v>
      </c>
      <c r="BM102" s="12">
        <v>93</v>
      </c>
      <c r="BN102" s="12">
        <v>93</v>
      </c>
      <c r="BO102" s="12">
        <v>93</v>
      </c>
      <c r="BP102" s="12">
        <v>93</v>
      </c>
      <c r="BQ102" s="12">
        <v>93</v>
      </c>
      <c r="BR102" s="12">
        <v>93</v>
      </c>
    </row>
    <row r="103" spans="26:70">
      <c r="Z103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map'!$F$2087:$J$2095,))))))))),BD103,FALSE),"-")</f>
        <v>-</v>
      </c>
      <c r="AA103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map'!$F$2087:$J$2095,))))))))),BE103,FALSE),"-")</f>
        <v>-</v>
      </c>
      <c r="AB103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map'!$F$2087:$J$2095,))))))))),BF103,FALSE),"-")</f>
        <v>-</v>
      </c>
      <c r="AC103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map'!$F$2087:$J$2095,))))))))),BG103,FALSE),"-")</f>
        <v>-</v>
      </c>
      <c r="AD103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map'!$F$2087:$J$2095,))))))))),BH103,FALSE),"-")</f>
        <v>-</v>
      </c>
      <c r="BB103" s="12">
        <v>94</v>
      </c>
      <c r="BC103" s="12">
        <v>94</v>
      </c>
      <c r="BD103" s="12">
        <v>94</v>
      </c>
      <c r="BE103" s="12">
        <v>94</v>
      </c>
      <c r="BF103" s="12">
        <v>94</v>
      </c>
      <c r="BG103" s="12">
        <v>94</v>
      </c>
      <c r="BH103" s="12">
        <v>94</v>
      </c>
      <c r="BI103" s="12">
        <v>94</v>
      </c>
      <c r="BJ103" s="12">
        <v>94</v>
      </c>
      <c r="BK103" s="12">
        <v>94</v>
      </c>
      <c r="BL103" s="12">
        <v>94</v>
      </c>
      <c r="BM103" s="12">
        <v>94</v>
      </c>
      <c r="BN103" s="12">
        <v>94</v>
      </c>
      <c r="BO103" s="12">
        <v>94</v>
      </c>
      <c r="BP103" s="12">
        <v>94</v>
      </c>
      <c r="BQ103" s="12">
        <v>94</v>
      </c>
      <c r="BR103" s="12">
        <v>94</v>
      </c>
    </row>
    <row r="104" spans="26:70">
      <c r="Z104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map'!$F$2087:$J$2095,))))))))),BD104,FALSE),"-")</f>
        <v>-</v>
      </c>
      <c r="AA104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map'!$F$2087:$J$2095,))))))))),BE104,FALSE),"-")</f>
        <v>-</v>
      </c>
      <c r="AB104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map'!$F$2087:$J$2095,))))))))),BF104,FALSE),"-")</f>
        <v>-</v>
      </c>
      <c r="AC104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map'!$F$2087:$J$2095,))))))))),BG104,FALSE),"-")</f>
        <v>-</v>
      </c>
      <c r="AD104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map'!$F$2087:$J$2095,))))))))),BH104,FALSE),"-")</f>
        <v>-</v>
      </c>
      <c r="BB104" s="12">
        <v>95</v>
      </c>
      <c r="BC104" s="12">
        <v>95</v>
      </c>
      <c r="BD104" s="12">
        <v>95</v>
      </c>
      <c r="BE104" s="12">
        <v>95</v>
      </c>
      <c r="BF104" s="12">
        <v>95</v>
      </c>
      <c r="BG104" s="12">
        <v>95</v>
      </c>
      <c r="BH104" s="12">
        <v>95</v>
      </c>
      <c r="BI104" s="12">
        <v>95</v>
      </c>
      <c r="BJ104" s="12">
        <v>95</v>
      </c>
      <c r="BK104" s="12">
        <v>95</v>
      </c>
      <c r="BL104" s="12">
        <v>95</v>
      </c>
      <c r="BM104" s="12">
        <v>95</v>
      </c>
      <c r="BN104" s="12">
        <v>95</v>
      </c>
      <c r="BO104" s="12">
        <v>95</v>
      </c>
      <c r="BP104" s="12">
        <v>95</v>
      </c>
      <c r="BQ104" s="12">
        <v>95</v>
      </c>
      <c r="BR104" s="12">
        <v>95</v>
      </c>
    </row>
    <row r="105" spans="26:70">
      <c r="Z105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map'!$F$2087:$J$2095,))))))))),BD105,FALSE),"-")</f>
        <v>-</v>
      </c>
      <c r="AA105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map'!$F$2087:$J$2095,))))))))),BE105,FALSE),"-")</f>
        <v>-</v>
      </c>
      <c r="AB105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map'!$F$2087:$J$2095,))))))))),BF105,FALSE),"-")</f>
        <v>-</v>
      </c>
      <c r="AC105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map'!$F$2087:$J$2095,))))))))),BG105,FALSE),"-")</f>
        <v>-</v>
      </c>
      <c r="AD105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map'!$F$2087:$J$2095,))))))))),BH105,FALSE),"-")</f>
        <v>-</v>
      </c>
      <c r="BB105" s="12">
        <v>96</v>
      </c>
      <c r="BC105" s="12">
        <v>96</v>
      </c>
      <c r="BD105" s="12">
        <v>96</v>
      </c>
      <c r="BE105" s="12">
        <v>96</v>
      </c>
      <c r="BF105" s="12">
        <v>96</v>
      </c>
      <c r="BG105" s="12">
        <v>96</v>
      </c>
      <c r="BH105" s="12">
        <v>96</v>
      </c>
      <c r="BI105" s="12">
        <v>96</v>
      </c>
      <c r="BJ105" s="12">
        <v>96</v>
      </c>
      <c r="BK105" s="12">
        <v>96</v>
      </c>
      <c r="BL105" s="12">
        <v>96</v>
      </c>
      <c r="BM105" s="12">
        <v>96</v>
      </c>
      <c r="BN105" s="12">
        <v>96</v>
      </c>
      <c r="BO105" s="12">
        <v>96</v>
      </c>
      <c r="BP105" s="12">
        <v>96</v>
      </c>
      <c r="BQ105" s="12">
        <v>96</v>
      </c>
      <c r="BR105" s="12">
        <v>96</v>
      </c>
    </row>
    <row r="106" spans="26:70">
      <c r="Z106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map'!$F$2087:$J$2095,))))))))),BD106,FALSE),"-")</f>
        <v>-</v>
      </c>
      <c r="AA106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map'!$F$2087:$J$2095,))))))))),BE106,FALSE),"-")</f>
        <v>-</v>
      </c>
      <c r="AB106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map'!$F$2087:$J$2095,))))))))),BF106,FALSE),"-")</f>
        <v>-</v>
      </c>
      <c r="AC106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map'!$F$2087:$J$2095,))))))))),BG106,FALSE),"-")</f>
        <v>-</v>
      </c>
      <c r="AD106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map'!$F$2087:$J$2095,))))))))),BH106,FALSE),"-")</f>
        <v>-</v>
      </c>
      <c r="BB106" s="12">
        <v>97</v>
      </c>
      <c r="BC106" s="12">
        <v>97</v>
      </c>
      <c r="BD106" s="12">
        <v>97</v>
      </c>
      <c r="BE106" s="12">
        <v>97</v>
      </c>
      <c r="BF106" s="12">
        <v>97</v>
      </c>
      <c r="BG106" s="12">
        <v>97</v>
      </c>
      <c r="BH106" s="12">
        <v>97</v>
      </c>
      <c r="BI106" s="12">
        <v>97</v>
      </c>
      <c r="BJ106" s="12">
        <v>97</v>
      </c>
      <c r="BK106" s="12">
        <v>97</v>
      </c>
      <c r="BL106" s="12">
        <v>97</v>
      </c>
      <c r="BM106" s="12">
        <v>97</v>
      </c>
      <c r="BN106" s="12">
        <v>97</v>
      </c>
      <c r="BO106" s="12">
        <v>97</v>
      </c>
      <c r="BP106" s="12">
        <v>97</v>
      </c>
      <c r="BQ106" s="12">
        <v>97</v>
      </c>
      <c r="BR106" s="12">
        <v>97</v>
      </c>
    </row>
    <row r="107" spans="26:70">
      <c r="Z107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map'!$F$2087:$J$2095,))))))))),BD107,FALSE),"-")</f>
        <v>-</v>
      </c>
      <c r="AA107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map'!$F$2087:$J$2095,))))))))),BE107,FALSE),"-")</f>
        <v>-</v>
      </c>
      <c r="AB107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map'!$F$2087:$J$2095,))))))))),BF107,FALSE),"-")</f>
        <v>-</v>
      </c>
      <c r="AC107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map'!$F$2087:$J$2095,))))))))),BG107,FALSE),"-")</f>
        <v>-</v>
      </c>
      <c r="AD107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map'!$F$2087:$J$2095,))))))))),BH107,FALSE),"-")</f>
        <v>-</v>
      </c>
      <c r="BB107" s="12">
        <v>98</v>
      </c>
      <c r="BC107" s="12">
        <v>98</v>
      </c>
      <c r="BD107" s="12">
        <v>98</v>
      </c>
      <c r="BE107" s="12">
        <v>98</v>
      </c>
      <c r="BF107" s="12">
        <v>98</v>
      </c>
      <c r="BG107" s="12">
        <v>98</v>
      </c>
      <c r="BH107" s="12">
        <v>98</v>
      </c>
      <c r="BI107" s="12">
        <v>98</v>
      </c>
      <c r="BJ107" s="12">
        <v>98</v>
      </c>
      <c r="BK107" s="12">
        <v>98</v>
      </c>
      <c r="BL107" s="12">
        <v>98</v>
      </c>
      <c r="BM107" s="12">
        <v>98</v>
      </c>
      <c r="BN107" s="12">
        <v>98</v>
      </c>
      <c r="BO107" s="12">
        <v>98</v>
      </c>
      <c r="BP107" s="12">
        <v>98</v>
      </c>
      <c r="BQ107" s="12">
        <v>98</v>
      </c>
      <c r="BR107" s="12">
        <v>98</v>
      </c>
    </row>
    <row r="108" spans="26:70">
      <c r="Z108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map'!$F$2087:$J$2095,))))))))),BD108,FALSE),"-")</f>
        <v>-</v>
      </c>
      <c r="AA108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map'!$F$2087:$J$2095,))))))))),BE108,FALSE),"-")</f>
        <v>-</v>
      </c>
      <c r="AB108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map'!$F$2087:$J$2095,))))))))),BF108,FALSE),"-")</f>
        <v>-</v>
      </c>
      <c r="AC108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map'!$F$2087:$J$2095,))))))))),BG108,FALSE),"-")</f>
        <v>-</v>
      </c>
      <c r="AD108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map'!$F$2087:$J$2095,))))))))),BH108,FALSE),"-")</f>
        <v>-</v>
      </c>
      <c r="BB108" s="12">
        <v>99</v>
      </c>
      <c r="BC108" s="12">
        <v>99</v>
      </c>
      <c r="BD108" s="12">
        <v>99</v>
      </c>
      <c r="BE108" s="12">
        <v>99</v>
      </c>
      <c r="BF108" s="12">
        <v>99</v>
      </c>
      <c r="BG108" s="12">
        <v>99</v>
      </c>
      <c r="BH108" s="12">
        <v>99</v>
      </c>
      <c r="BI108" s="12">
        <v>99</v>
      </c>
      <c r="BJ108" s="12">
        <v>99</v>
      </c>
      <c r="BK108" s="12">
        <v>99</v>
      </c>
      <c r="BL108" s="12">
        <v>99</v>
      </c>
      <c r="BM108" s="12">
        <v>99</v>
      </c>
      <c r="BN108" s="12">
        <v>99</v>
      </c>
      <c r="BO108" s="12">
        <v>99</v>
      </c>
      <c r="BP108" s="12">
        <v>99</v>
      </c>
      <c r="BQ108" s="12">
        <v>99</v>
      </c>
      <c r="BR108" s="12">
        <v>99</v>
      </c>
    </row>
    <row r="109" spans="26:70">
      <c r="Z109" s="85" t="str">
        <f>IFERROR(HLOOKUP(VLOOKUP((VLOOKUP($Y$10,$B$10:$C$22,2,FALSE)),'All data map'!$C$1:$J$3005,4,FALSE),IF($Y$14="GEL-D24C",'All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map'!$F$2087:$J$2095,))))))))),BD109,FALSE),"-")</f>
        <v>-</v>
      </c>
      <c r="AA109" s="86" t="str">
        <f>IFERROR(HLOOKUP(VLOOKUP((VLOOKUP($Y$10,$B$10:$C$22,2,FALSE)),'All data map'!$C$1:$J$3005,5,FALSE),IF($Y$14="GEL-D24C",'All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map'!$F$2087:$J$2095,))))))))),BE109,FALSE),"-")</f>
        <v>-</v>
      </c>
      <c r="AB109" s="85" t="str">
        <f>IFERROR(HLOOKUP(VLOOKUP((VLOOKUP($Y$10,$B$10:$C$22,2,FALSE)),'All data map'!$C$1:$J$3005,6,FALSE),IF($Y$14="GEL-D24C",'All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map'!$F$2087:$J$2095,))))))))),BF109,FALSE),"-")</f>
        <v>-</v>
      </c>
      <c r="AC109" s="85" t="str">
        <f>IFERROR(HLOOKUP(VLOOKUP((VLOOKUP($Y$10,$B$10:$C$22,2,FALSE)),'All data map'!$C$1:$J$3005,7,FALSE),IF($Y$14="GEL-D24C",'All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map'!$F$2087:$J$2095,))))))))),BG109,FALSE),"-")</f>
        <v>-</v>
      </c>
      <c r="AD109" s="86" t="str">
        <f>IFERROR(HLOOKUP(VLOOKUP((VLOOKUP($Y$10,$B$10:$C$22,2,FALSE)),'All data map'!$C$1:$J$3005,8,FALSE),IF($Y$14="GEL-D24C",'All data map'!$F$1928:$J$1928,IF($Y$14="GEL-RY2C",'All data map'!$F$1929:$J$1929,IF($Y$14="GEL-TR4C1",'All data map'!$F$1930:$J$1930,IF($Y$14="GEL-DT4C1",'All data map'!$F$1931:$J$1932,IF($Y$14="GEL-AC8C",'All data map'!$F$1933:$J$1975,IF($Y$14="GEL-AV8C",'All data map'!$F$1976:$J$2018,IF($Y$14="GEL-DC4C",'All data map'!$F$2019:$J$2040,IF($Y$14="GEL-DV4C",'All data map'!$F$2041:$J$2062,IF($Y$14="Header",'All data map'!$F$2087:$J$2095,))))))))),BH109,FALSE),"-")</f>
        <v>-</v>
      </c>
      <c r="BB109" s="12">
        <v>100</v>
      </c>
      <c r="BC109" s="12">
        <v>100</v>
      </c>
      <c r="BD109" s="12">
        <v>100</v>
      </c>
      <c r="BE109" s="12">
        <v>100</v>
      </c>
      <c r="BF109" s="12">
        <v>100</v>
      </c>
      <c r="BG109" s="12">
        <v>100</v>
      </c>
      <c r="BH109" s="12">
        <v>100</v>
      </c>
      <c r="BI109" s="12">
        <v>100</v>
      </c>
      <c r="BJ109" s="12">
        <v>100</v>
      </c>
      <c r="BK109" s="12">
        <v>100</v>
      </c>
      <c r="BL109" s="12">
        <v>100</v>
      </c>
      <c r="BM109" s="12">
        <v>100</v>
      </c>
      <c r="BN109" s="12">
        <v>100</v>
      </c>
      <c r="BO109" s="12">
        <v>100</v>
      </c>
      <c r="BP109" s="12">
        <v>100</v>
      </c>
      <c r="BQ109" s="12">
        <v>100</v>
      </c>
      <c r="BR109" s="12">
        <v>100</v>
      </c>
    </row>
    <row r="1048576" spans="2:3">
      <c r="B1048576" s="9" t="s">
        <v>122</v>
      </c>
      <c r="C1048576" s="36" t="s">
        <v>20</v>
      </c>
    </row>
  </sheetData>
  <dataConsolidate/>
  <mergeCells count="18">
    <mergeCell ref="H7:L8"/>
    <mergeCell ref="M7:P7"/>
    <mergeCell ref="Q7:T7"/>
    <mergeCell ref="U7:X7"/>
    <mergeCell ref="AC7:AC9"/>
    <mergeCell ref="AD7:AD9"/>
    <mergeCell ref="B24:C24"/>
    <mergeCell ref="B23:C23"/>
    <mergeCell ref="Z7:Z9"/>
    <mergeCell ref="AA7:AA9"/>
    <mergeCell ref="AB7:AB9"/>
    <mergeCell ref="Y10:Y12"/>
    <mergeCell ref="Y14:Y16"/>
    <mergeCell ref="B7:B9"/>
    <mergeCell ref="C7:C9"/>
    <mergeCell ref="D7:E8"/>
    <mergeCell ref="F7:G8"/>
    <mergeCell ref="Y7:Y8"/>
  </mergeCells>
  <phoneticPr fontId="1" type="noConversion"/>
  <conditionalFormatting sqref="B11">
    <cfRule type="expression" dxfId="26" priority="108">
      <formula>$C$1048576 = "Smart_IO"</formula>
    </cfRule>
  </conditionalFormatting>
  <conditionalFormatting sqref="B11:B18">
    <cfRule type="expression" dxfId="25" priority="109">
      <formula>$C$1048576 = "Expansion_Smart_IO"</formula>
    </cfRule>
  </conditionalFormatting>
  <conditionalFormatting sqref="B11:B22">
    <cfRule type="expression" dxfId="24" priority="110">
      <formula>$C$1048576 = "Expansion_Driver"</formula>
    </cfRule>
  </conditionalFormatting>
  <conditionalFormatting sqref="C11">
    <cfRule type="expression" dxfId="23" priority="111">
      <formula>$C$1048576 = "Smart_IO"</formula>
    </cfRule>
  </conditionalFormatting>
  <conditionalFormatting sqref="C11:C18">
    <cfRule type="expression" dxfId="22" priority="112">
      <formula>$C$1048576 = "Expansion_Smart_IO"</formula>
    </cfRule>
  </conditionalFormatting>
  <conditionalFormatting sqref="C11:C22">
    <cfRule type="expression" dxfId="21" priority="113">
      <formula>$C$1048576 = "Expansion_Driver"</formula>
    </cfRule>
  </conditionalFormatting>
  <conditionalFormatting sqref="D11:E11">
    <cfRule type="expression" dxfId="20" priority="19">
      <formula>$C$1048576 = "Smart_IO"</formula>
    </cfRule>
  </conditionalFormatting>
  <conditionalFormatting sqref="D11:E18">
    <cfRule type="expression" dxfId="19" priority="20">
      <formula>$C$1048576 = "Expansion_Smart_IO"</formula>
    </cfRule>
  </conditionalFormatting>
  <conditionalFormatting sqref="D11:E22">
    <cfRule type="expression" dxfId="18" priority="21">
      <formula>$C$1048576 = "Expansion_Driver"</formula>
    </cfRule>
  </conditionalFormatting>
  <conditionalFormatting sqref="F11:P11">
    <cfRule type="expression" dxfId="17" priority="16">
      <formula>$C$6 = "Smart_IO"</formula>
    </cfRule>
  </conditionalFormatting>
  <conditionalFormatting sqref="F11:P18">
    <cfRule type="expression" dxfId="16" priority="17">
      <formula>$C$6 = "Expansion_Smart_IO"</formula>
    </cfRule>
  </conditionalFormatting>
  <conditionalFormatting sqref="F11:P22">
    <cfRule type="expression" dxfId="15" priority="18">
      <formula>$C$6 = "Expansion_Driver"</formula>
    </cfRule>
  </conditionalFormatting>
  <conditionalFormatting sqref="Q27:Q38">
    <cfRule type="expression" dxfId="14" priority="7">
      <formula>$C$6 = "Smart_IO"</formula>
    </cfRule>
    <cfRule type="expression" dxfId="13" priority="8">
      <formula>$C$6 = "Expansion_Smart_IO"</formula>
    </cfRule>
    <cfRule type="expression" dxfId="12" priority="9">
      <formula>$C$6 = "Expansion_Driver"</formula>
    </cfRule>
  </conditionalFormatting>
  <conditionalFormatting sqref="Q11:R18 T11:T18 Q19:Q22">
    <cfRule type="expression" dxfId="11" priority="4">
      <formula>$C$6 = "Expansion_Smart_IO"</formula>
    </cfRule>
  </conditionalFormatting>
  <conditionalFormatting sqref="Q11:T22">
    <cfRule type="expression" dxfId="10" priority="2">
      <formula>$C$6 = "Expansion_Driver"</formula>
    </cfRule>
  </conditionalFormatting>
  <conditionalFormatting sqref="R11 T11">
    <cfRule type="expression" dxfId="9" priority="3">
      <formula>$C$6 = "Smart_IO"</formula>
    </cfRule>
  </conditionalFormatting>
  <conditionalFormatting sqref="S11:S22">
    <cfRule type="expression" dxfId="8" priority="1">
      <formula>$C$6 = "Expansion_Smart_IO"</formula>
    </cfRule>
  </conditionalFormatting>
  <conditionalFormatting sqref="U11:X11">
    <cfRule type="expression" dxfId="7" priority="10">
      <formula>$C$6 = "Smart_IO"</formula>
    </cfRule>
  </conditionalFormatting>
  <conditionalFormatting sqref="U11:X18">
    <cfRule type="expression" dxfId="6" priority="12">
      <formula>$C$6 = "Expansion_Smart_IO"</formula>
    </cfRule>
  </conditionalFormatting>
  <conditionalFormatting sqref="U11:X22">
    <cfRule type="expression" dxfId="5" priority="14">
      <formula>$C$6 = "Expansion_Driver"</formula>
    </cfRule>
  </conditionalFormatting>
  <conditionalFormatting sqref="Z10:AD109">
    <cfRule type="expression" dxfId="4" priority="62">
      <formula>$Z10:$Z109="Output"</formula>
    </cfRule>
    <cfRule type="expression" dxfId="3" priority="63">
      <formula>$Z10:$Z109="Input"</formula>
    </cfRule>
  </conditionalFormatting>
  <dataValidations count="2">
    <dataValidation type="list" showInputMessage="1" showErrorMessage="1" sqref="C11:C18" xr:uid="{715C6FFC-6F54-45D1-9C1B-C703FEB0D2BD}">
      <formula1>INDIRECT($C$1048576)</formula1>
    </dataValidation>
    <dataValidation type="list" allowBlank="1" showInputMessage="1" showErrorMessage="1" sqref="C19:C22" xr:uid="{83B888FC-4184-459D-93E5-9B60447A8B5C}">
      <formula1>INDIRECT($C$1048576)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9D7802F-6061-4618-8E64-11CF32990883}">
          <x14:formula1>
            <xm:f>ref!$D$2:$F$2</xm:f>
          </x14:formula1>
          <xm:sqref>C1048576</xm:sqref>
        </x14:dataValidation>
        <x14:dataValidation type="list" allowBlank="1" showInputMessage="1" showErrorMessage="1" xr:uid="{D2ED6B67-E42E-4315-9B68-C825F4F54031}">
          <x14:formula1>
            <xm:f>slot!$C$5:$C$17</xm:f>
          </x14:formula1>
          <xm:sqref>Y10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7077-71B5-4A45-9377-2BCACB6408ED}">
  <sheetPr codeName="Sheet2"/>
  <dimension ref="B1:V2106"/>
  <sheetViews>
    <sheetView zoomScaleNormal="100" workbookViewId="0">
      <pane ySplit="1" topLeftCell="A2" activePane="bottomLeft" state="frozen"/>
      <selection activeCell="L84" sqref="L84"/>
      <selection pane="bottomLeft" activeCell="G2038" sqref="G2038"/>
    </sheetView>
  </sheetViews>
  <sheetFormatPr defaultRowHeight="17"/>
  <cols>
    <col min="2" max="2" width="10" bestFit="1" customWidth="1"/>
    <col min="3" max="3" width="13.25" style="57" customWidth="1"/>
    <col min="4" max="4" width="10.25" style="57" customWidth="1"/>
    <col min="5" max="5" width="19.08203125" style="57" bestFit="1" customWidth="1"/>
    <col min="6" max="6" width="17.08203125" style="57" customWidth="1"/>
    <col min="7" max="7" width="44.33203125" customWidth="1"/>
    <col min="8" max="8" width="9.08203125" customWidth="1"/>
    <col min="9" max="9" width="15" customWidth="1"/>
    <col min="10" max="10" width="87" bestFit="1" customWidth="1"/>
    <col min="11" max="11" width="17.33203125" customWidth="1"/>
    <col min="12" max="14" width="9" style="57" customWidth="1"/>
    <col min="15" max="15" width="9" customWidth="1"/>
    <col min="16" max="16" width="16.83203125" bestFit="1" customWidth="1"/>
    <col min="17" max="17" width="5.5" bestFit="1" customWidth="1"/>
    <col min="18" max="18" width="4.5" bestFit="1" customWidth="1"/>
    <col min="19" max="19" width="5.5" bestFit="1" customWidth="1"/>
    <col min="20" max="20" width="29.08203125" bestFit="1" customWidth="1"/>
    <col min="21" max="21" width="29.08203125" customWidth="1"/>
    <col min="22" max="22" width="29.08203125" bestFit="1" customWidth="1"/>
  </cols>
  <sheetData>
    <row r="1" spans="3:22" ht="15.75" customHeight="1">
      <c r="C1" s="21" t="s">
        <v>112</v>
      </c>
      <c r="D1" s="74" t="s">
        <v>113</v>
      </c>
      <c r="E1" s="74" t="s">
        <v>114</v>
      </c>
      <c r="F1" s="58" t="s">
        <v>3211</v>
      </c>
      <c r="G1" s="58" t="s">
        <v>149</v>
      </c>
      <c r="H1" s="58" t="s">
        <v>148</v>
      </c>
      <c r="I1" s="58" t="s">
        <v>150</v>
      </c>
      <c r="J1" s="58" t="s">
        <v>19</v>
      </c>
      <c r="K1" s="58" t="s">
        <v>3209</v>
      </c>
      <c r="L1" s="58" t="s">
        <v>3208</v>
      </c>
      <c r="M1" s="58" t="s">
        <v>3206</v>
      </c>
      <c r="N1" s="58" t="s">
        <v>3207</v>
      </c>
      <c r="O1" s="58" t="s">
        <v>3212</v>
      </c>
    </row>
    <row r="2" spans="3:22">
      <c r="C2" s="83" t="s">
        <v>32</v>
      </c>
      <c r="D2" s="75">
        <v>2</v>
      </c>
      <c r="E2" s="75">
        <v>0</v>
      </c>
      <c r="F2" s="81" t="s">
        <v>14</v>
      </c>
      <c r="G2" s="62" t="s">
        <v>3613</v>
      </c>
      <c r="H2" s="55" t="s">
        <v>139</v>
      </c>
      <c r="I2" s="59">
        <v>0</v>
      </c>
      <c r="J2" s="60" t="s">
        <v>3204</v>
      </c>
      <c r="K2" s="63" t="str">
        <f>C2&amp;F2</f>
        <v>XGI-D21AInput</v>
      </c>
      <c r="L2" s="59">
        <f t="shared" ref="L2:L33" si="0">COUNTIF($C$2:$C$2062,C2)</f>
        <v>1</v>
      </c>
      <c r="M2" s="59">
        <f t="shared" ref="M2:M33" si="1">COUNTIF($K$2:$K$2062,K2)</f>
        <v>1</v>
      </c>
      <c r="N2" s="59">
        <f>L2-M2</f>
        <v>0</v>
      </c>
      <c r="O2" s="60">
        <f t="shared" ref="O2:O65" si="2">ROW(C2)</f>
        <v>2</v>
      </c>
      <c r="P2" s="65" t="s">
        <v>3214</v>
      </c>
      <c r="Q2">
        <f t="shared" ref="Q2:Q7" si="3">O2</f>
        <v>2</v>
      </c>
      <c r="R2" t="s">
        <v>3215</v>
      </c>
      <c r="S2">
        <v>3</v>
      </c>
      <c r="T2" t="str">
        <f>P2&amp;Q2&amp;R2&amp;S2</f>
        <v>All data map'!$F$2:$J$3</v>
      </c>
      <c r="V2" t="s">
        <v>3216</v>
      </c>
    </row>
    <row r="3" spans="3:22">
      <c r="C3" s="83" t="s">
        <v>33</v>
      </c>
      <c r="D3" s="75">
        <v>2</v>
      </c>
      <c r="E3" s="75">
        <v>0</v>
      </c>
      <c r="F3" s="81" t="s">
        <v>14</v>
      </c>
      <c r="G3" s="62" t="s">
        <v>3612</v>
      </c>
      <c r="H3" s="55" t="s">
        <v>139</v>
      </c>
      <c r="I3" s="59">
        <v>0</v>
      </c>
      <c r="J3" s="60" t="s">
        <v>3204</v>
      </c>
      <c r="K3" s="63" t="str">
        <f t="shared" ref="K3:K12" si="4">C3&amp;F3</f>
        <v>XGI-D22AInput</v>
      </c>
      <c r="L3" s="59">
        <f t="shared" si="0"/>
        <v>1</v>
      </c>
      <c r="M3" s="59">
        <f t="shared" si="1"/>
        <v>1</v>
      </c>
      <c r="N3" s="59">
        <f t="shared" ref="N3:N27" si="5">L3-M3</f>
        <v>0</v>
      </c>
      <c r="O3" s="60">
        <f t="shared" si="2"/>
        <v>3</v>
      </c>
      <c r="P3" s="65" t="s">
        <v>3214</v>
      </c>
      <c r="Q3">
        <f t="shared" si="3"/>
        <v>3</v>
      </c>
      <c r="R3" t="s">
        <v>3215</v>
      </c>
      <c r="S3">
        <v>4</v>
      </c>
      <c r="T3" t="str">
        <f>P3&amp;Q3&amp;R3&amp;S3</f>
        <v>All data map'!$F$3:$J$4</v>
      </c>
      <c r="V3" t="s">
        <v>3217</v>
      </c>
    </row>
    <row r="4" spans="3:22">
      <c r="C4" s="83" t="s">
        <v>34</v>
      </c>
      <c r="D4" s="75">
        <v>2</v>
      </c>
      <c r="E4" s="75">
        <v>0</v>
      </c>
      <c r="F4" s="81" t="s">
        <v>14</v>
      </c>
      <c r="G4" s="62" t="s">
        <v>3612</v>
      </c>
      <c r="H4" s="55" t="s">
        <v>139</v>
      </c>
      <c r="I4" s="59">
        <v>0</v>
      </c>
      <c r="J4" s="60" t="s">
        <v>3204</v>
      </c>
      <c r="K4" s="63" t="str">
        <f t="shared" si="4"/>
        <v>XGI-D22BInput</v>
      </c>
      <c r="L4" s="59">
        <f t="shared" si="0"/>
        <v>1</v>
      </c>
      <c r="M4" s="59">
        <f t="shared" si="1"/>
        <v>1</v>
      </c>
      <c r="N4" s="59">
        <f t="shared" si="5"/>
        <v>0</v>
      </c>
      <c r="O4" s="60">
        <f t="shared" si="2"/>
        <v>4</v>
      </c>
      <c r="P4" s="65" t="s">
        <v>3214</v>
      </c>
      <c r="Q4">
        <f t="shared" si="3"/>
        <v>4</v>
      </c>
      <c r="R4" t="s">
        <v>3215</v>
      </c>
      <c r="S4">
        <v>5</v>
      </c>
      <c r="T4" t="str">
        <f t="shared" ref="T4:T27" si="6">P4&amp;Q4&amp;R4&amp;S4</f>
        <v>All data map'!$F$4:$J$5</v>
      </c>
      <c r="V4" t="s">
        <v>3218</v>
      </c>
    </row>
    <row r="5" spans="3:22">
      <c r="C5" s="83" t="s">
        <v>35</v>
      </c>
      <c r="D5" s="75">
        <v>4</v>
      </c>
      <c r="E5" s="75">
        <v>0</v>
      </c>
      <c r="F5" s="81" t="s">
        <v>14</v>
      </c>
      <c r="G5" s="62" t="s">
        <v>3616</v>
      </c>
      <c r="H5" s="55" t="s">
        <v>139</v>
      </c>
      <c r="I5" s="59">
        <v>0</v>
      </c>
      <c r="J5" s="60" t="s">
        <v>3204</v>
      </c>
      <c r="K5" s="63" t="str">
        <f t="shared" si="4"/>
        <v>XGI-D24AInput</v>
      </c>
      <c r="L5" s="59">
        <f t="shared" si="0"/>
        <v>1</v>
      </c>
      <c r="M5" s="59">
        <f t="shared" si="1"/>
        <v>1</v>
      </c>
      <c r="N5" s="59">
        <f t="shared" si="5"/>
        <v>0</v>
      </c>
      <c r="O5" s="60">
        <f t="shared" si="2"/>
        <v>5</v>
      </c>
      <c r="P5" s="65" t="s">
        <v>3214</v>
      </c>
      <c r="Q5">
        <f t="shared" si="3"/>
        <v>5</v>
      </c>
      <c r="R5" t="s">
        <v>3215</v>
      </c>
      <c r="S5">
        <v>6</v>
      </c>
      <c r="T5" t="str">
        <f t="shared" si="6"/>
        <v>All data map'!$F$5:$J$6</v>
      </c>
      <c r="V5" t="s">
        <v>3219</v>
      </c>
    </row>
    <row r="6" spans="3:22">
      <c r="C6" s="83" t="s">
        <v>36</v>
      </c>
      <c r="D6" s="75">
        <v>4</v>
      </c>
      <c r="E6" s="75">
        <v>0</v>
      </c>
      <c r="F6" s="81" t="s">
        <v>14</v>
      </c>
      <c r="G6" s="62" t="s">
        <v>3616</v>
      </c>
      <c r="H6" s="55" t="s">
        <v>139</v>
      </c>
      <c r="I6" s="59">
        <v>0</v>
      </c>
      <c r="J6" s="60" t="s">
        <v>3204</v>
      </c>
      <c r="K6" s="63" t="str">
        <f t="shared" si="4"/>
        <v>XGI-D24BInput</v>
      </c>
      <c r="L6" s="59">
        <f t="shared" si="0"/>
        <v>1</v>
      </c>
      <c r="M6" s="59">
        <f t="shared" si="1"/>
        <v>1</v>
      </c>
      <c r="N6" s="59">
        <f t="shared" si="5"/>
        <v>0</v>
      </c>
      <c r="O6" s="60">
        <f t="shared" si="2"/>
        <v>6</v>
      </c>
      <c r="P6" s="65" t="s">
        <v>3214</v>
      </c>
      <c r="Q6">
        <f t="shared" si="3"/>
        <v>6</v>
      </c>
      <c r="R6" t="s">
        <v>3215</v>
      </c>
      <c r="S6">
        <v>7</v>
      </c>
      <c r="T6" t="str">
        <f t="shared" si="6"/>
        <v>All data map'!$F$6:$J$7</v>
      </c>
      <c r="V6" t="s">
        <v>3220</v>
      </c>
    </row>
    <row r="7" spans="3:22">
      <c r="C7" s="83" t="s">
        <v>37</v>
      </c>
      <c r="D7" s="75">
        <v>8</v>
      </c>
      <c r="E7" s="75">
        <v>0</v>
      </c>
      <c r="F7" s="81" t="s">
        <v>14</v>
      </c>
      <c r="G7" s="62" t="s">
        <v>3617</v>
      </c>
      <c r="H7" s="55" t="s">
        <v>139</v>
      </c>
      <c r="I7" s="59">
        <v>0</v>
      </c>
      <c r="J7" s="60" t="s">
        <v>3204</v>
      </c>
      <c r="K7" s="63" t="str">
        <f t="shared" si="4"/>
        <v>XGI-D28AInput</v>
      </c>
      <c r="L7" s="59">
        <f t="shared" si="0"/>
        <v>1</v>
      </c>
      <c r="M7" s="59">
        <f t="shared" si="1"/>
        <v>1</v>
      </c>
      <c r="N7" s="59">
        <f t="shared" si="5"/>
        <v>0</v>
      </c>
      <c r="O7" s="60">
        <f t="shared" si="2"/>
        <v>7</v>
      </c>
      <c r="P7" s="65" t="s">
        <v>3214</v>
      </c>
      <c r="Q7">
        <f t="shared" si="3"/>
        <v>7</v>
      </c>
      <c r="R7" t="s">
        <v>3215</v>
      </c>
      <c r="S7">
        <v>8</v>
      </c>
      <c r="T7" t="str">
        <f t="shared" si="6"/>
        <v>All data map'!$F$7:$J$8</v>
      </c>
      <c r="V7" s="67" t="s">
        <v>3596</v>
      </c>
    </row>
    <row r="8" spans="3:22">
      <c r="C8" s="83" t="s">
        <v>38</v>
      </c>
      <c r="D8" s="75">
        <v>8</v>
      </c>
      <c r="E8" s="75">
        <v>0</v>
      </c>
      <c r="F8" s="81" t="s">
        <v>14</v>
      </c>
      <c r="G8" s="62" t="s">
        <v>3617</v>
      </c>
      <c r="H8" s="55" t="s">
        <v>139</v>
      </c>
      <c r="I8" s="59">
        <v>0</v>
      </c>
      <c r="J8" s="60" t="s">
        <v>3204</v>
      </c>
      <c r="K8" s="63" t="str">
        <f t="shared" si="4"/>
        <v>XGI-D28BInput</v>
      </c>
      <c r="L8" s="59">
        <f t="shared" si="0"/>
        <v>1</v>
      </c>
      <c r="M8" s="59">
        <f t="shared" si="1"/>
        <v>1</v>
      </c>
      <c r="N8" s="59">
        <f t="shared" si="5"/>
        <v>0</v>
      </c>
      <c r="O8" s="60">
        <f t="shared" si="2"/>
        <v>8</v>
      </c>
      <c r="P8" s="65" t="s">
        <v>3214</v>
      </c>
      <c r="Q8">
        <f>O8</f>
        <v>8</v>
      </c>
      <c r="R8" t="s">
        <v>3215</v>
      </c>
      <c r="S8">
        <v>9</v>
      </c>
      <c r="T8" t="str">
        <f t="shared" si="6"/>
        <v>All data map'!$F$8:$J$9</v>
      </c>
      <c r="V8" s="67" t="s">
        <v>3593</v>
      </c>
    </row>
    <row r="9" spans="3:22">
      <c r="C9" s="83" t="s">
        <v>39</v>
      </c>
      <c r="D9" s="75">
        <v>2</v>
      </c>
      <c r="E9" s="75">
        <v>0</v>
      </c>
      <c r="F9" s="81" t="s">
        <v>14</v>
      </c>
      <c r="G9" s="62" t="s">
        <v>3612</v>
      </c>
      <c r="H9" s="55" t="s">
        <v>139</v>
      </c>
      <c r="I9" s="59">
        <v>0</v>
      </c>
      <c r="J9" s="60" t="s">
        <v>3204</v>
      </c>
      <c r="K9" s="63" t="str">
        <f t="shared" si="4"/>
        <v>XGI-A12AInput</v>
      </c>
      <c r="L9" s="59">
        <f t="shared" si="0"/>
        <v>1</v>
      </c>
      <c r="M9" s="59">
        <f t="shared" si="1"/>
        <v>1</v>
      </c>
      <c r="N9" s="59">
        <f t="shared" si="5"/>
        <v>0</v>
      </c>
      <c r="O9" s="60">
        <f t="shared" si="2"/>
        <v>9</v>
      </c>
      <c r="P9" s="65" t="s">
        <v>3214</v>
      </c>
      <c r="Q9">
        <f>O9</f>
        <v>9</v>
      </c>
      <c r="R9" t="s">
        <v>3215</v>
      </c>
      <c r="S9">
        <v>10</v>
      </c>
      <c r="T9" t="str">
        <f t="shared" si="6"/>
        <v>All data map'!$F$9:$J$10</v>
      </c>
      <c r="V9" t="s">
        <v>3221</v>
      </c>
    </row>
    <row r="10" spans="3:22">
      <c r="C10" s="83" t="s">
        <v>40</v>
      </c>
      <c r="D10" s="75">
        <v>2</v>
      </c>
      <c r="E10" s="75">
        <v>0</v>
      </c>
      <c r="F10" s="81" t="s">
        <v>14</v>
      </c>
      <c r="G10" s="62" t="s">
        <v>3612</v>
      </c>
      <c r="H10" s="55" t="s">
        <v>139</v>
      </c>
      <c r="I10" s="59">
        <v>0</v>
      </c>
      <c r="J10" s="60" t="s">
        <v>3204</v>
      </c>
      <c r="K10" s="63" t="str">
        <f t="shared" si="4"/>
        <v>XGI-A21AInput</v>
      </c>
      <c r="L10" s="59">
        <f t="shared" si="0"/>
        <v>1</v>
      </c>
      <c r="M10" s="59">
        <f t="shared" si="1"/>
        <v>1</v>
      </c>
      <c r="N10" s="59">
        <f t="shared" si="5"/>
        <v>0</v>
      </c>
      <c r="O10" s="60">
        <f t="shared" si="2"/>
        <v>10</v>
      </c>
      <c r="P10" s="65" t="s">
        <v>3214</v>
      </c>
      <c r="Q10">
        <f>O10</f>
        <v>10</v>
      </c>
      <c r="R10" t="s">
        <v>3215</v>
      </c>
      <c r="S10">
        <v>11</v>
      </c>
      <c r="T10" t="str">
        <f t="shared" si="6"/>
        <v>All data map'!$F$10:$J$11</v>
      </c>
      <c r="V10" s="67" t="s">
        <v>3595</v>
      </c>
    </row>
    <row r="11" spans="3:22">
      <c r="C11" s="83" t="s">
        <v>41</v>
      </c>
      <c r="D11" s="75">
        <v>2</v>
      </c>
      <c r="E11" s="75">
        <v>0</v>
      </c>
      <c r="F11" s="81" t="s">
        <v>14</v>
      </c>
      <c r="G11" s="62" t="s">
        <v>3612</v>
      </c>
      <c r="H11" s="55" t="s">
        <v>139</v>
      </c>
      <c r="I11" s="59">
        <v>0</v>
      </c>
      <c r="J11" s="60" t="s">
        <v>3204</v>
      </c>
      <c r="K11" s="63" t="str">
        <f t="shared" si="4"/>
        <v>XGI-A21CInput</v>
      </c>
      <c r="L11" s="59">
        <f t="shared" si="0"/>
        <v>1</v>
      </c>
      <c r="M11" s="59">
        <f t="shared" si="1"/>
        <v>1</v>
      </c>
      <c r="N11" s="59">
        <f t="shared" si="5"/>
        <v>0</v>
      </c>
      <c r="O11" s="60">
        <f t="shared" si="2"/>
        <v>11</v>
      </c>
      <c r="P11" s="65" t="s">
        <v>3214</v>
      </c>
      <c r="Q11">
        <f>O11</f>
        <v>11</v>
      </c>
      <c r="R11" t="s">
        <v>3215</v>
      </c>
      <c r="S11">
        <v>12</v>
      </c>
      <c r="T11" t="str">
        <f>P11&amp;Q11&amp;R11&amp;S11</f>
        <v>All data map'!$F$11:$J$12</v>
      </c>
      <c r="V11" s="67" t="s">
        <v>3594</v>
      </c>
    </row>
    <row r="12" spans="3:22">
      <c r="C12" s="83" t="s">
        <v>42</v>
      </c>
      <c r="D12" s="75">
        <v>2</v>
      </c>
      <c r="E12" s="75">
        <v>0</v>
      </c>
      <c r="F12" s="81" t="s">
        <v>14</v>
      </c>
      <c r="G12" s="62" t="s">
        <v>3612</v>
      </c>
      <c r="H12" s="55" t="s">
        <v>139</v>
      </c>
      <c r="I12" s="59">
        <v>0</v>
      </c>
      <c r="J12" s="60" t="s">
        <v>3204</v>
      </c>
      <c r="K12" s="63" t="str">
        <f t="shared" si="4"/>
        <v>XGI-D21DInput</v>
      </c>
      <c r="L12" s="59">
        <f t="shared" si="0"/>
        <v>1</v>
      </c>
      <c r="M12" s="59">
        <f t="shared" si="1"/>
        <v>1</v>
      </c>
      <c r="N12" s="59">
        <f t="shared" si="5"/>
        <v>0</v>
      </c>
      <c r="O12" s="60">
        <f t="shared" si="2"/>
        <v>12</v>
      </c>
      <c r="P12" s="65" t="s">
        <v>3214</v>
      </c>
      <c r="Q12">
        <f t="shared" ref="Q12:Q25" si="7">O12</f>
        <v>12</v>
      </c>
      <c r="R12" t="s">
        <v>3215</v>
      </c>
      <c r="S12">
        <v>13</v>
      </c>
      <c r="T12" t="str">
        <f t="shared" si="6"/>
        <v>All data map'!$F$12:$J$13</v>
      </c>
      <c r="V12" t="s">
        <v>3222</v>
      </c>
    </row>
    <row r="13" spans="3:22">
      <c r="C13" s="83" t="s">
        <v>43</v>
      </c>
      <c r="D13" s="75">
        <v>0</v>
      </c>
      <c r="E13" s="75">
        <v>2</v>
      </c>
      <c r="F13" s="81" t="s">
        <v>15</v>
      </c>
      <c r="G13" s="62" t="s">
        <v>3615</v>
      </c>
      <c r="H13" s="55" t="s">
        <v>139</v>
      </c>
      <c r="I13" s="59">
        <v>0</v>
      </c>
      <c r="J13" s="60" t="s">
        <v>3205</v>
      </c>
      <c r="K13" s="63"/>
      <c r="L13" s="59">
        <f t="shared" si="0"/>
        <v>1</v>
      </c>
      <c r="M13" s="59">
        <f t="shared" si="1"/>
        <v>0</v>
      </c>
      <c r="N13" s="59">
        <f t="shared" si="5"/>
        <v>1</v>
      </c>
      <c r="O13" s="60">
        <f t="shared" si="2"/>
        <v>13</v>
      </c>
      <c r="P13" s="65" t="s">
        <v>3214</v>
      </c>
      <c r="Q13">
        <f t="shared" si="7"/>
        <v>13</v>
      </c>
      <c r="R13" t="s">
        <v>3215</v>
      </c>
      <c r="S13">
        <v>14</v>
      </c>
      <c r="T13" t="str">
        <f t="shared" si="6"/>
        <v>All data map'!$F$13:$J$14</v>
      </c>
      <c r="V13" t="s">
        <v>3223</v>
      </c>
    </row>
    <row r="14" spans="3:22">
      <c r="C14" s="83" t="s">
        <v>44</v>
      </c>
      <c r="D14" s="75">
        <v>0</v>
      </c>
      <c r="E14" s="75">
        <v>2</v>
      </c>
      <c r="F14" s="81" t="s">
        <v>15</v>
      </c>
      <c r="G14" s="62" t="s">
        <v>3614</v>
      </c>
      <c r="H14" s="55" t="s">
        <v>139</v>
      </c>
      <c r="I14" s="59">
        <v>0</v>
      </c>
      <c r="J14" s="60" t="s">
        <v>3205</v>
      </c>
      <c r="K14" s="63"/>
      <c r="L14" s="59">
        <f t="shared" si="0"/>
        <v>1</v>
      </c>
      <c r="M14" s="59">
        <f t="shared" si="1"/>
        <v>0</v>
      </c>
      <c r="N14" s="59">
        <f t="shared" si="5"/>
        <v>1</v>
      </c>
      <c r="O14" s="60">
        <f t="shared" si="2"/>
        <v>14</v>
      </c>
      <c r="P14" s="65" t="s">
        <v>3214</v>
      </c>
      <c r="Q14">
        <f t="shared" si="7"/>
        <v>14</v>
      </c>
      <c r="R14" t="s">
        <v>3215</v>
      </c>
      <c r="S14">
        <v>15</v>
      </c>
      <c r="T14" t="str">
        <f t="shared" si="6"/>
        <v>All data map'!$F$14:$J$15</v>
      </c>
      <c r="V14" t="s">
        <v>3224</v>
      </c>
    </row>
    <row r="15" spans="3:22">
      <c r="C15" s="83" t="s">
        <v>45</v>
      </c>
      <c r="D15" s="75">
        <v>0</v>
      </c>
      <c r="E15" s="75">
        <v>2</v>
      </c>
      <c r="F15" s="81" t="s">
        <v>15</v>
      </c>
      <c r="G15" s="62" t="s">
        <v>3614</v>
      </c>
      <c r="H15" s="55" t="s">
        <v>139</v>
      </c>
      <c r="I15" s="59">
        <v>0</v>
      </c>
      <c r="J15" s="60" t="s">
        <v>3205</v>
      </c>
      <c r="K15" s="63"/>
      <c r="L15" s="59">
        <f t="shared" si="0"/>
        <v>1</v>
      </c>
      <c r="M15" s="59">
        <f t="shared" si="1"/>
        <v>0</v>
      </c>
      <c r="N15" s="59">
        <f t="shared" si="5"/>
        <v>1</v>
      </c>
      <c r="O15" s="60">
        <f t="shared" si="2"/>
        <v>15</v>
      </c>
      <c r="P15" s="65" t="s">
        <v>3214</v>
      </c>
      <c r="Q15">
        <f t="shared" si="7"/>
        <v>15</v>
      </c>
      <c r="R15" t="s">
        <v>3215</v>
      </c>
      <c r="S15">
        <v>16</v>
      </c>
      <c r="T15" t="str">
        <f t="shared" si="6"/>
        <v>All data map'!$F$15:$J$16</v>
      </c>
      <c r="V15" t="s">
        <v>3225</v>
      </c>
    </row>
    <row r="16" spans="3:22">
      <c r="C16" s="83" t="s">
        <v>46</v>
      </c>
      <c r="D16" s="75">
        <v>0</v>
      </c>
      <c r="E16" s="75">
        <v>2</v>
      </c>
      <c r="F16" s="81" t="s">
        <v>15</v>
      </c>
      <c r="G16" s="62" t="s">
        <v>3614</v>
      </c>
      <c r="H16" s="55" t="s">
        <v>139</v>
      </c>
      <c r="I16" s="59">
        <v>0</v>
      </c>
      <c r="J16" s="60" t="s">
        <v>3205</v>
      </c>
      <c r="K16" s="63"/>
      <c r="L16" s="59">
        <f t="shared" si="0"/>
        <v>1</v>
      </c>
      <c r="M16" s="59">
        <f t="shared" si="1"/>
        <v>0</v>
      </c>
      <c r="N16" s="59">
        <f t="shared" si="5"/>
        <v>1</v>
      </c>
      <c r="O16" s="60">
        <f t="shared" si="2"/>
        <v>16</v>
      </c>
      <c r="P16" s="65" t="s">
        <v>3214</v>
      </c>
      <c r="Q16">
        <f t="shared" si="7"/>
        <v>16</v>
      </c>
      <c r="R16" t="s">
        <v>3215</v>
      </c>
      <c r="S16">
        <v>17</v>
      </c>
      <c r="T16" t="str">
        <f t="shared" si="6"/>
        <v>All data map'!$F$16:$J$17</v>
      </c>
      <c r="V16" t="s">
        <v>3226</v>
      </c>
    </row>
    <row r="17" spans="3:22">
      <c r="C17" s="83" t="s">
        <v>47</v>
      </c>
      <c r="D17" s="75">
        <v>0</v>
      </c>
      <c r="E17" s="75">
        <v>2</v>
      </c>
      <c r="F17" s="81" t="s">
        <v>15</v>
      </c>
      <c r="G17" s="62" t="s">
        <v>3614</v>
      </c>
      <c r="H17" s="55" t="s">
        <v>139</v>
      </c>
      <c r="I17" s="59">
        <v>0</v>
      </c>
      <c r="J17" s="60" t="s">
        <v>3205</v>
      </c>
      <c r="K17" s="63"/>
      <c r="L17" s="59">
        <f t="shared" si="0"/>
        <v>1</v>
      </c>
      <c r="M17" s="59">
        <f t="shared" si="1"/>
        <v>0</v>
      </c>
      <c r="N17" s="59">
        <f t="shared" si="5"/>
        <v>1</v>
      </c>
      <c r="O17" s="60">
        <f t="shared" si="2"/>
        <v>17</v>
      </c>
      <c r="P17" s="65" t="s">
        <v>3214</v>
      </c>
      <c r="Q17">
        <f t="shared" si="7"/>
        <v>17</v>
      </c>
      <c r="R17" t="s">
        <v>3215</v>
      </c>
      <c r="S17">
        <v>18</v>
      </c>
      <c r="T17" t="str">
        <f t="shared" si="6"/>
        <v>All data map'!$F$17:$J$18</v>
      </c>
      <c r="V17" t="s">
        <v>3227</v>
      </c>
    </row>
    <row r="18" spans="3:22">
      <c r="C18" s="83" t="s">
        <v>48</v>
      </c>
      <c r="D18" s="75">
        <v>0</v>
      </c>
      <c r="E18" s="75">
        <v>2</v>
      </c>
      <c r="F18" s="81" t="s">
        <v>15</v>
      </c>
      <c r="G18" s="62" t="s">
        <v>3614</v>
      </c>
      <c r="H18" s="55" t="s">
        <v>139</v>
      </c>
      <c r="I18" s="59">
        <v>0</v>
      </c>
      <c r="J18" s="60" t="s">
        <v>3205</v>
      </c>
      <c r="K18" s="63"/>
      <c r="L18" s="59">
        <f t="shared" si="0"/>
        <v>1</v>
      </c>
      <c r="M18" s="59">
        <f t="shared" si="1"/>
        <v>0</v>
      </c>
      <c r="N18" s="59">
        <f t="shared" si="5"/>
        <v>1</v>
      </c>
      <c r="O18" s="60">
        <f t="shared" si="2"/>
        <v>18</v>
      </c>
      <c r="P18" s="65" t="s">
        <v>3214</v>
      </c>
      <c r="Q18">
        <f t="shared" si="7"/>
        <v>18</v>
      </c>
      <c r="R18" t="s">
        <v>3215</v>
      </c>
      <c r="S18">
        <v>19</v>
      </c>
      <c r="T18" t="str">
        <f t="shared" si="6"/>
        <v>All data map'!$F$18:$J$19</v>
      </c>
      <c r="V18" t="s">
        <v>3228</v>
      </c>
    </row>
    <row r="19" spans="3:22">
      <c r="C19" s="83" t="s">
        <v>49</v>
      </c>
      <c r="D19" s="75">
        <v>0</v>
      </c>
      <c r="E19" s="75">
        <v>4</v>
      </c>
      <c r="F19" s="81" t="s">
        <v>15</v>
      </c>
      <c r="G19" s="62" t="s">
        <v>3618</v>
      </c>
      <c r="H19" s="55" t="s">
        <v>139</v>
      </c>
      <c r="I19" s="59">
        <v>0</v>
      </c>
      <c r="J19" s="60" t="s">
        <v>3205</v>
      </c>
      <c r="K19" s="63"/>
      <c r="L19" s="59">
        <f t="shared" si="0"/>
        <v>1</v>
      </c>
      <c r="M19" s="59">
        <f t="shared" si="1"/>
        <v>0</v>
      </c>
      <c r="N19" s="59">
        <f t="shared" si="5"/>
        <v>1</v>
      </c>
      <c r="O19" s="60">
        <f t="shared" si="2"/>
        <v>19</v>
      </c>
      <c r="P19" s="65" t="s">
        <v>3214</v>
      </c>
      <c r="Q19">
        <f t="shared" si="7"/>
        <v>19</v>
      </c>
      <c r="R19" t="s">
        <v>3215</v>
      </c>
      <c r="S19">
        <v>20</v>
      </c>
      <c r="T19" t="str">
        <f t="shared" si="6"/>
        <v>All data map'!$F$19:$J$20</v>
      </c>
      <c r="V19" t="s">
        <v>3229</v>
      </c>
    </row>
    <row r="20" spans="3:22">
      <c r="C20" s="83" t="s">
        <v>50</v>
      </c>
      <c r="D20" s="75">
        <v>0</v>
      </c>
      <c r="E20" s="75">
        <v>4</v>
      </c>
      <c r="F20" s="81" t="s">
        <v>15</v>
      </c>
      <c r="G20" s="62" t="s">
        <v>3618</v>
      </c>
      <c r="H20" s="55" t="s">
        <v>139</v>
      </c>
      <c r="I20" s="59">
        <v>0</v>
      </c>
      <c r="J20" s="60" t="s">
        <v>3205</v>
      </c>
      <c r="K20" s="63"/>
      <c r="L20" s="59">
        <f t="shared" si="0"/>
        <v>1</v>
      </c>
      <c r="M20" s="59">
        <f t="shared" si="1"/>
        <v>0</v>
      </c>
      <c r="N20" s="59">
        <f t="shared" si="5"/>
        <v>1</v>
      </c>
      <c r="O20" s="60">
        <f t="shared" si="2"/>
        <v>20</v>
      </c>
      <c r="P20" s="65" t="s">
        <v>3214</v>
      </c>
      <c r="Q20">
        <f t="shared" si="7"/>
        <v>20</v>
      </c>
      <c r="R20" t="s">
        <v>3215</v>
      </c>
      <c r="S20">
        <v>21</v>
      </c>
      <c r="T20" t="str">
        <f t="shared" si="6"/>
        <v>All data map'!$F$20:$J$21</v>
      </c>
      <c r="V20" t="s">
        <v>3230</v>
      </c>
    </row>
    <row r="21" spans="3:22">
      <c r="C21" s="83" t="s">
        <v>51</v>
      </c>
      <c r="D21" s="75">
        <v>0</v>
      </c>
      <c r="E21" s="75">
        <v>8</v>
      </c>
      <c r="F21" s="81" t="s">
        <v>15</v>
      </c>
      <c r="G21" s="62" t="s">
        <v>3619</v>
      </c>
      <c r="H21" s="55" t="s">
        <v>139</v>
      </c>
      <c r="I21" s="59">
        <v>0</v>
      </c>
      <c r="J21" s="60" t="s">
        <v>3205</v>
      </c>
      <c r="K21" s="63"/>
      <c r="L21" s="59">
        <f t="shared" si="0"/>
        <v>1</v>
      </c>
      <c r="M21" s="59">
        <f t="shared" si="1"/>
        <v>0</v>
      </c>
      <c r="N21" s="59">
        <f t="shared" si="5"/>
        <v>1</v>
      </c>
      <c r="O21" s="60">
        <f t="shared" si="2"/>
        <v>21</v>
      </c>
      <c r="P21" s="65" t="s">
        <v>3214</v>
      </c>
      <c r="Q21">
        <f t="shared" si="7"/>
        <v>21</v>
      </c>
      <c r="R21" t="s">
        <v>3215</v>
      </c>
      <c r="S21">
        <v>22</v>
      </c>
      <c r="T21" t="str">
        <f t="shared" si="6"/>
        <v>All data map'!$F$21:$J$22</v>
      </c>
      <c r="V21" t="s">
        <v>3231</v>
      </c>
    </row>
    <row r="22" spans="3:22">
      <c r="C22" s="83" t="s">
        <v>52</v>
      </c>
      <c r="D22" s="75">
        <v>0</v>
      </c>
      <c r="E22" s="75">
        <v>8</v>
      </c>
      <c r="F22" s="81" t="s">
        <v>15</v>
      </c>
      <c r="G22" s="62" t="s">
        <v>3619</v>
      </c>
      <c r="H22" s="55" t="s">
        <v>139</v>
      </c>
      <c r="I22" s="59">
        <v>0</v>
      </c>
      <c r="J22" s="60" t="s">
        <v>3205</v>
      </c>
      <c r="K22" s="63"/>
      <c r="L22" s="59">
        <f t="shared" si="0"/>
        <v>1</v>
      </c>
      <c r="M22" s="59">
        <f t="shared" si="1"/>
        <v>0</v>
      </c>
      <c r="N22" s="59">
        <f t="shared" si="5"/>
        <v>1</v>
      </c>
      <c r="O22" s="60">
        <f t="shared" si="2"/>
        <v>22</v>
      </c>
      <c r="P22" s="65" t="s">
        <v>3214</v>
      </c>
      <c r="Q22">
        <f t="shared" si="7"/>
        <v>22</v>
      </c>
      <c r="R22" t="s">
        <v>3215</v>
      </c>
      <c r="S22">
        <v>23</v>
      </c>
      <c r="T22" t="str">
        <f t="shared" si="6"/>
        <v>All data map'!$F$22:$J$23</v>
      </c>
      <c r="V22" t="s">
        <v>3232</v>
      </c>
    </row>
    <row r="23" spans="3:22">
      <c r="C23" s="83" t="s">
        <v>53</v>
      </c>
      <c r="D23" s="75">
        <v>0</v>
      </c>
      <c r="E23" s="75">
        <v>2</v>
      </c>
      <c r="F23" s="81" t="s">
        <v>15</v>
      </c>
      <c r="G23" s="62" t="s">
        <v>3614</v>
      </c>
      <c r="H23" s="55" t="s">
        <v>139</v>
      </c>
      <c r="I23" s="59">
        <v>0</v>
      </c>
      <c r="J23" s="60" t="s">
        <v>3205</v>
      </c>
      <c r="K23" s="63"/>
      <c r="L23" s="59">
        <f t="shared" si="0"/>
        <v>1</v>
      </c>
      <c r="M23" s="59">
        <f t="shared" si="1"/>
        <v>0</v>
      </c>
      <c r="N23" s="59">
        <f t="shared" si="5"/>
        <v>1</v>
      </c>
      <c r="O23" s="60">
        <f t="shared" si="2"/>
        <v>23</v>
      </c>
      <c r="P23" s="65" t="s">
        <v>3214</v>
      </c>
      <c r="Q23">
        <f t="shared" si="7"/>
        <v>23</v>
      </c>
      <c r="R23" t="s">
        <v>3215</v>
      </c>
      <c r="S23">
        <v>24</v>
      </c>
      <c r="T23" t="str">
        <f t="shared" si="6"/>
        <v>All data map'!$F$23:$J$24</v>
      </c>
      <c r="V23" t="s">
        <v>3233</v>
      </c>
    </row>
    <row r="24" spans="3:22">
      <c r="C24" s="83" t="s">
        <v>54</v>
      </c>
      <c r="D24" s="75">
        <v>2</v>
      </c>
      <c r="E24" s="75">
        <v>2</v>
      </c>
      <c r="F24" s="81" t="s">
        <v>15</v>
      </c>
      <c r="G24" s="62" t="s">
        <v>3614</v>
      </c>
      <c r="H24" s="55" t="s">
        <v>139</v>
      </c>
      <c r="I24" s="59">
        <v>0</v>
      </c>
      <c r="J24" s="60" t="s">
        <v>3205</v>
      </c>
      <c r="K24" s="63"/>
      <c r="L24" s="59">
        <f t="shared" si="0"/>
        <v>1</v>
      </c>
      <c r="M24" s="59">
        <f t="shared" si="1"/>
        <v>0</v>
      </c>
      <c r="N24" s="59">
        <f t="shared" si="5"/>
        <v>1</v>
      </c>
      <c r="O24" s="60">
        <f t="shared" si="2"/>
        <v>24</v>
      </c>
      <c r="P24" s="65" t="s">
        <v>3214</v>
      </c>
      <c r="Q24">
        <f t="shared" si="7"/>
        <v>24</v>
      </c>
      <c r="R24" t="s">
        <v>3215</v>
      </c>
      <c r="S24">
        <v>25</v>
      </c>
      <c r="T24" t="str">
        <f t="shared" si="6"/>
        <v>All data map'!$F$24:$J$25</v>
      </c>
      <c r="V24" t="s">
        <v>3234</v>
      </c>
    </row>
    <row r="25" spans="3:22">
      <c r="C25" s="83" t="s">
        <v>79</v>
      </c>
      <c r="D25" s="75">
        <v>2</v>
      </c>
      <c r="E25" s="75">
        <v>2</v>
      </c>
      <c r="F25" s="81" t="s">
        <v>14</v>
      </c>
      <c r="G25" s="62" t="s">
        <v>3612</v>
      </c>
      <c r="H25" s="55" t="s">
        <v>139</v>
      </c>
      <c r="I25" s="59">
        <v>0</v>
      </c>
      <c r="J25" s="60" t="s">
        <v>3204</v>
      </c>
      <c r="K25" s="63" t="str">
        <f t="shared" ref="K25:K84" si="8">C25&amp;F25</f>
        <v>XGH-DT4AInput</v>
      </c>
      <c r="L25" s="59">
        <f t="shared" si="0"/>
        <v>2</v>
      </c>
      <c r="M25" s="59">
        <f t="shared" si="1"/>
        <v>1</v>
      </c>
      <c r="N25" s="59">
        <f t="shared" si="5"/>
        <v>1</v>
      </c>
      <c r="O25" s="60">
        <f t="shared" si="2"/>
        <v>25</v>
      </c>
      <c r="P25" s="65" t="s">
        <v>3214</v>
      </c>
      <c r="Q25">
        <f t="shared" si="7"/>
        <v>25</v>
      </c>
      <c r="R25" t="s">
        <v>3215</v>
      </c>
      <c r="S25">
        <v>27</v>
      </c>
      <c r="T25" t="str">
        <f t="shared" si="6"/>
        <v>All data map'!$F$25:$J$27</v>
      </c>
      <c r="V25" t="s">
        <v>3235</v>
      </c>
    </row>
    <row r="26" spans="3:22">
      <c r="C26" s="83" t="s">
        <v>79</v>
      </c>
      <c r="D26" s="75"/>
      <c r="E26" s="75"/>
      <c r="F26" s="81" t="s">
        <v>15</v>
      </c>
      <c r="G26" s="62" t="s">
        <v>3614</v>
      </c>
      <c r="H26" s="55" t="s">
        <v>139</v>
      </c>
      <c r="I26" s="59">
        <v>0</v>
      </c>
      <c r="J26" s="60" t="s">
        <v>3205</v>
      </c>
      <c r="K26" s="63"/>
      <c r="L26" s="59">
        <f t="shared" si="0"/>
        <v>2</v>
      </c>
      <c r="M26" s="59">
        <f t="shared" si="1"/>
        <v>0</v>
      </c>
      <c r="N26" s="59">
        <f>L26-M26</f>
        <v>2</v>
      </c>
      <c r="O26" s="60">
        <f t="shared" si="2"/>
        <v>26</v>
      </c>
      <c r="P26" s="65"/>
    </row>
    <row r="27" spans="3:22">
      <c r="C27" s="83" t="s">
        <v>55</v>
      </c>
      <c r="D27" s="75">
        <v>26</v>
      </c>
      <c r="E27" s="75">
        <v>2</v>
      </c>
      <c r="F27" s="81" t="s">
        <v>151</v>
      </c>
      <c r="G27" s="55" t="s">
        <v>371</v>
      </c>
      <c r="H27" s="55" t="s">
        <v>124</v>
      </c>
      <c r="I27" s="59">
        <v>0</v>
      </c>
      <c r="J27" s="60" t="s">
        <v>173</v>
      </c>
      <c r="K27" s="63" t="str">
        <f t="shared" si="8"/>
        <v>XGF-AV8AInput</v>
      </c>
      <c r="L27" s="59">
        <f t="shared" si="0"/>
        <v>43</v>
      </c>
      <c r="M27" s="59">
        <f t="shared" si="1"/>
        <v>42</v>
      </c>
      <c r="N27" s="59">
        <f t="shared" si="5"/>
        <v>1</v>
      </c>
      <c r="O27" s="60">
        <f t="shared" si="2"/>
        <v>27</v>
      </c>
      <c r="P27" s="65" t="s">
        <v>3214</v>
      </c>
      <c r="Q27">
        <f>O27</f>
        <v>27</v>
      </c>
      <c r="R27" t="s">
        <v>3215</v>
      </c>
      <c r="S27">
        <v>70</v>
      </c>
      <c r="T27" t="str">
        <f t="shared" si="6"/>
        <v>All data map'!$F$27:$J$70</v>
      </c>
      <c r="V27" t="s">
        <v>3236</v>
      </c>
    </row>
    <row r="28" spans="3:22">
      <c r="C28" s="83" t="s">
        <v>55</v>
      </c>
      <c r="D28" s="75"/>
      <c r="E28" s="75"/>
      <c r="F28" s="81" t="s">
        <v>151</v>
      </c>
      <c r="G28" s="55" t="s">
        <v>372</v>
      </c>
      <c r="H28" s="55" t="s">
        <v>124</v>
      </c>
      <c r="I28" s="59" t="s">
        <v>126</v>
      </c>
      <c r="J28" s="60" t="s">
        <v>175</v>
      </c>
      <c r="K28" s="63" t="str">
        <f t="shared" si="8"/>
        <v>XGF-AV8AInput</v>
      </c>
      <c r="L28" s="59">
        <f t="shared" si="0"/>
        <v>43</v>
      </c>
      <c r="M28" s="59">
        <f t="shared" si="1"/>
        <v>42</v>
      </c>
      <c r="N28" s="59">
        <f t="shared" ref="N28:N91" si="9">L28-M28</f>
        <v>1</v>
      </c>
      <c r="O28" s="60">
        <f t="shared" si="2"/>
        <v>28</v>
      </c>
      <c r="P28" s="65"/>
    </row>
    <row r="29" spans="3:22">
      <c r="C29" s="83" t="s">
        <v>55</v>
      </c>
      <c r="D29" s="75"/>
      <c r="E29" s="75"/>
      <c r="F29" s="81" t="s">
        <v>151</v>
      </c>
      <c r="G29" s="55" t="s">
        <v>373</v>
      </c>
      <c r="H29" s="55" t="s">
        <v>124</v>
      </c>
      <c r="I29" s="59">
        <v>1</v>
      </c>
      <c r="J29" s="60" t="s">
        <v>177</v>
      </c>
      <c r="K29" s="63" t="str">
        <f t="shared" si="8"/>
        <v>XGF-AV8AInput</v>
      </c>
      <c r="L29" s="59">
        <f t="shared" si="0"/>
        <v>43</v>
      </c>
      <c r="M29" s="59">
        <f t="shared" si="1"/>
        <v>42</v>
      </c>
      <c r="N29" s="59">
        <f t="shared" si="9"/>
        <v>1</v>
      </c>
      <c r="O29" s="60">
        <f t="shared" si="2"/>
        <v>29</v>
      </c>
      <c r="P29" s="65"/>
    </row>
    <row r="30" spans="3:22">
      <c r="C30" s="83" t="s">
        <v>55</v>
      </c>
      <c r="D30" s="75"/>
      <c r="E30" s="75"/>
      <c r="F30" s="81" t="s">
        <v>151</v>
      </c>
      <c r="G30" s="55" t="s">
        <v>374</v>
      </c>
      <c r="H30" s="55" t="s">
        <v>124</v>
      </c>
      <c r="I30" s="59">
        <v>1.1000000000000001</v>
      </c>
      <c r="J30" s="60" t="s">
        <v>179</v>
      </c>
      <c r="K30" s="63" t="str">
        <f t="shared" si="8"/>
        <v>XGF-AV8AInput</v>
      </c>
      <c r="L30" s="59">
        <f t="shared" si="0"/>
        <v>43</v>
      </c>
      <c r="M30" s="59">
        <f t="shared" si="1"/>
        <v>42</v>
      </c>
      <c r="N30" s="59">
        <f t="shared" si="9"/>
        <v>1</v>
      </c>
      <c r="O30" s="60">
        <f t="shared" si="2"/>
        <v>30</v>
      </c>
      <c r="P30" s="65"/>
    </row>
    <row r="31" spans="3:22">
      <c r="C31" s="83" t="s">
        <v>55</v>
      </c>
      <c r="D31" s="75"/>
      <c r="E31" s="75"/>
      <c r="F31" s="81" t="s">
        <v>151</v>
      </c>
      <c r="G31" s="55" t="s">
        <v>375</v>
      </c>
      <c r="H31" s="55" t="s">
        <v>124</v>
      </c>
      <c r="I31" s="59">
        <v>1.2</v>
      </c>
      <c r="J31" s="60" t="s">
        <v>181</v>
      </c>
      <c r="K31" s="63" t="str">
        <f t="shared" si="8"/>
        <v>XGF-AV8AInput</v>
      </c>
      <c r="L31" s="59">
        <f t="shared" si="0"/>
        <v>43</v>
      </c>
      <c r="M31" s="59">
        <f t="shared" si="1"/>
        <v>42</v>
      </c>
      <c r="N31" s="59">
        <f t="shared" si="9"/>
        <v>1</v>
      </c>
      <c r="O31" s="60">
        <f t="shared" si="2"/>
        <v>31</v>
      </c>
      <c r="P31" s="65"/>
    </row>
    <row r="32" spans="3:22">
      <c r="C32" s="83" t="s">
        <v>55</v>
      </c>
      <c r="D32" s="75"/>
      <c r="E32" s="75"/>
      <c r="F32" s="81" t="s">
        <v>151</v>
      </c>
      <c r="G32" s="55" t="s">
        <v>376</v>
      </c>
      <c r="H32" s="55" t="s">
        <v>124</v>
      </c>
      <c r="I32" s="59">
        <v>1.3</v>
      </c>
      <c r="J32" s="60" t="s">
        <v>183</v>
      </c>
      <c r="K32" s="63" t="str">
        <f t="shared" si="8"/>
        <v>XGF-AV8AInput</v>
      </c>
      <c r="L32" s="59">
        <f t="shared" si="0"/>
        <v>43</v>
      </c>
      <c r="M32" s="59">
        <f t="shared" si="1"/>
        <v>42</v>
      </c>
      <c r="N32" s="59">
        <f t="shared" si="9"/>
        <v>1</v>
      </c>
      <c r="O32" s="60">
        <f t="shared" si="2"/>
        <v>32</v>
      </c>
      <c r="P32" s="65"/>
    </row>
    <row r="33" spans="3:16">
      <c r="C33" s="83" t="s">
        <v>55</v>
      </c>
      <c r="D33" s="75"/>
      <c r="E33" s="75"/>
      <c r="F33" s="81" t="s">
        <v>151</v>
      </c>
      <c r="G33" s="55" t="s">
        <v>377</v>
      </c>
      <c r="H33" s="55" t="s">
        <v>124</v>
      </c>
      <c r="I33" s="59">
        <v>1.4</v>
      </c>
      <c r="J33" s="60" t="s">
        <v>185</v>
      </c>
      <c r="K33" s="63" t="str">
        <f t="shared" si="8"/>
        <v>XGF-AV8AInput</v>
      </c>
      <c r="L33" s="59">
        <f t="shared" si="0"/>
        <v>43</v>
      </c>
      <c r="M33" s="59">
        <f t="shared" si="1"/>
        <v>42</v>
      </c>
      <c r="N33" s="59">
        <f t="shared" si="9"/>
        <v>1</v>
      </c>
      <c r="O33" s="60">
        <f t="shared" si="2"/>
        <v>33</v>
      </c>
      <c r="P33" s="65"/>
    </row>
    <row r="34" spans="3:16">
      <c r="C34" s="83" t="s">
        <v>55</v>
      </c>
      <c r="D34" s="75"/>
      <c r="E34" s="75"/>
      <c r="F34" s="81" t="s">
        <v>151</v>
      </c>
      <c r="G34" s="55" t="s">
        <v>378</v>
      </c>
      <c r="H34" s="55" t="s">
        <v>124</v>
      </c>
      <c r="I34" s="59">
        <v>1.5</v>
      </c>
      <c r="J34" s="60" t="s">
        <v>187</v>
      </c>
      <c r="K34" s="63" t="str">
        <f t="shared" si="8"/>
        <v>XGF-AV8AInput</v>
      </c>
      <c r="L34" s="59">
        <f t="shared" ref="L34:L68" si="10">COUNTIF($C$2:$C$2062,C34)</f>
        <v>43</v>
      </c>
      <c r="M34" s="59">
        <f t="shared" ref="M34:M68" si="11">COUNTIF($K$2:$K$2062,K34)</f>
        <v>42</v>
      </c>
      <c r="N34" s="59">
        <f t="shared" si="9"/>
        <v>1</v>
      </c>
      <c r="O34" s="60">
        <f t="shared" si="2"/>
        <v>34</v>
      </c>
      <c r="P34" s="65"/>
    </row>
    <row r="35" spans="3:16">
      <c r="C35" s="83" t="s">
        <v>55</v>
      </c>
      <c r="D35" s="75"/>
      <c r="E35" s="75"/>
      <c r="F35" s="81" t="s">
        <v>151</v>
      </c>
      <c r="G35" s="55" t="s">
        <v>379</v>
      </c>
      <c r="H35" s="55" t="s">
        <v>124</v>
      </c>
      <c r="I35" s="59">
        <v>1.6</v>
      </c>
      <c r="J35" s="60" t="s">
        <v>189</v>
      </c>
      <c r="K35" s="63" t="str">
        <f t="shared" si="8"/>
        <v>XGF-AV8AInput</v>
      </c>
      <c r="L35" s="59">
        <f t="shared" si="10"/>
        <v>43</v>
      </c>
      <c r="M35" s="59">
        <f t="shared" si="11"/>
        <v>42</v>
      </c>
      <c r="N35" s="59">
        <f t="shared" si="9"/>
        <v>1</v>
      </c>
      <c r="O35" s="60">
        <f t="shared" si="2"/>
        <v>35</v>
      </c>
      <c r="P35" s="65"/>
    </row>
    <row r="36" spans="3:16">
      <c r="C36" s="83" t="s">
        <v>55</v>
      </c>
      <c r="D36" s="75"/>
      <c r="E36" s="75"/>
      <c r="F36" s="81" t="s">
        <v>151</v>
      </c>
      <c r="G36" s="55" t="s">
        <v>380</v>
      </c>
      <c r="H36" s="55" t="s">
        <v>124</v>
      </c>
      <c r="I36" s="59">
        <v>1.7</v>
      </c>
      <c r="J36" s="60" t="s">
        <v>191</v>
      </c>
      <c r="K36" s="63" t="str">
        <f t="shared" si="8"/>
        <v>XGF-AV8AInput</v>
      </c>
      <c r="L36" s="59">
        <f t="shared" si="10"/>
        <v>43</v>
      </c>
      <c r="M36" s="59">
        <f t="shared" si="11"/>
        <v>42</v>
      </c>
      <c r="N36" s="59">
        <f t="shared" si="9"/>
        <v>1</v>
      </c>
      <c r="O36" s="60">
        <f t="shared" si="2"/>
        <v>36</v>
      </c>
      <c r="P36" s="65"/>
    </row>
    <row r="37" spans="3:16">
      <c r="C37" s="83" t="s">
        <v>55</v>
      </c>
      <c r="D37" s="75"/>
      <c r="E37" s="75"/>
      <c r="F37" s="81" t="s">
        <v>151</v>
      </c>
      <c r="G37" s="55" t="s">
        <v>381</v>
      </c>
      <c r="H37" s="55" t="s">
        <v>139</v>
      </c>
      <c r="I37" s="59">
        <v>2</v>
      </c>
      <c r="J37" s="60" t="s">
        <v>213</v>
      </c>
      <c r="K37" s="63" t="str">
        <f t="shared" si="8"/>
        <v>XGF-AV8AInput</v>
      </c>
      <c r="L37" s="59">
        <f t="shared" si="10"/>
        <v>43</v>
      </c>
      <c r="M37" s="59">
        <f t="shared" si="11"/>
        <v>42</v>
      </c>
      <c r="N37" s="59">
        <f t="shared" si="9"/>
        <v>1</v>
      </c>
      <c r="O37" s="60">
        <f t="shared" si="2"/>
        <v>37</v>
      </c>
      <c r="P37" s="65"/>
    </row>
    <row r="38" spans="3:16">
      <c r="C38" s="83" t="s">
        <v>55</v>
      </c>
      <c r="D38" s="75"/>
      <c r="E38" s="75"/>
      <c r="F38" s="81" t="s">
        <v>151</v>
      </c>
      <c r="G38" s="55" t="s">
        <v>382</v>
      </c>
      <c r="H38" s="55" t="s">
        <v>139</v>
      </c>
      <c r="I38" s="59">
        <v>3</v>
      </c>
      <c r="J38" s="60" t="s">
        <v>215</v>
      </c>
      <c r="K38" s="63" t="str">
        <f t="shared" si="8"/>
        <v>XGF-AV8AInput</v>
      </c>
      <c r="L38" s="59">
        <f t="shared" si="10"/>
        <v>43</v>
      </c>
      <c r="M38" s="59">
        <f t="shared" si="11"/>
        <v>42</v>
      </c>
      <c r="N38" s="59">
        <f t="shared" si="9"/>
        <v>1</v>
      </c>
      <c r="O38" s="60">
        <f t="shared" si="2"/>
        <v>38</v>
      </c>
      <c r="P38" s="65"/>
    </row>
    <row r="39" spans="3:16">
      <c r="C39" s="83" t="s">
        <v>55</v>
      </c>
      <c r="D39" s="75"/>
      <c r="E39" s="75"/>
      <c r="F39" s="81" t="s">
        <v>151</v>
      </c>
      <c r="G39" s="55" t="s">
        <v>383</v>
      </c>
      <c r="H39" s="55" t="s">
        <v>139</v>
      </c>
      <c r="I39" s="59">
        <v>4</v>
      </c>
      <c r="J39" s="60" t="s">
        <v>217</v>
      </c>
      <c r="K39" s="63" t="str">
        <f t="shared" si="8"/>
        <v>XGF-AV8AInput</v>
      </c>
      <c r="L39" s="59">
        <f t="shared" si="10"/>
        <v>43</v>
      </c>
      <c r="M39" s="59">
        <f t="shared" si="11"/>
        <v>42</v>
      </c>
      <c r="N39" s="59">
        <f t="shared" si="9"/>
        <v>1</v>
      </c>
      <c r="O39" s="60">
        <f t="shared" si="2"/>
        <v>39</v>
      </c>
      <c r="P39" s="65"/>
    </row>
    <row r="40" spans="3:16">
      <c r="C40" s="83" t="s">
        <v>55</v>
      </c>
      <c r="D40" s="75"/>
      <c r="E40" s="75"/>
      <c r="F40" s="81" t="s">
        <v>151</v>
      </c>
      <c r="G40" s="55" t="s">
        <v>384</v>
      </c>
      <c r="H40" s="55" t="s">
        <v>139</v>
      </c>
      <c r="I40" s="59">
        <v>5</v>
      </c>
      <c r="J40" s="60" t="s">
        <v>219</v>
      </c>
      <c r="K40" s="63" t="str">
        <f t="shared" si="8"/>
        <v>XGF-AV8AInput</v>
      </c>
      <c r="L40" s="59">
        <f t="shared" si="10"/>
        <v>43</v>
      </c>
      <c r="M40" s="59">
        <f t="shared" si="11"/>
        <v>42</v>
      </c>
      <c r="N40" s="59">
        <f t="shared" si="9"/>
        <v>1</v>
      </c>
      <c r="O40" s="60">
        <f t="shared" si="2"/>
        <v>40</v>
      </c>
      <c r="P40" s="65"/>
    </row>
    <row r="41" spans="3:16">
      <c r="C41" s="83" t="s">
        <v>55</v>
      </c>
      <c r="D41" s="75"/>
      <c r="E41" s="75"/>
      <c r="F41" s="81" t="s">
        <v>151</v>
      </c>
      <c r="G41" s="55" t="s">
        <v>385</v>
      </c>
      <c r="H41" s="55" t="s">
        <v>139</v>
      </c>
      <c r="I41" s="59">
        <v>6</v>
      </c>
      <c r="J41" s="60" t="s">
        <v>221</v>
      </c>
      <c r="K41" s="63" t="str">
        <f t="shared" si="8"/>
        <v>XGF-AV8AInput</v>
      </c>
      <c r="L41" s="59">
        <f t="shared" si="10"/>
        <v>43</v>
      </c>
      <c r="M41" s="59">
        <f t="shared" si="11"/>
        <v>42</v>
      </c>
      <c r="N41" s="59">
        <f t="shared" si="9"/>
        <v>1</v>
      </c>
      <c r="O41" s="60">
        <f t="shared" si="2"/>
        <v>41</v>
      </c>
      <c r="P41" s="65"/>
    </row>
    <row r="42" spans="3:16">
      <c r="C42" s="83" t="s">
        <v>55</v>
      </c>
      <c r="D42" s="75"/>
      <c r="E42" s="75"/>
      <c r="F42" s="81" t="s">
        <v>151</v>
      </c>
      <c r="G42" s="55" t="s">
        <v>386</v>
      </c>
      <c r="H42" s="55" t="s">
        <v>139</v>
      </c>
      <c r="I42" s="59">
        <v>7</v>
      </c>
      <c r="J42" s="60" t="s">
        <v>223</v>
      </c>
      <c r="K42" s="63" t="str">
        <f t="shared" si="8"/>
        <v>XGF-AV8AInput</v>
      </c>
      <c r="L42" s="59">
        <f t="shared" si="10"/>
        <v>43</v>
      </c>
      <c r="M42" s="59">
        <f t="shared" si="11"/>
        <v>42</v>
      </c>
      <c r="N42" s="59">
        <f t="shared" si="9"/>
        <v>1</v>
      </c>
      <c r="O42" s="60">
        <f t="shared" si="2"/>
        <v>42</v>
      </c>
      <c r="P42" s="65"/>
    </row>
    <row r="43" spans="3:16">
      <c r="C43" s="83" t="s">
        <v>55</v>
      </c>
      <c r="D43" s="75"/>
      <c r="E43" s="75"/>
      <c r="F43" s="81" t="s">
        <v>151</v>
      </c>
      <c r="G43" s="55" t="s">
        <v>387</v>
      </c>
      <c r="H43" s="55" t="s">
        <v>139</v>
      </c>
      <c r="I43" s="59">
        <v>8</v>
      </c>
      <c r="J43" s="60" t="s">
        <v>225</v>
      </c>
      <c r="K43" s="63" t="str">
        <f t="shared" si="8"/>
        <v>XGF-AV8AInput</v>
      </c>
      <c r="L43" s="59">
        <f t="shared" si="10"/>
        <v>43</v>
      </c>
      <c r="M43" s="59">
        <f t="shared" si="11"/>
        <v>42</v>
      </c>
      <c r="N43" s="59">
        <f t="shared" si="9"/>
        <v>1</v>
      </c>
      <c r="O43" s="60">
        <f t="shared" si="2"/>
        <v>43</v>
      </c>
      <c r="P43" s="65"/>
    </row>
    <row r="44" spans="3:16">
      <c r="C44" s="83" t="s">
        <v>55</v>
      </c>
      <c r="D44" s="75"/>
      <c r="E44" s="75"/>
      <c r="F44" s="81" t="s">
        <v>151</v>
      </c>
      <c r="G44" s="55" t="s">
        <v>388</v>
      </c>
      <c r="H44" s="55" t="s">
        <v>139</v>
      </c>
      <c r="I44" s="59">
        <v>9</v>
      </c>
      <c r="J44" s="60" t="s">
        <v>227</v>
      </c>
      <c r="K44" s="63" t="str">
        <f t="shared" si="8"/>
        <v>XGF-AV8AInput</v>
      </c>
      <c r="L44" s="59">
        <f t="shared" si="10"/>
        <v>43</v>
      </c>
      <c r="M44" s="59">
        <f t="shared" si="11"/>
        <v>42</v>
      </c>
      <c r="N44" s="59">
        <f t="shared" si="9"/>
        <v>1</v>
      </c>
      <c r="O44" s="60">
        <f t="shared" si="2"/>
        <v>44</v>
      </c>
      <c r="P44" s="65"/>
    </row>
    <row r="45" spans="3:16">
      <c r="C45" s="83" t="s">
        <v>55</v>
      </c>
      <c r="D45" s="75"/>
      <c r="E45" s="75"/>
      <c r="F45" s="81" t="s">
        <v>151</v>
      </c>
      <c r="G45" s="55" t="s">
        <v>389</v>
      </c>
      <c r="H45" s="55" t="s">
        <v>124</v>
      </c>
      <c r="I45" s="59">
        <v>10</v>
      </c>
      <c r="J45" s="60" t="s">
        <v>245</v>
      </c>
      <c r="K45" s="63" t="str">
        <f t="shared" si="8"/>
        <v>XGF-AV8AInput</v>
      </c>
      <c r="L45" s="59">
        <f t="shared" si="10"/>
        <v>43</v>
      </c>
      <c r="M45" s="59">
        <f t="shared" si="11"/>
        <v>42</v>
      </c>
      <c r="N45" s="59">
        <f t="shared" si="9"/>
        <v>1</v>
      </c>
      <c r="O45" s="60">
        <f t="shared" si="2"/>
        <v>45</v>
      </c>
      <c r="P45" s="65"/>
    </row>
    <row r="46" spans="3:16">
      <c r="C46" s="83" t="s">
        <v>55</v>
      </c>
      <c r="D46" s="75"/>
      <c r="E46" s="75"/>
      <c r="F46" s="81" t="s">
        <v>151</v>
      </c>
      <c r="G46" s="55" t="s">
        <v>390</v>
      </c>
      <c r="H46" s="55" t="s">
        <v>124</v>
      </c>
      <c r="I46" s="59">
        <v>10.1</v>
      </c>
      <c r="J46" s="60" t="s">
        <v>247</v>
      </c>
      <c r="K46" s="63" t="str">
        <f t="shared" si="8"/>
        <v>XGF-AV8AInput</v>
      </c>
      <c r="L46" s="59">
        <f t="shared" si="10"/>
        <v>43</v>
      </c>
      <c r="M46" s="59">
        <f t="shared" si="11"/>
        <v>42</v>
      </c>
      <c r="N46" s="59">
        <f t="shared" si="9"/>
        <v>1</v>
      </c>
      <c r="O46" s="60">
        <f t="shared" si="2"/>
        <v>46</v>
      </c>
      <c r="P46" s="65"/>
    </row>
    <row r="47" spans="3:16">
      <c r="C47" s="83" t="s">
        <v>55</v>
      </c>
      <c r="D47" s="75"/>
      <c r="E47" s="75"/>
      <c r="F47" s="81" t="s">
        <v>151</v>
      </c>
      <c r="G47" s="55" t="s">
        <v>391</v>
      </c>
      <c r="H47" s="55" t="s">
        <v>124</v>
      </c>
      <c r="I47" s="59">
        <v>10.199999999999999</v>
      </c>
      <c r="J47" s="60" t="s">
        <v>249</v>
      </c>
      <c r="K47" s="63" t="str">
        <f t="shared" si="8"/>
        <v>XGF-AV8AInput</v>
      </c>
      <c r="L47" s="59">
        <f t="shared" si="10"/>
        <v>43</v>
      </c>
      <c r="M47" s="59">
        <f t="shared" si="11"/>
        <v>42</v>
      </c>
      <c r="N47" s="59">
        <f t="shared" si="9"/>
        <v>1</v>
      </c>
      <c r="O47" s="60">
        <f t="shared" si="2"/>
        <v>47</v>
      </c>
      <c r="P47" s="65"/>
    </row>
    <row r="48" spans="3:16">
      <c r="C48" s="83" t="s">
        <v>55</v>
      </c>
      <c r="D48" s="75"/>
      <c r="E48" s="75"/>
      <c r="F48" s="81" t="s">
        <v>151</v>
      </c>
      <c r="G48" s="55" t="s">
        <v>392</v>
      </c>
      <c r="H48" s="55" t="s">
        <v>124</v>
      </c>
      <c r="I48" s="59">
        <v>10.3</v>
      </c>
      <c r="J48" s="60" t="s">
        <v>251</v>
      </c>
      <c r="K48" s="63" t="str">
        <f t="shared" si="8"/>
        <v>XGF-AV8AInput</v>
      </c>
      <c r="L48" s="59">
        <f t="shared" si="10"/>
        <v>43</v>
      </c>
      <c r="M48" s="59">
        <f t="shared" si="11"/>
        <v>42</v>
      </c>
      <c r="N48" s="59">
        <f t="shared" si="9"/>
        <v>1</v>
      </c>
      <c r="O48" s="60">
        <f t="shared" si="2"/>
        <v>48</v>
      </c>
      <c r="P48" s="65"/>
    </row>
    <row r="49" spans="3:16">
      <c r="C49" s="83" t="s">
        <v>55</v>
      </c>
      <c r="D49" s="75"/>
      <c r="E49" s="75"/>
      <c r="F49" s="81" t="s">
        <v>151</v>
      </c>
      <c r="G49" s="55" t="s">
        <v>393</v>
      </c>
      <c r="H49" s="55" t="s">
        <v>124</v>
      </c>
      <c r="I49" s="59">
        <v>10.4</v>
      </c>
      <c r="J49" s="60" t="s">
        <v>253</v>
      </c>
      <c r="K49" s="63" t="str">
        <f t="shared" si="8"/>
        <v>XGF-AV8AInput</v>
      </c>
      <c r="L49" s="59">
        <f t="shared" si="10"/>
        <v>43</v>
      </c>
      <c r="M49" s="59">
        <f t="shared" si="11"/>
        <v>42</v>
      </c>
      <c r="N49" s="59">
        <f t="shared" si="9"/>
        <v>1</v>
      </c>
      <c r="O49" s="60">
        <f t="shared" si="2"/>
        <v>49</v>
      </c>
      <c r="P49" s="65"/>
    </row>
    <row r="50" spans="3:16">
      <c r="C50" s="83" t="s">
        <v>55</v>
      </c>
      <c r="D50" s="75"/>
      <c r="E50" s="75"/>
      <c r="F50" s="81" t="s">
        <v>151</v>
      </c>
      <c r="G50" s="55" t="s">
        <v>394</v>
      </c>
      <c r="H50" s="55" t="s">
        <v>124</v>
      </c>
      <c r="I50" s="59">
        <v>10.5</v>
      </c>
      <c r="J50" s="60" t="s">
        <v>255</v>
      </c>
      <c r="K50" s="63" t="str">
        <f t="shared" si="8"/>
        <v>XGF-AV8AInput</v>
      </c>
      <c r="L50" s="59">
        <f t="shared" si="10"/>
        <v>43</v>
      </c>
      <c r="M50" s="59">
        <f t="shared" si="11"/>
        <v>42</v>
      </c>
      <c r="N50" s="59">
        <f t="shared" si="9"/>
        <v>1</v>
      </c>
      <c r="O50" s="60">
        <f t="shared" si="2"/>
        <v>50</v>
      </c>
      <c r="P50" s="65"/>
    </row>
    <row r="51" spans="3:16">
      <c r="C51" s="83" t="s">
        <v>55</v>
      </c>
      <c r="D51" s="75"/>
      <c r="E51" s="75"/>
      <c r="F51" s="81" t="s">
        <v>151</v>
      </c>
      <c r="G51" s="55" t="s">
        <v>395</v>
      </c>
      <c r="H51" s="55" t="s">
        <v>124</v>
      </c>
      <c r="I51" s="59">
        <v>10.6</v>
      </c>
      <c r="J51" s="60" t="s">
        <v>257</v>
      </c>
      <c r="K51" s="63" t="str">
        <f t="shared" si="8"/>
        <v>XGF-AV8AInput</v>
      </c>
      <c r="L51" s="59">
        <f t="shared" si="10"/>
        <v>43</v>
      </c>
      <c r="M51" s="59">
        <f t="shared" si="11"/>
        <v>42</v>
      </c>
      <c r="N51" s="59">
        <f t="shared" si="9"/>
        <v>1</v>
      </c>
      <c r="O51" s="60">
        <f t="shared" si="2"/>
        <v>51</v>
      </c>
      <c r="P51" s="65"/>
    </row>
    <row r="52" spans="3:16">
      <c r="C52" s="83" t="s">
        <v>55</v>
      </c>
      <c r="D52" s="75"/>
      <c r="E52" s="75"/>
      <c r="F52" s="81" t="s">
        <v>151</v>
      </c>
      <c r="G52" s="55" t="s">
        <v>396</v>
      </c>
      <c r="H52" s="55" t="s">
        <v>124</v>
      </c>
      <c r="I52" s="59">
        <v>10.7</v>
      </c>
      <c r="J52" s="60" t="s">
        <v>259</v>
      </c>
      <c r="K52" s="63" t="str">
        <f t="shared" si="8"/>
        <v>XGF-AV8AInput</v>
      </c>
      <c r="L52" s="59">
        <f t="shared" si="10"/>
        <v>43</v>
      </c>
      <c r="M52" s="59">
        <f t="shared" si="11"/>
        <v>42</v>
      </c>
      <c r="N52" s="59">
        <f t="shared" si="9"/>
        <v>1</v>
      </c>
      <c r="O52" s="60">
        <f t="shared" si="2"/>
        <v>52</v>
      </c>
      <c r="P52" s="65"/>
    </row>
    <row r="53" spans="3:16">
      <c r="C53" s="83" t="s">
        <v>55</v>
      </c>
      <c r="D53" s="75"/>
      <c r="E53" s="75"/>
      <c r="F53" s="81" t="s">
        <v>151</v>
      </c>
      <c r="G53" s="55" t="s">
        <v>397</v>
      </c>
      <c r="H53" s="55" t="s">
        <v>124</v>
      </c>
      <c r="I53" s="59">
        <v>11</v>
      </c>
      <c r="J53" s="60" t="s">
        <v>285</v>
      </c>
      <c r="K53" s="63" t="str">
        <f t="shared" si="8"/>
        <v>XGF-AV8AInput</v>
      </c>
      <c r="L53" s="59">
        <f t="shared" si="10"/>
        <v>43</v>
      </c>
      <c r="M53" s="59">
        <f t="shared" si="11"/>
        <v>42</v>
      </c>
      <c r="N53" s="59">
        <f t="shared" si="9"/>
        <v>1</v>
      </c>
      <c r="O53" s="60">
        <f t="shared" si="2"/>
        <v>53</v>
      </c>
      <c r="P53" s="65"/>
    </row>
    <row r="54" spans="3:16">
      <c r="C54" s="83" t="s">
        <v>55</v>
      </c>
      <c r="D54" s="75"/>
      <c r="E54" s="75"/>
      <c r="F54" s="81" t="s">
        <v>151</v>
      </c>
      <c r="G54" s="55" t="s">
        <v>398</v>
      </c>
      <c r="H54" s="55" t="s">
        <v>124</v>
      </c>
      <c r="I54" s="59">
        <v>11.1</v>
      </c>
      <c r="J54" s="60" t="s">
        <v>287</v>
      </c>
      <c r="K54" s="63" t="str">
        <f t="shared" si="8"/>
        <v>XGF-AV8AInput</v>
      </c>
      <c r="L54" s="59">
        <f t="shared" si="10"/>
        <v>43</v>
      </c>
      <c r="M54" s="59">
        <f t="shared" si="11"/>
        <v>42</v>
      </c>
      <c r="N54" s="59">
        <f t="shared" si="9"/>
        <v>1</v>
      </c>
      <c r="O54" s="60">
        <f t="shared" si="2"/>
        <v>54</v>
      </c>
      <c r="P54" s="65"/>
    </row>
    <row r="55" spans="3:16">
      <c r="C55" s="83" t="s">
        <v>55</v>
      </c>
      <c r="D55" s="75"/>
      <c r="E55" s="75"/>
      <c r="F55" s="81" t="s">
        <v>151</v>
      </c>
      <c r="G55" s="55" t="s">
        <v>399</v>
      </c>
      <c r="H55" s="55" t="s">
        <v>124</v>
      </c>
      <c r="I55" s="59">
        <v>11.2</v>
      </c>
      <c r="J55" s="60" t="s">
        <v>289</v>
      </c>
      <c r="K55" s="63" t="str">
        <f t="shared" si="8"/>
        <v>XGF-AV8AInput</v>
      </c>
      <c r="L55" s="59">
        <f t="shared" si="10"/>
        <v>43</v>
      </c>
      <c r="M55" s="59">
        <f t="shared" si="11"/>
        <v>42</v>
      </c>
      <c r="N55" s="59">
        <f t="shared" si="9"/>
        <v>1</v>
      </c>
      <c r="O55" s="60">
        <f t="shared" si="2"/>
        <v>55</v>
      </c>
      <c r="P55" s="65"/>
    </row>
    <row r="56" spans="3:16">
      <c r="C56" s="83" t="s">
        <v>55</v>
      </c>
      <c r="D56" s="75"/>
      <c r="E56" s="75"/>
      <c r="F56" s="81" t="s">
        <v>151</v>
      </c>
      <c r="G56" s="55" t="s">
        <v>400</v>
      </c>
      <c r="H56" s="55" t="s">
        <v>124</v>
      </c>
      <c r="I56" s="59">
        <v>11.3</v>
      </c>
      <c r="J56" s="60" t="s">
        <v>291</v>
      </c>
      <c r="K56" s="63" t="str">
        <f t="shared" si="8"/>
        <v>XGF-AV8AInput</v>
      </c>
      <c r="L56" s="59">
        <f t="shared" si="10"/>
        <v>43</v>
      </c>
      <c r="M56" s="59">
        <f t="shared" si="11"/>
        <v>42</v>
      </c>
      <c r="N56" s="59">
        <f t="shared" si="9"/>
        <v>1</v>
      </c>
      <c r="O56" s="60">
        <f t="shared" si="2"/>
        <v>56</v>
      </c>
      <c r="P56" s="65"/>
    </row>
    <row r="57" spans="3:16">
      <c r="C57" s="83" t="s">
        <v>55</v>
      </c>
      <c r="D57" s="75"/>
      <c r="E57" s="75"/>
      <c r="F57" s="81" t="s">
        <v>151</v>
      </c>
      <c r="G57" s="55" t="s">
        <v>401</v>
      </c>
      <c r="H57" s="55" t="s">
        <v>124</v>
      </c>
      <c r="I57" s="59">
        <v>11.4</v>
      </c>
      <c r="J57" s="60" t="s">
        <v>293</v>
      </c>
      <c r="K57" s="63" t="str">
        <f t="shared" si="8"/>
        <v>XGF-AV8AInput</v>
      </c>
      <c r="L57" s="59">
        <f t="shared" si="10"/>
        <v>43</v>
      </c>
      <c r="M57" s="59">
        <f t="shared" si="11"/>
        <v>42</v>
      </c>
      <c r="N57" s="59">
        <f t="shared" si="9"/>
        <v>1</v>
      </c>
      <c r="O57" s="60">
        <f t="shared" si="2"/>
        <v>57</v>
      </c>
      <c r="P57" s="65"/>
    </row>
    <row r="58" spans="3:16">
      <c r="C58" s="83" t="s">
        <v>55</v>
      </c>
      <c r="D58" s="75"/>
      <c r="E58" s="75"/>
      <c r="F58" s="81" t="s">
        <v>151</v>
      </c>
      <c r="G58" s="55" t="s">
        <v>402</v>
      </c>
      <c r="H58" s="55" t="s">
        <v>124</v>
      </c>
      <c r="I58" s="59">
        <v>11.5</v>
      </c>
      <c r="J58" s="60" t="s">
        <v>295</v>
      </c>
      <c r="K58" s="63" t="str">
        <f t="shared" si="8"/>
        <v>XGF-AV8AInput</v>
      </c>
      <c r="L58" s="59">
        <f t="shared" si="10"/>
        <v>43</v>
      </c>
      <c r="M58" s="59">
        <f t="shared" si="11"/>
        <v>42</v>
      </c>
      <c r="N58" s="59">
        <f t="shared" si="9"/>
        <v>1</v>
      </c>
      <c r="O58" s="60">
        <f t="shared" si="2"/>
        <v>58</v>
      </c>
      <c r="P58" s="65"/>
    </row>
    <row r="59" spans="3:16">
      <c r="C59" s="83" t="s">
        <v>55</v>
      </c>
      <c r="D59" s="75"/>
      <c r="E59" s="75"/>
      <c r="F59" s="81" t="s">
        <v>151</v>
      </c>
      <c r="G59" s="55" t="s">
        <v>403</v>
      </c>
      <c r="H59" s="55" t="s">
        <v>124</v>
      </c>
      <c r="I59" s="59">
        <v>11.6</v>
      </c>
      <c r="J59" s="60" t="s">
        <v>297</v>
      </c>
      <c r="K59" s="63" t="str">
        <f t="shared" si="8"/>
        <v>XGF-AV8AInput</v>
      </c>
      <c r="L59" s="59">
        <f t="shared" si="10"/>
        <v>43</v>
      </c>
      <c r="M59" s="59">
        <f t="shared" si="11"/>
        <v>42</v>
      </c>
      <c r="N59" s="59">
        <f t="shared" si="9"/>
        <v>1</v>
      </c>
      <c r="O59" s="60">
        <f t="shared" si="2"/>
        <v>59</v>
      </c>
      <c r="P59" s="65"/>
    </row>
    <row r="60" spans="3:16">
      <c r="C60" s="83" t="s">
        <v>55</v>
      </c>
      <c r="D60" s="75"/>
      <c r="E60" s="75"/>
      <c r="F60" s="81" t="s">
        <v>151</v>
      </c>
      <c r="G60" s="55" t="s">
        <v>404</v>
      </c>
      <c r="H60" s="55" t="s">
        <v>124</v>
      </c>
      <c r="I60" s="59">
        <v>11.7</v>
      </c>
      <c r="J60" s="60" t="s">
        <v>299</v>
      </c>
      <c r="K60" s="63" t="str">
        <f t="shared" si="8"/>
        <v>XGF-AV8AInput</v>
      </c>
      <c r="L60" s="59">
        <f t="shared" si="10"/>
        <v>43</v>
      </c>
      <c r="M60" s="59">
        <f t="shared" si="11"/>
        <v>42</v>
      </c>
      <c r="N60" s="59">
        <f t="shared" si="9"/>
        <v>1</v>
      </c>
      <c r="O60" s="60">
        <f t="shared" si="2"/>
        <v>60</v>
      </c>
      <c r="P60" s="65"/>
    </row>
    <row r="61" spans="3:16">
      <c r="C61" s="83" t="s">
        <v>55</v>
      </c>
      <c r="D61" s="75"/>
      <c r="E61" s="75"/>
      <c r="F61" s="81" t="s">
        <v>151</v>
      </c>
      <c r="G61" s="55" t="s">
        <v>405</v>
      </c>
      <c r="H61" s="55" t="s">
        <v>124</v>
      </c>
      <c r="I61" s="59">
        <v>12</v>
      </c>
      <c r="J61" s="60" t="s">
        <v>323</v>
      </c>
      <c r="K61" s="63" t="str">
        <f t="shared" si="8"/>
        <v>XGF-AV8AInput</v>
      </c>
      <c r="L61" s="59">
        <f t="shared" si="10"/>
        <v>43</v>
      </c>
      <c r="M61" s="59">
        <f t="shared" si="11"/>
        <v>42</v>
      </c>
      <c r="N61" s="59">
        <f t="shared" si="9"/>
        <v>1</v>
      </c>
      <c r="O61" s="60">
        <f t="shared" si="2"/>
        <v>61</v>
      </c>
      <c r="P61" s="65"/>
    </row>
    <row r="62" spans="3:16">
      <c r="C62" s="83" t="s">
        <v>55</v>
      </c>
      <c r="D62" s="75"/>
      <c r="E62" s="75"/>
      <c r="F62" s="81" t="s">
        <v>151</v>
      </c>
      <c r="G62" s="55" t="s">
        <v>406</v>
      </c>
      <c r="H62" s="55" t="s">
        <v>124</v>
      </c>
      <c r="I62" s="59">
        <v>12.1</v>
      </c>
      <c r="J62" s="60" t="s">
        <v>325</v>
      </c>
      <c r="K62" s="63" t="str">
        <f t="shared" si="8"/>
        <v>XGF-AV8AInput</v>
      </c>
      <c r="L62" s="59">
        <f t="shared" si="10"/>
        <v>43</v>
      </c>
      <c r="M62" s="59">
        <f t="shared" si="11"/>
        <v>42</v>
      </c>
      <c r="N62" s="59">
        <f t="shared" si="9"/>
        <v>1</v>
      </c>
      <c r="O62" s="60">
        <f t="shared" si="2"/>
        <v>62</v>
      </c>
      <c r="P62" s="65"/>
    </row>
    <row r="63" spans="3:16">
      <c r="C63" s="83" t="s">
        <v>55</v>
      </c>
      <c r="D63" s="75"/>
      <c r="E63" s="75"/>
      <c r="F63" s="81" t="s">
        <v>151</v>
      </c>
      <c r="G63" s="55" t="s">
        <v>407</v>
      </c>
      <c r="H63" s="55" t="s">
        <v>124</v>
      </c>
      <c r="I63" s="59">
        <v>12.2</v>
      </c>
      <c r="J63" s="60" t="s">
        <v>327</v>
      </c>
      <c r="K63" s="63" t="str">
        <f t="shared" si="8"/>
        <v>XGF-AV8AInput</v>
      </c>
      <c r="L63" s="59">
        <f t="shared" si="10"/>
        <v>43</v>
      </c>
      <c r="M63" s="59">
        <f t="shared" si="11"/>
        <v>42</v>
      </c>
      <c r="N63" s="59">
        <f t="shared" si="9"/>
        <v>1</v>
      </c>
      <c r="O63" s="60">
        <f t="shared" si="2"/>
        <v>63</v>
      </c>
      <c r="P63" s="65"/>
    </row>
    <row r="64" spans="3:16">
      <c r="C64" s="83" t="s">
        <v>55</v>
      </c>
      <c r="D64" s="75"/>
      <c r="E64" s="75"/>
      <c r="F64" s="81" t="s">
        <v>151</v>
      </c>
      <c r="G64" s="55" t="s">
        <v>408</v>
      </c>
      <c r="H64" s="55" t="s">
        <v>124</v>
      </c>
      <c r="I64" s="59">
        <v>12.3</v>
      </c>
      <c r="J64" s="60" t="s">
        <v>329</v>
      </c>
      <c r="K64" s="63" t="str">
        <f t="shared" si="8"/>
        <v>XGF-AV8AInput</v>
      </c>
      <c r="L64" s="59">
        <f t="shared" si="10"/>
        <v>43</v>
      </c>
      <c r="M64" s="59">
        <f t="shared" si="11"/>
        <v>42</v>
      </c>
      <c r="N64" s="59">
        <f t="shared" si="9"/>
        <v>1</v>
      </c>
      <c r="O64" s="60">
        <f t="shared" si="2"/>
        <v>64</v>
      </c>
      <c r="P64" s="65"/>
    </row>
    <row r="65" spans="3:22">
      <c r="C65" s="83" t="s">
        <v>55</v>
      </c>
      <c r="D65" s="75"/>
      <c r="E65" s="75"/>
      <c r="F65" s="81" t="s">
        <v>151</v>
      </c>
      <c r="G65" s="55" t="s">
        <v>409</v>
      </c>
      <c r="H65" s="55" t="s">
        <v>124</v>
      </c>
      <c r="I65" s="59">
        <v>12.4</v>
      </c>
      <c r="J65" s="60" t="s">
        <v>331</v>
      </c>
      <c r="K65" s="63" t="str">
        <f t="shared" si="8"/>
        <v>XGF-AV8AInput</v>
      </c>
      <c r="L65" s="59">
        <f t="shared" si="10"/>
        <v>43</v>
      </c>
      <c r="M65" s="59">
        <f t="shared" si="11"/>
        <v>42</v>
      </c>
      <c r="N65" s="59">
        <f t="shared" si="9"/>
        <v>1</v>
      </c>
      <c r="O65" s="60">
        <f t="shared" si="2"/>
        <v>65</v>
      </c>
      <c r="P65" s="65"/>
    </row>
    <row r="66" spans="3:22">
      <c r="C66" s="83" t="s">
        <v>55</v>
      </c>
      <c r="D66" s="75"/>
      <c r="E66" s="75"/>
      <c r="F66" s="81" t="s">
        <v>151</v>
      </c>
      <c r="G66" s="55" t="s">
        <v>410</v>
      </c>
      <c r="H66" s="55" t="s">
        <v>124</v>
      </c>
      <c r="I66" s="59">
        <v>12.5</v>
      </c>
      <c r="J66" s="60" t="s">
        <v>333</v>
      </c>
      <c r="K66" s="63" t="str">
        <f t="shared" si="8"/>
        <v>XGF-AV8AInput</v>
      </c>
      <c r="L66" s="59">
        <f t="shared" si="10"/>
        <v>43</v>
      </c>
      <c r="M66" s="59">
        <f t="shared" si="11"/>
        <v>42</v>
      </c>
      <c r="N66" s="59">
        <f t="shared" si="9"/>
        <v>1</v>
      </c>
      <c r="O66" s="60">
        <f t="shared" ref="O66:O129" si="12">ROW(C66)</f>
        <v>66</v>
      </c>
      <c r="P66" s="65"/>
    </row>
    <row r="67" spans="3:22">
      <c r="C67" s="83" t="s">
        <v>55</v>
      </c>
      <c r="D67" s="75"/>
      <c r="E67" s="75"/>
      <c r="F67" s="81" t="s">
        <v>151</v>
      </c>
      <c r="G67" s="55" t="s">
        <v>411</v>
      </c>
      <c r="H67" s="55" t="s">
        <v>124</v>
      </c>
      <c r="I67" s="59">
        <v>12.6</v>
      </c>
      <c r="J67" s="60" t="s">
        <v>335</v>
      </c>
      <c r="K67" s="63" t="str">
        <f t="shared" si="8"/>
        <v>XGF-AV8AInput</v>
      </c>
      <c r="L67" s="59">
        <f t="shared" si="10"/>
        <v>43</v>
      </c>
      <c r="M67" s="59">
        <f t="shared" si="11"/>
        <v>42</v>
      </c>
      <c r="N67" s="59">
        <f t="shared" si="9"/>
        <v>1</v>
      </c>
      <c r="O67" s="60">
        <f t="shared" si="12"/>
        <v>67</v>
      </c>
      <c r="P67" s="65"/>
    </row>
    <row r="68" spans="3:22">
      <c r="C68" s="83" t="s">
        <v>55</v>
      </c>
      <c r="D68" s="75"/>
      <c r="E68" s="75"/>
      <c r="F68" s="81" t="s">
        <v>151</v>
      </c>
      <c r="G68" s="55" t="s">
        <v>412</v>
      </c>
      <c r="H68" s="55" t="s">
        <v>124</v>
      </c>
      <c r="I68" s="59">
        <v>12.7</v>
      </c>
      <c r="J68" s="60" t="s">
        <v>337</v>
      </c>
      <c r="K68" s="63" t="str">
        <f t="shared" si="8"/>
        <v>XGF-AV8AInput</v>
      </c>
      <c r="L68" s="59">
        <f t="shared" si="10"/>
        <v>43</v>
      </c>
      <c r="M68" s="59">
        <f t="shared" si="11"/>
        <v>42</v>
      </c>
      <c r="N68" s="59">
        <f t="shared" si="9"/>
        <v>1</v>
      </c>
      <c r="O68" s="60">
        <f t="shared" si="12"/>
        <v>68</v>
      </c>
      <c r="P68" s="65"/>
    </row>
    <row r="69" spans="3:22">
      <c r="C69" s="83" t="s">
        <v>55</v>
      </c>
      <c r="D69" s="75"/>
      <c r="E69" s="75"/>
      <c r="F69" s="81" t="s">
        <v>166</v>
      </c>
      <c r="G69" s="55" t="s">
        <v>413</v>
      </c>
      <c r="H69" s="55" t="s">
        <v>124</v>
      </c>
      <c r="I69" s="59">
        <v>0</v>
      </c>
      <c r="J69" s="60" t="s">
        <v>414</v>
      </c>
      <c r="K69" s="63"/>
      <c r="L69" s="59"/>
      <c r="M69" s="59"/>
      <c r="N69" s="59"/>
      <c r="O69" s="60">
        <f t="shared" si="12"/>
        <v>69</v>
      </c>
      <c r="P69" s="65"/>
    </row>
    <row r="70" spans="3:22">
      <c r="C70" s="83" t="s">
        <v>56</v>
      </c>
      <c r="D70" s="75">
        <v>26</v>
      </c>
      <c r="E70" s="75">
        <v>2</v>
      </c>
      <c r="F70" s="81" t="s">
        <v>151</v>
      </c>
      <c r="G70" s="55" t="s">
        <v>415</v>
      </c>
      <c r="H70" s="55" t="s">
        <v>124</v>
      </c>
      <c r="I70" s="59">
        <v>0</v>
      </c>
      <c r="J70" s="60" t="s">
        <v>173</v>
      </c>
      <c r="K70" s="63" t="str">
        <f t="shared" si="8"/>
        <v>XGF-AC8AInput</v>
      </c>
      <c r="L70" s="59">
        <f t="shared" ref="L70:L111" si="13">COUNTIF($C$2:$C$2062,C70)</f>
        <v>43</v>
      </c>
      <c r="M70" s="59">
        <f t="shared" ref="M70:M111" si="14">COUNTIF($K$2:$K$2062,K70)</f>
        <v>42</v>
      </c>
      <c r="N70" s="59">
        <f t="shared" si="9"/>
        <v>1</v>
      </c>
      <c r="O70" s="60">
        <f t="shared" si="12"/>
        <v>70</v>
      </c>
      <c r="P70" s="65" t="s">
        <v>3214</v>
      </c>
      <c r="Q70">
        <f>O70</f>
        <v>70</v>
      </c>
      <c r="R70" t="s">
        <v>3215</v>
      </c>
      <c r="S70">
        <v>113</v>
      </c>
      <c r="T70" t="str">
        <f>P70&amp;Q70&amp;R70&amp;S70</f>
        <v>All data map'!$F$70:$J$113</v>
      </c>
      <c r="V70" t="s">
        <v>3237</v>
      </c>
    </row>
    <row r="71" spans="3:22">
      <c r="C71" s="83" t="s">
        <v>56</v>
      </c>
      <c r="D71" s="75"/>
      <c r="E71" s="75"/>
      <c r="F71" s="81" t="s">
        <v>151</v>
      </c>
      <c r="G71" s="55" t="s">
        <v>416</v>
      </c>
      <c r="H71" s="55" t="s">
        <v>124</v>
      </c>
      <c r="I71" s="59" t="s">
        <v>126</v>
      </c>
      <c r="J71" s="60" t="s">
        <v>175</v>
      </c>
      <c r="K71" s="63" t="str">
        <f t="shared" si="8"/>
        <v>XGF-AC8AInput</v>
      </c>
      <c r="L71" s="59">
        <f t="shared" si="13"/>
        <v>43</v>
      </c>
      <c r="M71" s="59">
        <f t="shared" si="14"/>
        <v>42</v>
      </c>
      <c r="N71" s="59">
        <f t="shared" si="9"/>
        <v>1</v>
      </c>
      <c r="O71" s="60">
        <f t="shared" si="12"/>
        <v>71</v>
      </c>
      <c r="P71" s="65"/>
    </row>
    <row r="72" spans="3:22">
      <c r="C72" s="83" t="s">
        <v>56</v>
      </c>
      <c r="D72" s="75"/>
      <c r="E72" s="75"/>
      <c r="F72" s="81" t="s">
        <v>151</v>
      </c>
      <c r="G72" s="55" t="s">
        <v>417</v>
      </c>
      <c r="H72" s="55" t="s">
        <v>124</v>
      </c>
      <c r="I72" s="59">
        <v>1</v>
      </c>
      <c r="J72" s="60" t="s">
        <v>177</v>
      </c>
      <c r="K72" s="63" t="str">
        <f t="shared" si="8"/>
        <v>XGF-AC8AInput</v>
      </c>
      <c r="L72" s="59">
        <f t="shared" si="13"/>
        <v>43</v>
      </c>
      <c r="M72" s="59">
        <f t="shared" si="14"/>
        <v>42</v>
      </c>
      <c r="N72" s="59">
        <f t="shared" si="9"/>
        <v>1</v>
      </c>
      <c r="O72" s="60">
        <f t="shared" si="12"/>
        <v>72</v>
      </c>
      <c r="P72" s="65"/>
    </row>
    <row r="73" spans="3:22">
      <c r="C73" s="83" t="s">
        <v>56</v>
      </c>
      <c r="D73" s="75"/>
      <c r="E73" s="75"/>
      <c r="F73" s="81" t="s">
        <v>151</v>
      </c>
      <c r="G73" s="55" t="s">
        <v>418</v>
      </c>
      <c r="H73" s="55" t="s">
        <v>124</v>
      </c>
      <c r="I73" s="59">
        <v>1.1000000000000001</v>
      </c>
      <c r="J73" s="60" t="s">
        <v>179</v>
      </c>
      <c r="K73" s="63" t="str">
        <f t="shared" si="8"/>
        <v>XGF-AC8AInput</v>
      </c>
      <c r="L73" s="59">
        <f t="shared" si="13"/>
        <v>43</v>
      </c>
      <c r="M73" s="59">
        <f t="shared" si="14"/>
        <v>42</v>
      </c>
      <c r="N73" s="59">
        <f t="shared" si="9"/>
        <v>1</v>
      </c>
      <c r="O73" s="60">
        <f t="shared" si="12"/>
        <v>73</v>
      </c>
      <c r="P73" s="65"/>
    </row>
    <row r="74" spans="3:22">
      <c r="C74" s="83" t="s">
        <v>56</v>
      </c>
      <c r="D74" s="75"/>
      <c r="E74" s="75"/>
      <c r="F74" s="81" t="s">
        <v>151</v>
      </c>
      <c r="G74" s="55" t="s">
        <v>419</v>
      </c>
      <c r="H74" s="55" t="s">
        <v>124</v>
      </c>
      <c r="I74" s="59">
        <v>1.2</v>
      </c>
      <c r="J74" s="60" t="s">
        <v>181</v>
      </c>
      <c r="K74" s="63" t="str">
        <f t="shared" si="8"/>
        <v>XGF-AC8AInput</v>
      </c>
      <c r="L74" s="59">
        <f t="shared" si="13"/>
        <v>43</v>
      </c>
      <c r="M74" s="59">
        <f t="shared" si="14"/>
        <v>42</v>
      </c>
      <c r="N74" s="59">
        <f t="shared" si="9"/>
        <v>1</v>
      </c>
      <c r="O74" s="60">
        <f t="shared" si="12"/>
        <v>74</v>
      </c>
      <c r="P74" s="65"/>
    </row>
    <row r="75" spans="3:22">
      <c r="C75" s="83" t="s">
        <v>56</v>
      </c>
      <c r="D75" s="75"/>
      <c r="E75" s="75"/>
      <c r="F75" s="81" t="s">
        <v>151</v>
      </c>
      <c r="G75" s="55" t="s">
        <v>420</v>
      </c>
      <c r="H75" s="55" t="s">
        <v>124</v>
      </c>
      <c r="I75" s="59">
        <v>1.3</v>
      </c>
      <c r="J75" s="60" t="s">
        <v>183</v>
      </c>
      <c r="K75" s="63" t="str">
        <f t="shared" si="8"/>
        <v>XGF-AC8AInput</v>
      </c>
      <c r="L75" s="59">
        <f t="shared" si="13"/>
        <v>43</v>
      </c>
      <c r="M75" s="59">
        <f t="shared" si="14"/>
        <v>42</v>
      </c>
      <c r="N75" s="59">
        <f t="shared" si="9"/>
        <v>1</v>
      </c>
      <c r="O75" s="60">
        <f t="shared" si="12"/>
        <v>75</v>
      </c>
      <c r="P75" s="65"/>
    </row>
    <row r="76" spans="3:22">
      <c r="C76" s="83" t="s">
        <v>56</v>
      </c>
      <c r="D76" s="75"/>
      <c r="E76" s="75"/>
      <c r="F76" s="81" t="s">
        <v>151</v>
      </c>
      <c r="G76" s="55" t="s">
        <v>421</v>
      </c>
      <c r="H76" s="55" t="s">
        <v>124</v>
      </c>
      <c r="I76" s="59">
        <v>1.4</v>
      </c>
      <c r="J76" s="60" t="s">
        <v>185</v>
      </c>
      <c r="K76" s="63" t="str">
        <f t="shared" si="8"/>
        <v>XGF-AC8AInput</v>
      </c>
      <c r="L76" s="59">
        <f t="shared" si="13"/>
        <v>43</v>
      </c>
      <c r="M76" s="59">
        <f t="shared" si="14"/>
        <v>42</v>
      </c>
      <c r="N76" s="59">
        <f t="shared" si="9"/>
        <v>1</v>
      </c>
      <c r="O76" s="60">
        <f t="shared" si="12"/>
        <v>76</v>
      </c>
      <c r="P76" s="65"/>
    </row>
    <row r="77" spans="3:22">
      <c r="C77" s="83" t="s">
        <v>56</v>
      </c>
      <c r="D77" s="75"/>
      <c r="E77" s="75"/>
      <c r="F77" s="81" t="s">
        <v>151</v>
      </c>
      <c r="G77" s="55" t="s">
        <v>422</v>
      </c>
      <c r="H77" s="55" t="s">
        <v>124</v>
      </c>
      <c r="I77" s="59">
        <v>1.5</v>
      </c>
      <c r="J77" s="60" t="s">
        <v>187</v>
      </c>
      <c r="K77" s="63" t="str">
        <f t="shared" si="8"/>
        <v>XGF-AC8AInput</v>
      </c>
      <c r="L77" s="59">
        <f t="shared" si="13"/>
        <v>43</v>
      </c>
      <c r="M77" s="59">
        <f t="shared" si="14"/>
        <v>42</v>
      </c>
      <c r="N77" s="59">
        <f t="shared" si="9"/>
        <v>1</v>
      </c>
      <c r="O77" s="60">
        <f t="shared" si="12"/>
        <v>77</v>
      </c>
      <c r="P77" s="65"/>
    </row>
    <row r="78" spans="3:22">
      <c r="C78" s="83" t="s">
        <v>56</v>
      </c>
      <c r="D78" s="75"/>
      <c r="E78" s="75"/>
      <c r="F78" s="81" t="s">
        <v>151</v>
      </c>
      <c r="G78" s="55" t="s">
        <v>423</v>
      </c>
      <c r="H78" s="55" t="s">
        <v>124</v>
      </c>
      <c r="I78" s="59">
        <v>1.6</v>
      </c>
      <c r="J78" s="60" t="s">
        <v>189</v>
      </c>
      <c r="K78" s="63" t="str">
        <f t="shared" si="8"/>
        <v>XGF-AC8AInput</v>
      </c>
      <c r="L78" s="59">
        <f t="shared" si="13"/>
        <v>43</v>
      </c>
      <c r="M78" s="59">
        <f t="shared" si="14"/>
        <v>42</v>
      </c>
      <c r="N78" s="59">
        <f t="shared" si="9"/>
        <v>1</v>
      </c>
      <c r="O78" s="60">
        <f t="shared" si="12"/>
        <v>78</v>
      </c>
      <c r="P78" s="65"/>
    </row>
    <row r="79" spans="3:22">
      <c r="C79" s="83" t="s">
        <v>56</v>
      </c>
      <c r="D79" s="75"/>
      <c r="E79" s="75"/>
      <c r="F79" s="81" t="s">
        <v>151</v>
      </c>
      <c r="G79" s="55" t="s">
        <v>424</v>
      </c>
      <c r="H79" s="55" t="s">
        <v>124</v>
      </c>
      <c r="I79" s="59">
        <v>1.7</v>
      </c>
      <c r="J79" s="60" t="s">
        <v>191</v>
      </c>
      <c r="K79" s="63" t="str">
        <f t="shared" si="8"/>
        <v>XGF-AC8AInput</v>
      </c>
      <c r="L79" s="59">
        <f t="shared" si="13"/>
        <v>43</v>
      </c>
      <c r="M79" s="59">
        <f t="shared" si="14"/>
        <v>42</v>
      </c>
      <c r="N79" s="59">
        <f t="shared" si="9"/>
        <v>1</v>
      </c>
      <c r="O79" s="60">
        <f t="shared" si="12"/>
        <v>79</v>
      </c>
      <c r="P79" s="65"/>
    </row>
    <row r="80" spans="3:22">
      <c r="C80" s="83" t="s">
        <v>56</v>
      </c>
      <c r="D80" s="75"/>
      <c r="E80" s="75"/>
      <c r="F80" s="81" t="s">
        <v>151</v>
      </c>
      <c r="G80" s="55" t="s">
        <v>425</v>
      </c>
      <c r="H80" s="55" t="s">
        <v>139</v>
      </c>
      <c r="I80" s="59">
        <v>2</v>
      </c>
      <c r="J80" s="60" t="s">
        <v>213</v>
      </c>
      <c r="K80" s="63" t="str">
        <f t="shared" si="8"/>
        <v>XGF-AC8AInput</v>
      </c>
      <c r="L80" s="59">
        <f t="shared" si="13"/>
        <v>43</v>
      </c>
      <c r="M80" s="59">
        <f t="shared" si="14"/>
        <v>42</v>
      </c>
      <c r="N80" s="59">
        <f t="shared" si="9"/>
        <v>1</v>
      </c>
      <c r="O80" s="60">
        <f t="shared" si="12"/>
        <v>80</v>
      </c>
      <c r="P80" s="65"/>
    </row>
    <row r="81" spans="3:16">
      <c r="C81" s="83" t="s">
        <v>56</v>
      </c>
      <c r="D81" s="75"/>
      <c r="E81" s="75"/>
      <c r="F81" s="81" t="s">
        <v>151</v>
      </c>
      <c r="G81" s="55" t="s">
        <v>426</v>
      </c>
      <c r="H81" s="55" t="s">
        <v>139</v>
      </c>
      <c r="I81" s="59">
        <v>3</v>
      </c>
      <c r="J81" s="60" t="s">
        <v>215</v>
      </c>
      <c r="K81" s="63" t="str">
        <f t="shared" si="8"/>
        <v>XGF-AC8AInput</v>
      </c>
      <c r="L81" s="59">
        <f t="shared" si="13"/>
        <v>43</v>
      </c>
      <c r="M81" s="59">
        <f t="shared" si="14"/>
        <v>42</v>
      </c>
      <c r="N81" s="59">
        <f t="shared" si="9"/>
        <v>1</v>
      </c>
      <c r="O81" s="60">
        <f t="shared" si="12"/>
        <v>81</v>
      </c>
      <c r="P81" s="65"/>
    </row>
    <row r="82" spans="3:16">
      <c r="C82" s="83" t="s">
        <v>56</v>
      </c>
      <c r="D82" s="75"/>
      <c r="E82" s="75"/>
      <c r="F82" s="81" t="s">
        <v>151</v>
      </c>
      <c r="G82" s="55" t="s">
        <v>427</v>
      </c>
      <c r="H82" s="55" t="s">
        <v>139</v>
      </c>
      <c r="I82" s="59">
        <v>4</v>
      </c>
      <c r="J82" s="60" t="s">
        <v>217</v>
      </c>
      <c r="K82" s="63" t="str">
        <f t="shared" si="8"/>
        <v>XGF-AC8AInput</v>
      </c>
      <c r="L82" s="59">
        <f t="shared" si="13"/>
        <v>43</v>
      </c>
      <c r="M82" s="59">
        <f t="shared" si="14"/>
        <v>42</v>
      </c>
      <c r="N82" s="59">
        <f t="shared" si="9"/>
        <v>1</v>
      </c>
      <c r="O82" s="60">
        <f t="shared" si="12"/>
        <v>82</v>
      </c>
      <c r="P82" s="65"/>
    </row>
    <row r="83" spans="3:16">
      <c r="C83" s="83" t="s">
        <v>56</v>
      </c>
      <c r="D83" s="75"/>
      <c r="E83" s="75"/>
      <c r="F83" s="81" t="s">
        <v>151</v>
      </c>
      <c r="G83" s="55" t="s">
        <v>428</v>
      </c>
      <c r="H83" s="55" t="s">
        <v>139</v>
      </c>
      <c r="I83" s="59">
        <v>5</v>
      </c>
      <c r="J83" s="60" t="s">
        <v>219</v>
      </c>
      <c r="K83" s="63" t="str">
        <f t="shared" si="8"/>
        <v>XGF-AC8AInput</v>
      </c>
      <c r="L83" s="59">
        <f t="shared" si="13"/>
        <v>43</v>
      </c>
      <c r="M83" s="59">
        <f t="shared" si="14"/>
        <v>42</v>
      </c>
      <c r="N83" s="59">
        <f t="shared" si="9"/>
        <v>1</v>
      </c>
      <c r="O83" s="60">
        <f t="shared" si="12"/>
        <v>83</v>
      </c>
      <c r="P83" s="65"/>
    </row>
    <row r="84" spans="3:16">
      <c r="C84" s="83" t="s">
        <v>56</v>
      </c>
      <c r="D84" s="75"/>
      <c r="E84" s="75"/>
      <c r="F84" s="81" t="s">
        <v>151</v>
      </c>
      <c r="G84" s="55" t="s">
        <v>429</v>
      </c>
      <c r="H84" s="55" t="s">
        <v>139</v>
      </c>
      <c r="I84" s="59">
        <v>6</v>
      </c>
      <c r="J84" s="60" t="s">
        <v>221</v>
      </c>
      <c r="K84" s="63" t="str">
        <f t="shared" si="8"/>
        <v>XGF-AC8AInput</v>
      </c>
      <c r="L84" s="59">
        <f t="shared" si="13"/>
        <v>43</v>
      </c>
      <c r="M84" s="59">
        <f t="shared" si="14"/>
        <v>42</v>
      </c>
      <c r="N84" s="59">
        <f t="shared" si="9"/>
        <v>1</v>
      </c>
      <c r="O84" s="60">
        <f t="shared" si="12"/>
        <v>84</v>
      </c>
      <c r="P84" s="65"/>
    </row>
    <row r="85" spans="3:16">
      <c r="C85" s="83" t="s">
        <v>56</v>
      </c>
      <c r="D85" s="75"/>
      <c r="E85" s="75"/>
      <c r="F85" s="81" t="s">
        <v>151</v>
      </c>
      <c r="G85" s="55" t="s">
        <v>430</v>
      </c>
      <c r="H85" s="55" t="s">
        <v>139</v>
      </c>
      <c r="I85" s="59">
        <v>7</v>
      </c>
      <c r="J85" s="60" t="s">
        <v>223</v>
      </c>
      <c r="K85" s="63" t="str">
        <f t="shared" ref="K85:K148" si="15">C85&amp;F85</f>
        <v>XGF-AC8AInput</v>
      </c>
      <c r="L85" s="59">
        <f t="shared" si="13"/>
        <v>43</v>
      </c>
      <c r="M85" s="59">
        <f t="shared" si="14"/>
        <v>42</v>
      </c>
      <c r="N85" s="59">
        <f t="shared" si="9"/>
        <v>1</v>
      </c>
      <c r="O85" s="60">
        <f t="shared" si="12"/>
        <v>85</v>
      </c>
      <c r="P85" s="65"/>
    </row>
    <row r="86" spans="3:16">
      <c r="C86" s="83" t="s">
        <v>56</v>
      </c>
      <c r="D86" s="75"/>
      <c r="E86" s="75"/>
      <c r="F86" s="81" t="s">
        <v>151</v>
      </c>
      <c r="G86" s="55" t="s">
        <v>431</v>
      </c>
      <c r="H86" s="55" t="s">
        <v>139</v>
      </c>
      <c r="I86" s="59">
        <v>8</v>
      </c>
      <c r="J86" s="60" t="s">
        <v>225</v>
      </c>
      <c r="K86" s="63" t="str">
        <f t="shared" si="15"/>
        <v>XGF-AC8AInput</v>
      </c>
      <c r="L86" s="59">
        <f t="shared" si="13"/>
        <v>43</v>
      </c>
      <c r="M86" s="59">
        <f t="shared" si="14"/>
        <v>42</v>
      </c>
      <c r="N86" s="59">
        <f t="shared" si="9"/>
        <v>1</v>
      </c>
      <c r="O86" s="60">
        <f t="shared" si="12"/>
        <v>86</v>
      </c>
      <c r="P86" s="65"/>
    </row>
    <row r="87" spans="3:16">
      <c r="C87" s="83" t="s">
        <v>56</v>
      </c>
      <c r="D87" s="75"/>
      <c r="E87" s="75"/>
      <c r="F87" s="81" t="s">
        <v>151</v>
      </c>
      <c r="G87" s="55" t="s">
        <v>432</v>
      </c>
      <c r="H87" s="55" t="s">
        <v>139</v>
      </c>
      <c r="I87" s="59">
        <v>9</v>
      </c>
      <c r="J87" s="60" t="s">
        <v>227</v>
      </c>
      <c r="K87" s="63" t="str">
        <f t="shared" si="15"/>
        <v>XGF-AC8AInput</v>
      </c>
      <c r="L87" s="59">
        <f t="shared" si="13"/>
        <v>43</v>
      </c>
      <c r="M87" s="59">
        <f t="shared" si="14"/>
        <v>42</v>
      </c>
      <c r="N87" s="59">
        <f t="shared" si="9"/>
        <v>1</v>
      </c>
      <c r="O87" s="60">
        <f t="shared" si="12"/>
        <v>87</v>
      </c>
      <c r="P87" s="65"/>
    </row>
    <row r="88" spans="3:16">
      <c r="C88" s="83" t="s">
        <v>56</v>
      </c>
      <c r="D88" s="75"/>
      <c r="E88" s="75"/>
      <c r="F88" s="81" t="s">
        <v>151</v>
      </c>
      <c r="G88" s="55" t="s">
        <v>433</v>
      </c>
      <c r="H88" s="55" t="s">
        <v>124</v>
      </c>
      <c r="I88" s="59">
        <v>10</v>
      </c>
      <c r="J88" s="60" t="s">
        <v>245</v>
      </c>
      <c r="K88" s="63" t="str">
        <f t="shared" si="15"/>
        <v>XGF-AC8AInput</v>
      </c>
      <c r="L88" s="59">
        <f t="shared" si="13"/>
        <v>43</v>
      </c>
      <c r="M88" s="59">
        <f t="shared" si="14"/>
        <v>42</v>
      </c>
      <c r="N88" s="59">
        <f t="shared" si="9"/>
        <v>1</v>
      </c>
      <c r="O88" s="60">
        <f t="shared" si="12"/>
        <v>88</v>
      </c>
      <c r="P88" s="65"/>
    </row>
    <row r="89" spans="3:16">
      <c r="C89" s="83" t="s">
        <v>56</v>
      </c>
      <c r="D89" s="75"/>
      <c r="E89" s="75"/>
      <c r="F89" s="81" t="s">
        <v>151</v>
      </c>
      <c r="G89" s="55" t="s">
        <v>434</v>
      </c>
      <c r="H89" s="55" t="s">
        <v>124</v>
      </c>
      <c r="I89" s="59">
        <v>10.1</v>
      </c>
      <c r="J89" s="60" t="s">
        <v>247</v>
      </c>
      <c r="K89" s="63" t="str">
        <f t="shared" si="15"/>
        <v>XGF-AC8AInput</v>
      </c>
      <c r="L89" s="59">
        <f t="shared" si="13"/>
        <v>43</v>
      </c>
      <c r="M89" s="59">
        <f t="shared" si="14"/>
        <v>42</v>
      </c>
      <c r="N89" s="59">
        <f t="shared" si="9"/>
        <v>1</v>
      </c>
      <c r="O89" s="60">
        <f t="shared" si="12"/>
        <v>89</v>
      </c>
      <c r="P89" s="65"/>
    </row>
    <row r="90" spans="3:16">
      <c r="C90" s="83" t="s">
        <v>56</v>
      </c>
      <c r="D90" s="75"/>
      <c r="E90" s="75"/>
      <c r="F90" s="81" t="s">
        <v>151</v>
      </c>
      <c r="G90" s="55" t="s">
        <v>435</v>
      </c>
      <c r="H90" s="55" t="s">
        <v>124</v>
      </c>
      <c r="I90" s="59">
        <v>10.199999999999999</v>
      </c>
      <c r="J90" s="60" t="s">
        <v>249</v>
      </c>
      <c r="K90" s="63" t="str">
        <f t="shared" si="15"/>
        <v>XGF-AC8AInput</v>
      </c>
      <c r="L90" s="59">
        <f t="shared" si="13"/>
        <v>43</v>
      </c>
      <c r="M90" s="59">
        <f t="shared" si="14"/>
        <v>42</v>
      </c>
      <c r="N90" s="59">
        <f t="shared" si="9"/>
        <v>1</v>
      </c>
      <c r="O90" s="60">
        <f t="shared" si="12"/>
        <v>90</v>
      </c>
      <c r="P90" s="65"/>
    </row>
    <row r="91" spans="3:16">
      <c r="C91" s="83" t="s">
        <v>56</v>
      </c>
      <c r="D91" s="75"/>
      <c r="E91" s="75"/>
      <c r="F91" s="81" t="s">
        <v>151</v>
      </c>
      <c r="G91" s="55" t="s">
        <v>436</v>
      </c>
      <c r="H91" s="55" t="s">
        <v>124</v>
      </c>
      <c r="I91" s="59">
        <v>10.3</v>
      </c>
      <c r="J91" s="60" t="s">
        <v>251</v>
      </c>
      <c r="K91" s="63" t="str">
        <f t="shared" si="15"/>
        <v>XGF-AC8AInput</v>
      </c>
      <c r="L91" s="59">
        <f t="shared" si="13"/>
        <v>43</v>
      </c>
      <c r="M91" s="59">
        <f t="shared" si="14"/>
        <v>42</v>
      </c>
      <c r="N91" s="59">
        <f t="shared" si="9"/>
        <v>1</v>
      </c>
      <c r="O91" s="60">
        <f t="shared" si="12"/>
        <v>91</v>
      </c>
      <c r="P91" s="65"/>
    </row>
    <row r="92" spans="3:16">
      <c r="C92" s="83" t="s">
        <v>56</v>
      </c>
      <c r="D92" s="75"/>
      <c r="E92" s="75"/>
      <c r="F92" s="81" t="s">
        <v>151</v>
      </c>
      <c r="G92" s="55" t="s">
        <v>437</v>
      </c>
      <c r="H92" s="55" t="s">
        <v>124</v>
      </c>
      <c r="I92" s="59">
        <v>10.4</v>
      </c>
      <c r="J92" s="60" t="s">
        <v>253</v>
      </c>
      <c r="K92" s="63" t="str">
        <f t="shared" si="15"/>
        <v>XGF-AC8AInput</v>
      </c>
      <c r="L92" s="59">
        <f t="shared" si="13"/>
        <v>43</v>
      </c>
      <c r="M92" s="59">
        <f t="shared" si="14"/>
        <v>42</v>
      </c>
      <c r="N92" s="59">
        <f t="shared" ref="N92:N111" si="16">L92-M92</f>
        <v>1</v>
      </c>
      <c r="O92" s="60">
        <f t="shared" si="12"/>
        <v>92</v>
      </c>
      <c r="P92" s="65"/>
    </row>
    <row r="93" spans="3:16">
      <c r="C93" s="83" t="s">
        <v>56</v>
      </c>
      <c r="D93" s="75"/>
      <c r="E93" s="75"/>
      <c r="F93" s="81" t="s">
        <v>151</v>
      </c>
      <c r="G93" s="55" t="s">
        <v>438</v>
      </c>
      <c r="H93" s="55" t="s">
        <v>124</v>
      </c>
      <c r="I93" s="59">
        <v>10.5</v>
      </c>
      <c r="J93" s="60" t="s">
        <v>255</v>
      </c>
      <c r="K93" s="63" t="str">
        <f t="shared" si="15"/>
        <v>XGF-AC8AInput</v>
      </c>
      <c r="L93" s="59">
        <f t="shared" si="13"/>
        <v>43</v>
      </c>
      <c r="M93" s="59">
        <f t="shared" si="14"/>
        <v>42</v>
      </c>
      <c r="N93" s="59">
        <f t="shared" si="16"/>
        <v>1</v>
      </c>
      <c r="O93" s="60">
        <f t="shared" si="12"/>
        <v>93</v>
      </c>
      <c r="P93" s="65"/>
    </row>
    <row r="94" spans="3:16">
      <c r="C94" s="83" t="s">
        <v>56</v>
      </c>
      <c r="D94" s="75"/>
      <c r="E94" s="75"/>
      <c r="F94" s="81" t="s">
        <v>151</v>
      </c>
      <c r="G94" s="55" t="s">
        <v>439</v>
      </c>
      <c r="H94" s="55" t="s">
        <v>124</v>
      </c>
      <c r="I94" s="59">
        <v>10.6</v>
      </c>
      <c r="J94" s="60" t="s">
        <v>257</v>
      </c>
      <c r="K94" s="63" t="str">
        <f t="shared" si="15"/>
        <v>XGF-AC8AInput</v>
      </c>
      <c r="L94" s="59">
        <f t="shared" si="13"/>
        <v>43</v>
      </c>
      <c r="M94" s="59">
        <f t="shared" si="14"/>
        <v>42</v>
      </c>
      <c r="N94" s="59">
        <f t="shared" si="16"/>
        <v>1</v>
      </c>
      <c r="O94" s="60">
        <f t="shared" si="12"/>
        <v>94</v>
      </c>
      <c r="P94" s="65"/>
    </row>
    <row r="95" spans="3:16">
      <c r="C95" s="83" t="s">
        <v>56</v>
      </c>
      <c r="D95" s="75"/>
      <c r="E95" s="75"/>
      <c r="F95" s="81" t="s">
        <v>151</v>
      </c>
      <c r="G95" s="55" t="s">
        <v>440</v>
      </c>
      <c r="H95" s="55" t="s">
        <v>124</v>
      </c>
      <c r="I95" s="59">
        <v>10.7</v>
      </c>
      <c r="J95" s="60" t="s">
        <v>259</v>
      </c>
      <c r="K95" s="63" t="str">
        <f t="shared" si="15"/>
        <v>XGF-AC8AInput</v>
      </c>
      <c r="L95" s="59">
        <f t="shared" si="13"/>
        <v>43</v>
      </c>
      <c r="M95" s="59">
        <f t="shared" si="14"/>
        <v>42</v>
      </c>
      <c r="N95" s="59">
        <f t="shared" si="16"/>
        <v>1</v>
      </c>
      <c r="O95" s="60">
        <f t="shared" si="12"/>
        <v>95</v>
      </c>
      <c r="P95" s="65"/>
    </row>
    <row r="96" spans="3:16">
      <c r="C96" s="83" t="s">
        <v>56</v>
      </c>
      <c r="D96" s="75"/>
      <c r="E96" s="75"/>
      <c r="F96" s="81" t="s">
        <v>151</v>
      </c>
      <c r="G96" s="55" t="s">
        <v>441</v>
      </c>
      <c r="H96" s="55" t="s">
        <v>124</v>
      </c>
      <c r="I96" s="59">
        <v>11</v>
      </c>
      <c r="J96" s="60" t="s">
        <v>285</v>
      </c>
      <c r="K96" s="63" t="str">
        <f t="shared" si="15"/>
        <v>XGF-AC8AInput</v>
      </c>
      <c r="L96" s="59">
        <f t="shared" si="13"/>
        <v>43</v>
      </c>
      <c r="M96" s="59">
        <f t="shared" si="14"/>
        <v>42</v>
      </c>
      <c r="N96" s="59">
        <f t="shared" si="16"/>
        <v>1</v>
      </c>
      <c r="O96" s="60">
        <f t="shared" si="12"/>
        <v>96</v>
      </c>
      <c r="P96" s="65"/>
    </row>
    <row r="97" spans="3:16">
      <c r="C97" s="83" t="s">
        <v>56</v>
      </c>
      <c r="D97" s="75"/>
      <c r="E97" s="75"/>
      <c r="F97" s="81" t="s">
        <v>151</v>
      </c>
      <c r="G97" s="55" t="s">
        <v>442</v>
      </c>
      <c r="H97" s="55" t="s">
        <v>124</v>
      </c>
      <c r="I97" s="59">
        <v>11.1</v>
      </c>
      <c r="J97" s="60" t="s">
        <v>287</v>
      </c>
      <c r="K97" s="63" t="str">
        <f t="shared" si="15"/>
        <v>XGF-AC8AInput</v>
      </c>
      <c r="L97" s="59">
        <f t="shared" si="13"/>
        <v>43</v>
      </c>
      <c r="M97" s="59">
        <f t="shared" si="14"/>
        <v>42</v>
      </c>
      <c r="N97" s="59">
        <f t="shared" si="16"/>
        <v>1</v>
      </c>
      <c r="O97" s="60">
        <f t="shared" si="12"/>
        <v>97</v>
      </c>
      <c r="P97" s="65"/>
    </row>
    <row r="98" spans="3:16">
      <c r="C98" s="83" t="s">
        <v>56</v>
      </c>
      <c r="D98" s="75"/>
      <c r="E98" s="75"/>
      <c r="F98" s="81" t="s">
        <v>151</v>
      </c>
      <c r="G98" s="55" t="s">
        <v>443</v>
      </c>
      <c r="H98" s="55" t="s">
        <v>124</v>
      </c>
      <c r="I98" s="59">
        <v>11.2</v>
      </c>
      <c r="J98" s="60" t="s">
        <v>289</v>
      </c>
      <c r="K98" s="63" t="str">
        <f t="shared" si="15"/>
        <v>XGF-AC8AInput</v>
      </c>
      <c r="L98" s="59">
        <f t="shared" si="13"/>
        <v>43</v>
      </c>
      <c r="M98" s="59">
        <f t="shared" si="14"/>
        <v>42</v>
      </c>
      <c r="N98" s="59">
        <f t="shared" si="16"/>
        <v>1</v>
      </c>
      <c r="O98" s="60">
        <f t="shared" si="12"/>
        <v>98</v>
      </c>
      <c r="P98" s="65"/>
    </row>
    <row r="99" spans="3:16">
      <c r="C99" s="83" t="s">
        <v>56</v>
      </c>
      <c r="D99" s="75"/>
      <c r="E99" s="75"/>
      <c r="F99" s="81" t="s">
        <v>151</v>
      </c>
      <c r="G99" s="55" t="s">
        <v>444</v>
      </c>
      <c r="H99" s="55" t="s">
        <v>124</v>
      </c>
      <c r="I99" s="59">
        <v>11.3</v>
      </c>
      <c r="J99" s="60" t="s">
        <v>291</v>
      </c>
      <c r="K99" s="63" t="str">
        <f t="shared" si="15"/>
        <v>XGF-AC8AInput</v>
      </c>
      <c r="L99" s="59">
        <f t="shared" si="13"/>
        <v>43</v>
      </c>
      <c r="M99" s="59">
        <f t="shared" si="14"/>
        <v>42</v>
      </c>
      <c r="N99" s="59">
        <f t="shared" si="16"/>
        <v>1</v>
      </c>
      <c r="O99" s="60">
        <f t="shared" si="12"/>
        <v>99</v>
      </c>
      <c r="P99" s="65"/>
    </row>
    <row r="100" spans="3:16">
      <c r="C100" s="83" t="s">
        <v>56</v>
      </c>
      <c r="D100" s="75"/>
      <c r="E100" s="75"/>
      <c r="F100" s="81" t="s">
        <v>151</v>
      </c>
      <c r="G100" s="55" t="s">
        <v>445</v>
      </c>
      <c r="H100" s="55" t="s">
        <v>124</v>
      </c>
      <c r="I100" s="59">
        <v>11.4</v>
      </c>
      <c r="J100" s="60" t="s">
        <v>293</v>
      </c>
      <c r="K100" s="63" t="str">
        <f t="shared" si="15"/>
        <v>XGF-AC8AInput</v>
      </c>
      <c r="L100" s="59">
        <f t="shared" si="13"/>
        <v>43</v>
      </c>
      <c r="M100" s="59">
        <f t="shared" si="14"/>
        <v>42</v>
      </c>
      <c r="N100" s="59">
        <f t="shared" si="16"/>
        <v>1</v>
      </c>
      <c r="O100" s="60">
        <f t="shared" si="12"/>
        <v>100</v>
      </c>
      <c r="P100" s="65"/>
    </row>
    <row r="101" spans="3:16">
      <c r="C101" s="83" t="s">
        <v>56</v>
      </c>
      <c r="D101" s="75"/>
      <c r="E101" s="75"/>
      <c r="F101" s="81" t="s">
        <v>151</v>
      </c>
      <c r="G101" s="55" t="s">
        <v>446</v>
      </c>
      <c r="H101" s="55" t="s">
        <v>124</v>
      </c>
      <c r="I101" s="59">
        <v>11.5</v>
      </c>
      <c r="J101" s="60" t="s">
        <v>295</v>
      </c>
      <c r="K101" s="63" t="str">
        <f t="shared" si="15"/>
        <v>XGF-AC8AInput</v>
      </c>
      <c r="L101" s="59">
        <f t="shared" si="13"/>
        <v>43</v>
      </c>
      <c r="M101" s="59">
        <f t="shared" si="14"/>
        <v>42</v>
      </c>
      <c r="N101" s="59">
        <f t="shared" si="16"/>
        <v>1</v>
      </c>
      <c r="O101" s="60">
        <f t="shared" si="12"/>
        <v>101</v>
      </c>
      <c r="P101" s="65"/>
    </row>
    <row r="102" spans="3:16">
      <c r="C102" s="83" t="s">
        <v>56</v>
      </c>
      <c r="D102" s="75"/>
      <c r="E102" s="75"/>
      <c r="F102" s="81" t="s">
        <v>151</v>
      </c>
      <c r="G102" s="55" t="s">
        <v>447</v>
      </c>
      <c r="H102" s="55" t="s">
        <v>124</v>
      </c>
      <c r="I102" s="59">
        <v>11.6</v>
      </c>
      <c r="J102" s="60" t="s">
        <v>297</v>
      </c>
      <c r="K102" s="63" t="str">
        <f t="shared" si="15"/>
        <v>XGF-AC8AInput</v>
      </c>
      <c r="L102" s="59">
        <f t="shared" si="13"/>
        <v>43</v>
      </c>
      <c r="M102" s="59">
        <f t="shared" si="14"/>
        <v>42</v>
      </c>
      <c r="N102" s="59">
        <f t="shared" si="16"/>
        <v>1</v>
      </c>
      <c r="O102" s="60">
        <f t="shared" si="12"/>
        <v>102</v>
      </c>
      <c r="P102" s="65"/>
    </row>
    <row r="103" spans="3:16">
      <c r="C103" s="83" t="s">
        <v>56</v>
      </c>
      <c r="D103" s="75"/>
      <c r="E103" s="75"/>
      <c r="F103" s="81" t="s">
        <v>151</v>
      </c>
      <c r="G103" s="55" t="s">
        <v>448</v>
      </c>
      <c r="H103" s="55" t="s">
        <v>124</v>
      </c>
      <c r="I103" s="59">
        <v>11.7</v>
      </c>
      <c r="J103" s="60" t="s">
        <v>299</v>
      </c>
      <c r="K103" s="63" t="str">
        <f t="shared" si="15"/>
        <v>XGF-AC8AInput</v>
      </c>
      <c r="L103" s="59">
        <f t="shared" si="13"/>
        <v>43</v>
      </c>
      <c r="M103" s="59">
        <f t="shared" si="14"/>
        <v>42</v>
      </c>
      <c r="N103" s="59">
        <f t="shared" si="16"/>
        <v>1</v>
      </c>
      <c r="O103" s="60">
        <f t="shared" si="12"/>
        <v>103</v>
      </c>
      <c r="P103" s="65"/>
    </row>
    <row r="104" spans="3:16">
      <c r="C104" s="83" t="s">
        <v>56</v>
      </c>
      <c r="D104" s="75"/>
      <c r="E104" s="75"/>
      <c r="F104" s="81" t="s">
        <v>151</v>
      </c>
      <c r="G104" s="55" t="s">
        <v>449</v>
      </c>
      <c r="H104" s="55" t="s">
        <v>124</v>
      </c>
      <c r="I104" s="59">
        <v>12</v>
      </c>
      <c r="J104" s="60" t="s">
        <v>323</v>
      </c>
      <c r="K104" s="63" t="str">
        <f t="shared" si="15"/>
        <v>XGF-AC8AInput</v>
      </c>
      <c r="L104" s="59">
        <f t="shared" si="13"/>
        <v>43</v>
      </c>
      <c r="M104" s="59">
        <f t="shared" si="14"/>
        <v>42</v>
      </c>
      <c r="N104" s="59">
        <f t="shared" si="16"/>
        <v>1</v>
      </c>
      <c r="O104" s="60">
        <f t="shared" si="12"/>
        <v>104</v>
      </c>
      <c r="P104" s="65"/>
    </row>
    <row r="105" spans="3:16">
      <c r="C105" s="83" t="s">
        <v>56</v>
      </c>
      <c r="D105" s="75"/>
      <c r="E105" s="75"/>
      <c r="F105" s="81" t="s">
        <v>151</v>
      </c>
      <c r="G105" s="55" t="s">
        <v>450</v>
      </c>
      <c r="H105" s="55" t="s">
        <v>124</v>
      </c>
      <c r="I105" s="59">
        <v>12.1</v>
      </c>
      <c r="J105" s="60" t="s">
        <v>325</v>
      </c>
      <c r="K105" s="63" t="str">
        <f t="shared" si="15"/>
        <v>XGF-AC8AInput</v>
      </c>
      <c r="L105" s="59">
        <f t="shared" si="13"/>
        <v>43</v>
      </c>
      <c r="M105" s="59">
        <f t="shared" si="14"/>
        <v>42</v>
      </c>
      <c r="N105" s="59">
        <f t="shared" si="16"/>
        <v>1</v>
      </c>
      <c r="O105" s="60">
        <f t="shared" si="12"/>
        <v>105</v>
      </c>
      <c r="P105" s="65"/>
    </row>
    <row r="106" spans="3:16">
      <c r="C106" s="83" t="s">
        <v>56</v>
      </c>
      <c r="D106" s="75"/>
      <c r="E106" s="75"/>
      <c r="F106" s="81" t="s">
        <v>151</v>
      </c>
      <c r="G106" s="55" t="s">
        <v>451</v>
      </c>
      <c r="H106" s="55" t="s">
        <v>124</v>
      </c>
      <c r="I106" s="59">
        <v>12.2</v>
      </c>
      <c r="J106" s="60" t="s">
        <v>327</v>
      </c>
      <c r="K106" s="63" t="str">
        <f t="shared" si="15"/>
        <v>XGF-AC8AInput</v>
      </c>
      <c r="L106" s="59">
        <f t="shared" si="13"/>
        <v>43</v>
      </c>
      <c r="M106" s="59">
        <f t="shared" si="14"/>
        <v>42</v>
      </c>
      <c r="N106" s="59">
        <f t="shared" si="16"/>
        <v>1</v>
      </c>
      <c r="O106" s="60">
        <f t="shared" si="12"/>
        <v>106</v>
      </c>
      <c r="P106" s="65"/>
    </row>
    <row r="107" spans="3:16">
      <c r="C107" s="83" t="s">
        <v>56</v>
      </c>
      <c r="D107" s="75"/>
      <c r="E107" s="75"/>
      <c r="F107" s="81" t="s">
        <v>151</v>
      </c>
      <c r="G107" s="55" t="s">
        <v>452</v>
      </c>
      <c r="H107" s="55" t="s">
        <v>124</v>
      </c>
      <c r="I107" s="59">
        <v>12.3</v>
      </c>
      <c r="J107" s="60" t="s">
        <v>329</v>
      </c>
      <c r="K107" s="63" t="str">
        <f t="shared" si="15"/>
        <v>XGF-AC8AInput</v>
      </c>
      <c r="L107" s="59">
        <f t="shared" si="13"/>
        <v>43</v>
      </c>
      <c r="M107" s="59">
        <f t="shared" si="14"/>
        <v>42</v>
      </c>
      <c r="N107" s="59">
        <f t="shared" si="16"/>
        <v>1</v>
      </c>
      <c r="O107" s="60">
        <f t="shared" si="12"/>
        <v>107</v>
      </c>
      <c r="P107" s="65"/>
    </row>
    <row r="108" spans="3:16">
      <c r="C108" s="83" t="s">
        <v>56</v>
      </c>
      <c r="D108" s="75"/>
      <c r="E108" s="75"/>
      <c r="F108" s="81" t="s">
        <v>151</v>
      </c>
      <c r="G108" s="55" t="s">
        <v>453</v>
      </c>
      <c r="H108" s="55" t="s">
        <v>124</v>
      </c>
      <c r="I108" s="59">
        <v>12.4</v>
      </c>
      <c r="J108" s="60" t="s">
        <v>331</v>
      </c>
      <c r="K108" s="63" t="str">
        <f t="shared" si="15"/>
        <v>XGF-AC8AInput</v>
      </c>
      <c r="L108" s="59">
        <f t="shared" si="13"/>
        <v>43</v>
      </c>
      <c r="M108" s="59">
        <f t="shared" si="14"/>
        <v>42</v>
      </c>
      <c r="N108" s="59">
        <f t="shared" si="16"/>
        <v>1</v>
      </c>
      <c r="O108" s="60">
        <f t="shared" si="12"/>
        <v>108</v>
      </c>
      <c r="P108" s="65"/>
    </row>
    <row r="109" spans="3:16">
      <c r="C109" s="83" t="s">
        <v>56</v>
      </c>
      <c r="D109" s="75"/>
      <c r="E109" s="75"/>
      <c r="F109" s="81" t="s">
        <v>151</v>
      </c>
      <c r="G109" s="55" t="s">
        <v>454</v>
      </c>
      <c r="H109" s="55" t="s">
        <v>124</v>
      </c>
      <c r="I109" s="59">
        <v>12.5</v>
      </c>
      <c r="J109" s="60" t="s">
        <v>333</v>
      </c>
      <c r="K109" s="63" t="str">
        <f t="shared" si="15"/>
        <v>XGF-AC8AInput</v>
      </c>
      <c r="L109" s="59">
        <f t="shared" si="13"/>
        <v>43</v>
      </c>
      <c r="M109" s="59">
        <f t="shared" si="14"/>
        <v>42</v>
      </c>
      <c r="N109" s="59">
        <f t="shared" si="16"/>
        <v>1</v>
      </c>
      <c r="O109" s="60">
        <f t="shared" si="12"/>
        <v>109</v>
      </c>
      <c r="P109" s="65"/>
    </row>
    <row r="110" spans="3:16">
      <c r="C110" s="83" t="s">
        <v>56</v>
      </c>
      <c r="D110" s="75"/>
      <c r="E110" s="75"/>
      <c r="F110" s="81" t="s">
        <v>151</v>
      </c>
      <c r="G110" s="55" t="s">
        <v>455</v>
      </c>
      <c r="H110" s="55" t="s">
        <v>124</v>
      </c>
      <c r="I110" s="59">
        <v>12.6</v>
      </c>
      <c r="J110" s="60" t="s">
        <v>335</v>
      </c>
      <c r="K110" s="63" t="str">
        <f t="shared" si="15"/>
        <v>XGF-AC8AInput</v>
      </c>
      <c r="L110" s="59">
        <f t="shared" si="13"/>
        <v>43</v>
      </c>
      <c r="M110" s="59">
        <f t="shared" si="14"/>
        <v>42</v>
      </c>
      <c r="N110" s="59">
        <f t="shared" si="16"/>
        <v>1</v>
      </c>
      <c r="O110" s="60">
        <f t="shared" si="12"/>
        <v>110</v>
      </c>
      <c r="P110" s="65"/>
    </row>
    <row r="111" spans="3:16">
      <c r="C111" s="83" t="s">
        <v>56</v>
      </c>
      <c r="D111" s="75"/>
      <c r="E111" s="75"/>
      <c r="F111" s="81" t="s">
        <v>151</v>
      </c>
      <c r="G111" s="55" t="s">
        <v>456</v>
      </c>
      <c r="H111" s="55" t="s">
        <v>124</v>
      </c>
      <c r="I111" s="59">
        <v>12.7</v>
      </c>
      <c r="J111" s="60" t="s">
        <v>337</v>
      </c>
      <c r="K111" s="63" t="str">
        <f t="shared" si="15"/>
        <v>XGF-AC8AInput</v>
      </c>
      <c r="L111" s="59">
        <f t="shared" si="13"/>
        <v>43</v>
      </c>
      <c r="M111" s="59">
        <f t="shared" si="14"/>
        <v>42</v>
      </c>
      <c r="N111" s="59">
        <f t="shared" si="16"/>
        <v>1</v>
      </c>
      <c r="O111" s="60">
        <f t="shared" si="12"/>
        <v>111</v>
      </c>
      <c r="P111" s="65"/>
    </row>
    <row r="112" spans="3:16">
      <c r="C112" s="83" t="s">
        <v>56</v>
      </c>
      <c r="D112" s="75"/>
      <c r="E112" s="75"/>
      <c r="F112" s="81" t="s">
        <v>166</v>
      </c>
      <c r="G112" s="55" t="s">
        <v>457</v>
      </c>
      <c r="H112" s="55" t="s">
        <v>124</v>
      </c>
      <c r="I112" s="59">
        <v>0</v>
      </c>
      <c r="J112" s="60" t="s">
        <v>414</v>
      </c>
      <c r="K112" s="63"/>
      <c r="L112" s="59"/>
      <c r="M112" s="59"/>
      <c r="N112" s="59"/>
      <c r="O112" s="60">
        <f t="shared" si="12"/>
        <v>112</v>
      </c>
      <c r="P112" s="65"/>
    </row>
    <row r="113" spans="3:22">
      <c r="C113" s="83" t="s">
        <v>57</v>
      </c>
      <c r="D113" s="75">
        <v>22</v>
      </c>
      <c r="E113" s="75">
        <v>2</v>
      </c>
      <c r="F113" s="81" t="s">
        <v>151</v>
      </c>
      <c r="G113" s="55" t="s">
        <v>504</v>
      </c>
      <c r="H113" s="55" t="s">
        <v>124</v>
      </c>
      <c r="I113" s="59">
        <v>0</v>
      </c>
      <c r="J113" s="60" t="s">
        <v>505</v>
      </c>
      <c r="K113" s="63" t="str">
        <f t="shared" si="15"/>
        <v>XGF-AD4SInput</v>
      </c>
      <c r="L113" s="59">
        <f t="shared" ref="L113:L152" si="17">COUNTIF($C$2:$C$2062,C113)</f>
        <v>41</v>
      </c>
      <c r="M113" s="59">
        <f t="shared" ref="M113:M152" si="18">COUNTIF($K$2:$K$2062,K113)</f>
        <v>40</v>
      </c>
      <c r="N113" s="59">
        <f t="shared" ref="N113:N130" si="19">L113-M113</f>
        <v>1</v>
      </c>
      <c r="O113" s="60">
        <f t="shared" si="12"/>
        <v>113</v>
      </c>
      <c r="P113" s="65" t="s">
        <v>3214</v>
      </c>
      <c r="Q113">
        <f>O113</f>
        <v>113</v>
      </c>
      <c r="R113" t="s">
        <v>3215</v>
      </c>
      <c r="S113">
        <v>154</v>
      </c>
      <c r="T113" t="str">
        <f>P113&amp;Q113&amp;R113&amp;S113</f>
        <v>All data map'!$F$113:$J$154</v>
      </c>
      <c r="V113" t="s">
        <v>3238</v>
      </c>
    </row>
    <row r="114" spans="3:22">
      <c r="C114" s="83" t="s">
        <v>57</v>
      </c>
      <c r="D114" s="75"/>
      <c r="E114" s="75"/>
      <c r="F114" s="81" t="s">
        <v>151</v>
      </c>
      <c r="G114" s="55" t="s">
        <v>506</v>
      </c>
      <c r="H114" s="55" t="s">
        <v>124</v>
      </c>
      <c r="I114" s="59" t="s">
        <v>126</v>
      </c>
      <c r="J114" s="60" t="s">
        <v>507</v>
      </c>
      <c r="K114" s="63" t="str">
        <f t="shared" si="15"/>
        <v>XGF-AD4SInput</v>
      </c>
      <c r="L114" s="59">
        <f t="shared" si="17"/>
        <v>41</v>
      </c>
      <c r="M114" s="59">
        <f t="shared" si="18"/>
        <v>40</v>
      </c>
      <c r="N114" s="59">
        <f t="shared" si="19"/>
        <v>1</v>
      </c>
      <c r="O114" s="60">
        <f t="shared" si="12"/>
        <v>114</v>
      </c>
      <c r="P114" s="65"/>
    </row>
    <row r="115" spans="3:22">
      <c r="C115" s="83" t="s">
        <v>57</v>
      </c>
      <c r="D115" s="75"/>
      <c r="E115" s="75"/>
      <c r="F115" s="81" t="s">
        <v>151</v>
      </c>
      <c r="G115" s="55" t="s">
        <v>508</v>
      </c>
      <c r="H115" s="55" t="s">
        <v>124</v>
      </c>
      <c r="I115" s="59">
        <v>1</v>
      </c>
      <c r="J115" s="60" t="s">
        <v>509</v>
      </c>
      <c r="K115" s="63" t="str">
        <f t="shared" si="15"/>
        <v>XGF-AD4SInput</v>
      </c>
      <c r="L115" s="59">
        <f t="shared" si="17"/>
        <v>41</v>
      </c>
      <c r="M115" s="59">
        <f t="shared" si="18"/>
        <v>40</v>
      </c>
      <c r="N115" s="59">
        <f t="shared" si="19"/>
        <v>1</v>
      </c>
      <c r="O115" s="60">
        <f t="shared" si="12"/>
        <v>115</v>
      </c>
      <c r="P115" s="65"/>
    </row>
    <row r="116" spans="3:22">
      <c r="C116" s="83" t="s">
        <v>57</v>
      </c>
      <c r="D116" s="75"/>
      <c r="E116" s="75"/>
      <c r="F116" s="81" t="s">
        <v>151</v>
      </c>
      <c r="G116" s="55" t="s">
        <v>510</v>
      </c>
      <c r="H116" s="55" t="s">
        <v>124</v>
      </c>
      <c r="I116" s="59">
        <v>1.1000000000000001</v>
      </c>
      <c r="J116" s="60" t="s">
        <v>511</v>
      </c>
      <c r="K116" s="63" t="str">
        <f t="shared" si="15"/>
        <v>XGF-AD4SInput</v>
      </c>
      <c r="L116" s="59">
        <f t="shared" si="17"/>
        <v>41</v>
      </c>
      <c r="M116" s="59">
        <f t="shared" si="18"/>
        <v>40</v>
      </c>
      <c r="N116" s="59">
        <f t="shared" si="19"/>
        <v>1</v>
      </c>
      <c r="O116" s="60">
        <f t="shared" si="12"/>
        <v>116</v>
      </c>
      <c r="P116" s="65"/>
    </row>
    <row r="117" spans="3:22">
      <c r="C117" s="83" t="s">
        <v>57</v>
      </c>
      <c r="D117" s="75"/>
      <c r="E117" s="75"/>
      <c r="F117" s="81" t="s">
        <v>151</v>
      </c>
      <c r="G117" s="55" t="s">
        <v>512</v>
      </c>
      <c r="H117" s="55" t="s">
        <v>124</v>
      </c>
      <c r="I117" s="59">
        <v>1.2</v>
      </c>
      <c r="J117" s="60" t="s">
        <v>513</v>
      </c>
      <c r="K117" s="63" t="str">
        <f t="shared" si="15"/>
        <v>XGF-AD4SInput</v>
      </c>
      <c r="L117" s="59">
        <f t="shared" si="17"/>
        <v>41</v>
      </c>
      <c r="M117" s="59">
        <f t="shared" si="18"/>
        <v>40</v>
      </c>
      <c r="N117" s="59">
        <f t="shared" si="19"/>
        <v>1</v>
      </c>
      <c r="O117" s="60">
        <f t="shared" si="12"/>
        <v>117</v>
      </c>
      <c r="P117" s="65"/>
    </row>
    <row r="118" spans="3:22">
      <c r="C118" s="83" t="s">
        <v>57</v>
      </c>
      <c r="D118" s="75"/>
      <c r="E118" s="75"/>
      <c r="F118" s="81" t="s">
        <v>151</v>
      </c>
      <c r="G118" s="55" t="s">
        <v>514</v>
      </c>
      <c r="H118" s="55" t="s">
        <v>124</v>
      </c>
      <c r="I118" s="59">
        <v>1.3</v>
      </c>
      <c r="J118" s="60" t="s">
        <v>515</v>
      </c>
      <c r="K118" s="63" t="str">
        <f t="shared" si="15"/>
        <v>XGF-AD4SInput</v>
      </c>
      <c r="L118" s="59">
        <f t="shared" si="17"/>
        <v>41</v>
      </c>
      <c r="M118" s="59">
        <f t="shared" si="18"/>
        <v>40</v>
      </c>
      <c r="N118" s="59">
        <f t="shared" si="19"/>
        <v>1</v>
      </c>
      <c r="O118" s="60">
        <f t="shared" si="12"/>
        <v>118</v>
      </c>
      <c r="P118" s="65"/>
    </row>
    <row r="119" spans="3:22">
      <c r="C119" s="83" t="s">
        <v>57</v>
      </c>
      <c r="D119" s="75"/>
      <c r="E119" s="75"/>
      <c r="F119" s="81" t="s">
        <v>151</v>
      </c>
      <c r="G119" s="55" t="s">
        <v>516</v>
      </c>
      <c r="H119" s="55" t="s">
        <v>139</v>
      </c>
      <c r="I119" s="59">
        <v>2</v>
      </c>
      <c r="J119" s="60" t="s">
        <v>517</v>
      </c>
      <c r="K119" s="63" t="str">
        <f t="shared" si="15"/>
        <v>XGF-AD4SInput</v>
      </c>
      <c r="L119" s="59">
        <f t="shared" si="17"/>
        <v>41</v>
      </c>
      <c r="M119" s="59">
        <f t="shared" si="18"/>
        <v>40</v>
      </c>
      <c r="N119" s="59">
        <f t="shared" si="19"/>
        <v>1</v>
      </c>
      <c r="O119" s="60">
        <f t="shared" si="12"/>
        <v>119</v>
      </c>
      <c r="P119" s="65"/>
    </row>
    <row r="120" spans="3:22">
      <c r="C120" s="83" t="s">
        <v>57</v>
      </c>
      <c r="D120" s="75"/>
      <c r="E120" s="75"/>
      <c r="F120" s="81" t="s">
        <v>151</v>
      </c>
      <c r="G120" s="55" t="s">
        <v>518</v>
      </c>
      <c r="H120" s="55" t="s">
        <v>139</v>
      </c>
      <c r="I120" s="59">
        <v>3</v>
      </c>
      <c r="J120" s="60" t="s">
        <v>519</v>
      </c>
      <c r="K120" s="63" t="str">
        <f t="shared" si="15"/>
        <v>XGF-AD4SInput</v>
      </c>
      <c r="L120" s="59">
        <f t="shared" si="17"/>
        <v>41</v>
      </c>
      <c r="M120" s="59">
        <f t="shared" si="18"/>
        <v>40</v>
      </c>
      <c r="N120" s="59">
        <f t="shared" si="19"/>
        <v>1</v>
      </c>
      <c r="O120" s="60">
        <f t="shared" si="12"/>
        <v>120</v>
      </c>
      <c r="P120" s="65"/>
    </row>
    <row r="121" spans="3:22">
      <c r="C121" s="83" t="s">
        <v>57</v>
      </c>
      <c r="D121" s="75"/>
      <c r="E121" s="75"/>
      <c r="F121" s="81" t="s">
        <v>151</v>
      </c>
      <c r="G121" s="55" t="s">
        <v>520</v>
      </c>
      <c r="H121" s="55" t="s">
        <v>139</v>
      </c>
      <c r="I121" s="59">
        <v>4</v>
      </c>
      <c r="J121" s="60" t="s">
        <v>521</v>
      </c>
      <c r="K121" s="63" t="str">
        <f t="shared" si="15"/>
        <v>XGF-AD4SInput</v>
      </c>
      <c r="L121" s="59">
        <f t="shared" si="17"/>
        <v>41</v>
      </c>
      <c r="M121" s="59">
        <f t="shared" si="18"/>
        <v>40</v>
      </c>
      <c r="N121" s="59">
        <f t="shared" si="19"/>
        <v>1</v>
      </c>
      <c r="O121" s="60">
        <f t="shared" si="12"/>
        <v>121</v>
      </c>
      <c r="P121" s="65"/>
    </row>
    <row r="122" spans="3:22">
      <c r="C122" s="83" t="s">
        <v>57</v>
      </c>
      <c r="D122" s="75"/>
      <c r="E122" s="75"/>
      <c r="F122" s="81" t="s">
        <v>151</v>
      </c>
      <c r="G122" s="55" t="s">
        <v>522</v>
      </c>
      <c r="H122" s="55" t="s">
        <v>139</v>
      </c>
      <c r="I122" s="59">
        <v>5</v>
      </c>
      <c r="J122" s="60" t="s">
        <v>523</v>
      </c>
      <c r="K122" s="63" t="str">
        <f t="shared" si="15"/>
        <v>XGF-AD4SInput</v>
      </c>
      <c r="L122" s="59">
        <f t="shared" si="17"/>
        <v>41</v>
      </c>
      <c r="M122" s="59">
        <f t="shared" si="18"/>
        <v>40</v>
      </c>
      <c r="N122" s="59">
        <f t="shared" si="19"/>
        <v>1</v>
      </c>
      <c r="O122" s="60">
        <f t="shared" si="12"/>
        <v>122</v>
      </c>
      <c r="P122" s="65"/>
    </row>
    <row r="123" spans="3:22">
      <c r="C123" s="83" t="s">
        <v>57</v>
      </c>
      <c r="D123" s="75"/>
      <c r="E123" s="75"/>
      <c r="F123" s="81" t="s">
        <v>151</v>
      </c>
      <c r="G123" s="62" t="s">
        <v>6</v>
      </c>
      <c r="H123" s="55" t="s">
        <v>139</v>
      </c>
      <c r="I123" s="59">
        <v>6</v>
      </c>
      <c r="J123" s="60" t="s">
        <v>140</v>
      </c>
      <c r="K123" s="63" t="str">
        <f t="shared" si="15"/>
        <v>XGF-AD4SInput</v>
      </c>
      <c r="L123" s="59">
        <f t="shared" si="17"/>
        <v>41</v>
      </c>
      <c r="M123" s="59">
        <f t="shared" si="18"/>
        <v>40</v>
      </c>
      <c r="N123" s="59">
        <f t="shared" si="19"/>
        <v>1</v>
      </c>
      <c r="O123" s="60">
        <f t="shared" si="12"/>
        <v>123</v>
      </c>
      <c r="P123" s="65"/>
    </row>
    <row r="124" spans="3:22">
      <c r="C124" s="83" t="s">
        <v>57</v>
      </c>
      <c r="D124" s="75"/>
      <c r="E124" s="75"/>
      <c r="F124" s="81" t="s">
        <v>151</v>
      </c>
      <c r="G124" s="62" t="s">
        <v>6</v>
      </c>
      <c r="H124" s="55" t="s">
        <v>139</v>
      </c>
      <c r="I124" s="59">
        <v>7</v>
      </c>
      <c r="J124" s="60" t="s">
        <v>140</v>
      </c>
      <c r="K124" s="63" t="str">
        <f t="shared" si="15"/>
        <v>XGF-AD4SInput</v>
      </c>
      <c r="L124" s="59">
        <f t="shared" si="17"/>
        <v>41</v>
      </c>
      <c r="M124" s="59">
        <f t="shared" si="18"/>
        <v>40</v>
      </c>
      <c r="N124" s="59">
        <f t="shared" si="19"/>
        <v>1</v>
      </c>
      <c r="O124" s="60">
        <f t="shared" si="12"/>
        <v>124</v>
      </c>
      <c r="P124" s="65"/>
    </row>
    <row r="125" spans="3:22">
      <c r="C125" s="83" t="s">
        <v>57</v>
      </c>
      <c r="D125" s="75"/>
      <c r="E125" s="75"/>
      <c r="F125" s="81" t="s">
        <v>151</v>
      </c>
      <c r="G125" s="55" t="s">
        <v>524</v>
      </c>
      <c r="H125" s="55" t="s">
        <v>124</v>
      </c>
      <c r="I125" s="59">
        <v>8</v>
      </c>
      <c r="J125" s="60" t="s">
        <v>525</v>
      </c>
      <c r="K125" s="63" t="str">
        <f t="shared" si="15"/>
        <v>XGF-AD4SInput</v>
      </c>
      <c r="L125" s="59">
        <f t="shared" si="17"/>
        <v>41</v>
      </c>
      <c r="M125" s="59">
        <f t="shared" si="18"/>
        <v>40</v>
      </c>
      <c r="N125" s="59">
        <f t="shared" si="19"/>
        <v>1</v>
      </c>
      <c r="O125" s="60">
        <f t="shared" si="12"/>
        <v>125</v>
      </c>
      <c r="P125" s="65"/>
    </row>
    <row r="126" spans="3:22">
      <c r="C126" s="83" t="s">
        <v>57</v>
      </c>
      <c r="D126" s="75"/>
      <c r="E126" s="75"/>
      <c r="F126" s="81" t="s">
        <v>151</v>
      </c>
      <c r="G126" s="55" t="s">
        <v>526</v>
      </c>
      <c r="H126" s="55" t="s">
        <v>124</v>
      </c>
      <c r="I126" s="59">
        <v>8.1</v>
      </c>
      <c r="J126" s="60" t="s">
        <v>527</v>
      </c>
      <c r="K126" s="63" t="str">
        <f t="shared" si="15"/>
        <v>XGF-AD4SInput</v>
      </c>
      <c r="L126" s="59">
        <f t="shared" si="17"/>
        <v>41</v>
      </c>
      <c r="M126" s="59">
        <f t="shared" si="18"/>
        <v>40</v>
      </c>
      <c r="N126" s="59">
        <f t="shared" si="19"/>
        <v>1</v>
      </c>
      <c r="O126" s="60">
        <f t="shared" si="12"/>
        <v>126</v>
      </c>
      <c r="P126" s="65"/>
    </row>
    <row r="127" spans="3:22">
      <c r="C127" s="83" t="s">
        <v>57</v>
      </c>
      <c r="D127" s="75"/>
      <c r="E127" s="75"/>
      <c r="F127" s="81" t="s">
        <v>151</v>
      </c>
      <c r="G127" s="55" t="s">
        <v>528</v>
      </c>
      <c r="H127" s="55" t="s">
        <v>124</v>
      </c>
      <c r="I127" s="59">
        <v>8.1999999999999993</v>
      </c>
      <c r="J127" s="60" t="s">
        <v>529</v>
      </c>
      <c r="K127" s="63" t="str">
        <f t="shared" si="15"/>
        <v>XGF-AD4SInput</v>
      </c>
      <c r="L127" s="59">
        <f t="shared" si="17"/>
        <v>41</v>
      </c>
      <c r="M127" s="59">
        <f t="shared" si="18"/>
        <v>40</v>
      </c>
      <c r="N127" s="59">
        <f t="shared" si="19"/>
        <v>1</v>
      </c>
      <c r="O127" s="60">
        <f t="shared" si="12"/>
        <v>127</v>
      </c>
      <c r="P127" s="65"/>
    </row>
    <row r="128" spans="3:22">
      <c r="C128" s="83" t="s">
        <v>57</v>
      </c>
      <c r="D128" s="75"/>
      <c r="E128" s="75"/>
      <c r="F128" s="81" t="s">
        <v>151</v>
      </c>
      <c r="G128" s="55" t="s">
        <v>530</v>
      </c>
      <c r="H128" s="55" t="s">
        <v>124</v>
      </c>
      <c r="I128" s="59">
        <v>8.3000000000000007</v>
      </c>
      <c r="J128" s="60" t="s">
        <v>531</v>
      </c>
      <c r="K128" s="63" t="str">
        <f t="shared" si="15"/>
        <v>XGF-AD4SInput</v>
      </c>
      <c r="L128" s="59">
        <f t="shared" si="17"/>
        <v>41</v>
      </c>
      <c r="M128" s="59">
        <f t="shared" si="18"/>
        <v>40</v>
      </c>
      <c r="N128" s="59">
        <f t="shared" si="19"/>
        <v>1</v>
      </c>
      <c r="O128" s="60">
        <f t="shared" si="12"/>
        <v>128</v>
      </c>
      <c r="P128" s="65"/>
    </row>
    <row r="129" spans="3:16">
      <c r="C129" s="83" t="s">
        <v>57</v>
      </c>
      <c r="D129" s="75"/>
      <c r="E129" s="75"/>
      <c r="F129" s="81" t="s">
        <v>151</v>
      </c>
      <c r="G129" s="55" t="s">
        <v>532</v>
      </c>
      <c r="H129" s="55" t="s">
        <v>124</v>
      </c>
      <c r="I129" s="59">
        <v>8.4</v>
      </c>
      <c r="J129" s="60" t="s">
        <v>533</v>
      </c>
      <c r="K129" s="63" t="str">
        <f t="shared" si="15"/>
        <v>XGF-AD4SInput</v>
      </c>
      <c r="L129" s="59">
        <f t="shared" si="17"/>
        <v>41</v>
      </c>
      <c r="M129" s="59">
        <f t="shared" si="18"/>
        <v>40</v>
      </c>
      <c r="N129" s="59">
        <f t="shared" si="19"/>
        <v>1</v>
      </c>
      <c r="O129" s="60">
        <f t="shared" si="12"/>
        <v>129</v>
      </c>
      <c r="P129" s="65"/>
    </row>
    <row r="130" spans="3:16">
      <c r="C130" s="83" t="s">
        <v>57</v>
      </c>
      <c r="D130" s="75"/>
      <c r="E130" s="75"/>
      <c r="F130" s="81" t="s">
        <v>151</v>
      </c>
      <c r="G130" s="55" t="s">
        <v>534</v>
      </c>
      <c r="H130" s="55" t="s">
        <v>124</v>
      </c>
      <c r="I130" s="59">
        <v>8.5</v>
      </c>
      <c r="J130" s="60" t="s">
        <v>535</v>
      </c>
      <c r="K130" s="63" t="str">
        <f t="shared" si="15"/>
        <v>XGF-AD4SInput</v>
      </c>
      <c r="L130" s="59">
        <f t="shared" si="17"/>
        <v>41</v>
      </c>
      <c r="M130" s="59">
        <f t="shared" si="18"/>
        <v>40</v>
      </c>
      <c r="N130" s="59">
        <f t="shared" si="19"/>
        <v>1</v>
      </c>
      <c r="O130" s="60">
        <f t="shared" ref="O130:O193" si="20">ROW(C130)</f>
        <v>130</v>
      </c>
      <c r="P130" s="65"/>
    </row>
    <row r="131" spans="3:16">
      <c r="C131" s="83" t="s">
        <v>57</v>
      </c>
      <c r="D131" s="75"/>
      <c r="E131" s="75"/>
      <c r="F131" s="81" t="s">
        <v>151</v>
      </c>
      <c r="G131" s="55" t="s">
        <v>536</v>
      </c>
      <c r="H131" s="55" t="s">
        <v>124</v>
      </c>
      <c r="I131" s="59">
        <v>8.6</v>
      </c>
      <c r="J131" s="60" t="s">
        <v>537</v>
      </c>
      <c r="K131" s="63" t="str">
        <f t="shared" si="15"/>
        <v>XGF-AD4SInput</v>
      </c>
      <c r="L131" s="59">
        <f t="shared" si="17"/>
        <v>41</v>
      </c>
      <c r="M131" s="59">
        <f t="shared" si="18"/>
        <v>40</v>
      </c>
      <c r="N131" s="59">
        <f t="shared" ref="N131:N194" si="21">L131-M131</f>
        <v>1</v>
      </c>
      <c r="O131" s="60">
        <f t="shared" si="20"/>
        <v>131</v>
      </c>
      <c r="P131" s="65"/>
    </row>
    <row r="132" spans="3:16">
      <c r="C132" s="83" t="s">
        <v>57</v>
      </c>
      <c r="D132" s="75"/>
      <c r="E132" s="75"/>
      <c r="F132" s="81" t="s">
        <v>151</v>
      </c>
      <c r="G132" s="55" t="s">
        <v>538</v>
      </c>
      <c r="H132" s="55" t="s">
        <v>124</v>
      </c>
      <c r="I132" s="59">
        <v>8.6999999999999993</v>
      </c>
      <c r="J132" s="60" t="s">
        <v>539</v>
      </c>
      <c r="K132" s="63" t="str">
        <f t="shared" si="15"/>
        <v>XGF-AD4SInput</v>
      </c>
      <c r="L132" s="59">
        <f t="shared" si="17"/>
        <v>41</v>
      </c>
      <c r="M132" s="59">
        <f t="shared" si="18"/>
        <v>40</v>
      </c>
      <c r="N132" s="59">
        <f t="shared" si="21"/>
        <v>1</v>
      </c>
      <c r="O132" s="60">
        <f t="shared" si="20"/>
        <v>132</v>
      </c>
      <c r="P132" s="65"/>
    </row>
    <row r="133" spans="3:16">
      <c r="C133" s="83" t="s">
        <v>57</v>
      </c>
      <c r="D133" s="75"/>
      <c r="E133" s="75"/>
      <c r="F133" s="81" t="s">
        <v>151</v>
      </c>
      <c r="G133" s="55" t="s">
        <v>540</v>
      </c>
      <c r="H133" s="55" t="s">
        <v>124</v>
      </c>
      <c r="I133" s="59">
        <v>8.8000000000000007</v>
      </c>
      <c r="J133" s="60" t="s">
        <v>541</v>
      </c>
      <c r="K133" s="63" t="str">
        <f t="shared" si="15"/>
        <v>XGF-AD4SInput</v>
      </c>
      <c r="L133" s="59">
        <f t="shared" si="17"/>
        <v>41</v>
      </c>
      <c r="M133" s="59">
        <f t="shared" si="18"/>
        <v>40</v>
      </c>
      <c r="N133" s="59">
        <f t="shared" si="21"/>
        <v>1</v>
      </c>
      <c r="O133" s="60">
        <f t="shared" si="20"/>
        <v>133</v>
      </c>
      <c r="P133" s="65"/>
    </row>
    <row r="134" spans="3:16">
      <c r="C134" s="83" t="s">
        <v>57</v>
      </c>
      <c r="D134" s="75"/>
      <c r="E134" s="75"/>
      <c r="F134" s="81" t="s">
        <v>151</v>
      </c>
      <c r="G134" s="55" t="s">
        <v>542</v>
      </c>
      <c r="H134" s="55" t="s">
        <v>124</v>
      </c>
      <c r="I134" s="59">
        <v>8.9</v>
      </c>
      <c r="J134" s="60" t="s">
        <v>543</v>
      </c>
      <c r="K134" s="63" t="str">
        <f t="shared" si="15"/>
        <v>XGF-AD4SInput</v>
      </c>
      <c r="L134" s="59">
        <f t="shared" si="17"/>
        <v>41</v>
      </c>
      <c r="M134" s="59">
        <f t="shared" si="18"/>
        <v>40</v>
      </c>
      <c r="N134" s="59">
        <f t="shared" si="21"/>
        <v>1</v>
      </c>
      <c r="O134" s="60">
        <f t="shared" si="20"/>
        <v>134</v>
      </c>
      <c r="P134" s="65"/>
    </row>
    <row r="135" spans="3:16">
      <c r="C135" s="83" t="s">
        <v>57</v>
      </c>
      <c r="D135" s="75"/>
      <c r="E135" s="75"/>
      <c r="F135" s="81" t="s">
        <v>151</v>
      </c>
      <c r="G135" s="55" t="s">
        <v>544</v>
      </c>
      <c r="H135" s="55" t="s">
        <v>124</v>
      </c>
      <c r="I135" s="59" t="s">
        <v>545</v>
      </c>
      <c r="J135" s="60" t="s">
        <v>546</v>
      </c>
      <c r="K135" s="63" t="str">
        <f t="shared" si="15"/>
        <v>XGF-AD4SInput</v>
      </c>
      <c r="L135" s="59">
        <f t="shared" si="17"/>
        <v>41</v>
      </c>
      <c r="M135" s="59">
        <f t="shared" si="18"/>
        <v>40</v>
      </c>
      <c r="N135" s="59">
        <f t="shared" si="21"/>
        <v>1</v>
      </c>
      <c r="O135" s="60">
        <f t="shared" si="20"/>
        <v>135</v>
      </c>
      <c r="P135" s="65"/>
    </row>
    <row r="136" spans="3:16">
      <c r="C136" s="83" t="s">
        <v>57</v>
      </c>
      <c r="D136" s="75"/>
      <c r="E136" s="75"/>
      <c r="F136" s="81" t="s">
        <v>151</v>
      </c>
      <c r="G136" s="55" t="s">
        <v>547</v>
      </c>
      <c r="H136" s="55" t="s">
        <v>124</v>
      </c>
      <c r="I136" s="59" t="s">
        <v>548</v>
      </c>
      <c r="J136" s="60" t="s">
        <v>549</v>
      </c>
      <c r="K136" s="63" t="str">
        <f t="shared" si="15"/>
        <v>XGF-AD4SInput</v>
      </c>
      <c r="L136" s="59">
        <f t="shared" si="17"/>
        <v>41</v>
      </c>
      <c r="M136" s="59">
        <f t="shared" si="18"/>
        <v>40</v>
      </c>
      <c r="N136" s="59">
        <f t="shared" si="21"/>
        <v>1</v>
      </c>
      <c r="O136" s="60">
        <f t="shared" si="20"/>
        <v>136</v>
      </c>
      <c r="P136" s="65"/>
    </row>
    <row r="137" spans="3:16">
      <c r="C137" s="83" t="s">
        <v>57</v>
      </c>
      <c r="D137" s="75"/>
      <c r="E137" s="75"/>
      <c r="F137" s="81" t="s">
        <v>151</v>
      </c>
      <c r="G137" s="55" t="s">
        <v>550</v>
      </c>
      <c r="H137" s="55" t="s">
        <v>124</v>
      </c>
      <c r="I137" s="59" t="s">
        <v>551</v>
      </c>
      <c r="J137" s="60" t="s">
        <v>552</v>
      </c>
      <c r="K137" s="63" t="str">
        <f t="shared" si="15"/>
        <v>XGF-AD4SInput</v>
      </c>
      <c r="L137" s="59">
        <f t="shared" si="17"/>
        <v>41</v>
      </c>
      <c r="M137" s="59">
        <f t="shared" si="18"/>
        <v>40</v>
      </c>
      <c r="N137" s="59">
        <f t="shared" si="21"/>
        <v>1</v>
      </c>
      <c r="O137" s="60">
        <f t="shared" si="20"/>
        <v>137</v>
      </c>
      <c r="P137" s="65"/>
    </row>
    <row r="138" spans="3:16">
      <c r="C138" s="83" t="s">
        <v>57</v>
      </c>
      <c r="D138" s="75"/>
      <c r="E138" s="75"/>
      <c r="F138" s="81" t="s">
        <v>151</v>
      </c>
      <c r="G138" s="55" t="s">
        <v>553</v>
      </c>
      <c r="H138" s="55" t="s">
        <v>124</v>
      </c>
      <c r="I138" s="59" t="s">
        <v>554</v>
      </c>
      <c r="J138" s="60" t="s">
        <v>555</v>
      </c>
      <c r="K138" s="63" t="str">
        <f t="shared" si="15"/>
        <v>XGF-AD4SInput</v>
      </c>
      <c r="L138" s="59">
        <f t="shared" si="17"/>
        <v>41</v>
      </c>
      <c r="M138" s="59">
        <f t="shared" si="18"/>
        <v>40</v>
      </c>
      <c r="N138" s="59">
        <f t="shared" si="21"/>
        <v>1</v>
      </c>
      <c r="O138" s="60">
        <f t="shared" si="20"/>
        <v>138</v>
      </c>
      <c r="P138" s="65"/>
    </row>
    <row r="139" spans="3:16">
      <c r="C139" s="83" t="s">
        <v>57</v>
      </c>
      <c r="D139" s="75"/>
      <c r="E139" s="75"/>
      <c r="F139" s="81" t="s">
        <v>151</v>
      </c>
      <c r="G139" s="55" t="s">
        <v>556</v>
      </c>
      <c r="H139" s="55" t="s">
        <v>124</v>
      </c>
      <c r="I139" s="59" t="s">
        <v>557</v>
      </c>
      <c r="J139" s="60" t="s">
        <v>558</v>
      </c>
      <c r="K139" s="63" t="str">
        <f t="shared" si="15"/>
        <v>XGF-AD4SInput</v>
      </c>
      <c r="L139" s="59">
        <f t="shared" si="17"/>
        <v>41</v>
      </c>
      <c r="M139" s="59">
        <f t="shared" si="18"/>
        <v>40</v>
      </c>
      <c r="N139" s="59">
        <f t="shared" si="21"/>
        <v>1</v>
      </c>
      <c r="O139" s="60">
        <f t="shared" si="20"/>
        <v>139</v>
      </c>
      <c r="P139" s="65"/>
    </row>
    <row r="140" spans="3:16">
      <c r="C140" s="83" t="s">
        <v>57</v>
      </c>
      <c r="D140" s="75"/>
      <c r="E140" s="75"/>
      <c r="F140" s="81" t="s">
        <v>151</v>
      </c>
      <c r="G140" s="55" t="s">
        <v>559</v>
      </c>
      <c r="H140" s="55" t="s">
        <v>124</v>
      </c>
      <c r="I140" s="59" t="s">
        <v>560</v>
      </c>
      <c r="J140" s="60" t="s">
        <v>561</v>
      </c>
      <c r="K140" s="63" t="str">
        <f t="shared" si="15"/>
        <v>XGF-AD4SInput</v>
      </c>
      <c r="L140" s="59">
        <f t="shared" si="17"/>
        <v>41</v>
      </c>
      <c r="M140" s="59">
        <f t="shared" si="18"/>
        <v>40</v>
      </c>
      <c r="N140" s="59">
        <f t="shared" si="21"/>
        <v>1</v>
      </c>
      <c r="O140" s="60">
        <f t="shared" si="20"/>
        <v>140</v>
      </c>
      <c r="P140" s="65"/>
    </row>
    <row r="141" spans="3:16">
      <c r="C141" s="83" t="s">
        <v>57</v>
      </c>
      <c r="D141" s="75"/>
      <c r="E141" s="75"/>
      <c r="F141" s="81" t="s">
        <v>151</v>
      </c>
      <c r="G141" s="55" t="s">
        <v>562</v>
      </c>
      <c r="H141" s="55" t="s">
        <v>124</v>
      </c>
      <c r="I141" s="59">
        <v>9</v>
      </c>
      <c r="J141" s="60" t="s">
        <v>563</v>
      </c>
      <c r="K141" s="63" t="str">
        <f t="shared" si="15"/>
        <v>XGF-AD4SInput</v>
      </c>
      <c r="L141" s="59">
        <f t="shared" si="17"/>
        <v>41</v>
      </c>
      <c r="M141" s="59">
        <f t="shared" si="18"/>
        <v>40</v>
      </c>
      <c r="N141" s="59">
        <f t="shared" si="21"/>
        <v>1</v>
      </c>
      <c r="O141" s="60">
        <f t="shared" si="20"/>
        <v>141</v>
      </c>
      <c r="P141" s="65"/>
    </row>
    <row r="142" spans="3:16">
      <c r="C142" s="83" t="s">
        <v>57</v>
      </c>
      <c r="D142" s="75"/>
      <c r="E142" s="75"/>
      <c r="F142" s="81" t="s">
        <v>151</v>
      </c>
      <c r="G142" s="55" t="s">
        <v>564</v>
      </c>
      <c r="H142" s="55" t="s">
        <v>124</v>
      </c>
      <c r="I142" s="59">
        <v>9.1</v>
      </c>
      <c r="J142" s="60" t="s">
        <v>565</v>
      </c>
      <c r="K142" s="63" t="str">
        <f t="shared" si="15"/>
        <v>XGF-AD4SInput</v>
      </c>
      <c r="L142" s="59">
        <f t="shared" si="17"/>
        <v>41</v>
      </c>
      <c r="M142" s="59">
        <f t="shared" si="18"/>
        <v>40</v>
      </c>
      <c r="N142" s="59">
        <f t="shared" si="21"/>
        <v>1</v>
      </c>
      <c r="O142" s="60">
        <f t="shared" si="20"/>
        <v>142</v>
      </c>
      <c r="P142" s="65"/>
    </row>
    <row r="143" spans="3:16">
      <c r="C143" s="83" t="s">
        <v>57</v>
      </c>
      <c r="D143" s="75"/>
      <c r="E143" s="75"/>
      <c r="F143" s="81" t="s">
        <v>151</v>
      </c>
      <c r="G143" s="55" t="s">
        <v>566</v>
      </c>
      <c r="H143" s="55" t="s">
        <v>124</v>
      </c>
      <c r="I143" s="59">
        <v>9.1999999999999993</v>
      </c>
      <c r="J143" s="60" t="s">
        <v>567</v>
      </c>
      <c r="K143" s="63" t="str">
        <f t="shared" si="15"/>
        <v>XGF-AD4SInput</v>
      </c>
      <c r="L143" s="59">
        <f t="shared" si="17"/>
        <v>41</v>
      </c>
      <c r="M143" s="59">
        <f t="shared" si="18"/>
        <v>40</v>
      </c>
      <c r="N143" s="59">
        <f t="shared" si="21"/>
        <v>1</v>
      </c>
      <c r="O143" s="60">
        <f t="shared" si="20"/>
        <v>143</v>
      </c>
      <c r="P143" s="65"/>
    </row>
    <row r="144" spans="3:16">
      <c r="C144" s="83" t="s">
        <v>57</v>
      </c>
      <c r="D144" s="75"/>
      <c r="E144" s="75"/>
      <c r="F144" s="81" t="s">
        <v>151</v>
      </c>
      <c r="G144" s="55" t="s">
        <v>568</v>
      </c>
      <c r="H144" s="55" t="s">
        <v>124</v>
      </c>
      <c r="I144" s="59">
        <v>9.3000000000000007</v>
      </c>
      <c r="J144" s="60" t="s">
        <v>569</v>
      </c>
      <c r="K144" s="63" t="str">
        <f t="shared" si="15"/>
        <v>XGF-AD4SInput</v>
      </c>
      <c r="L144" s="59">
        <f t="shared" si="17"/>
        <v>41</v>
      </c>
      <c r="M144" s="59">
        <f t="shared" si="18"/>
        <v>40</v>
      </c>
      <c r="N144" s="59">
        <f t="shared" si="21"/>
        <v>1</v>
      </c>
      <c r="O144" s="60">
        <f t="shared" si="20"/>
        <v>144</v>
      </c>
      <c r="P144" s="65"/>
    </row>
    <row r="145" spans="3:22">
      <c r="C145" s="83" t="s">
        <v>57</v>
      </c>
      <c r="D145" s="75"/>
      <c r="E145" s="75"/>
      <c r="F145" s="81" t="s">
        <v>151</v>
      </c>
      <c r="G145" s="55" t="s">
        <v>570</v>
      </c>
      <c r="H145" s="55" t="s">
        <v>124</v>
      </c>
      <c r="I145" s="59">
        <v>9.4</v>
      </c>
      <c r="J145" s="60" t="s">
        <v>571</v>
      </c>
      <c r="K145" s="63" t="str">
        <f t="shared" si="15"/>
        <v>XGF-AD4SInput</v>
      </c>
      <c r="L145" s="59">
        <f t="shared" si="17"/>
        <v>41</v>
      </c>
      <c r="M145" s="59">
        <f t="shared" si="18"/>
        <v>40</v>
      </c>
      <c r="N145" s="59">
        <f t="shared" si="21"/>
        <v>1</v>
      </c>
      <c r="O145" s="60">
        <f t="shared" si="20"/>
        <v>145</v>
      </c>
      <c r="P145" s="65"/>
    </row>
    <row r="146" spans="3:22">
      <c r="C146" s="83" t="s">
        <v>57</v>
      </c>
      <c r="D146" s="75"/>
      <c r="E146" s="75"/>
      <c r="F146" s="81" t="s">
        <v>151</v>
      </c>
      <c r="G146" s="55" t="s">
        <v>572</v>
      </c>
      <c r="H146" s="55" t="s">
        <v>124</v>
      </c>
      <c r="I146" s="59">
        <v>9.5</v>
      </c>
      <c r="J146" s="60" t="s">
        <v>573</v>
      </c>
      <c r="K146" s="63" t="str">
        <f t="shared" si="15"/>
        <v>XGF-AD4SInput</v>
      </c>
      <c r="L146" s="59">
        <f t="shared" si="17"/>
        <v>41</v>
      </c>
      <c r="M146" s="59">
        <f t="shared" si="18"/>
        <v>40</v>
      </c>
      <c r="N146" s="59">
        <f t="shared" si="21"/>
        <v>1</v>
      </c>
      <c r="O146" s="60">
        <f t="shared" si="20"/>
        <v>146</v>
      </c>
      <c r="P146" s="65"/>
    </row>
    <row r="147" spans="3:22">
      <c r="C147" s="83" t="s">
        <v>57</v>
      </c>
      <c r="D147" s="75"/>
      <c r="E147" s="75"/>
      <c r="F147" s="81" t="s">
        <v>151</v>
      </c>
      <c r="G147" s="55" t="s">
        <v>574</v>
      </c>
      <c r="H147" s="55" t="s">
        <v>124</v>
      </c>
      <c r="I147" s="59">
        <v>9.6</v>
      </c>
      <c r="J147" s="60" t="s">
        <v>575</v>
      </c>
      <c r="K147" s="63" t="str">
        <f t="shared" si="15"/>
        <v>XGF-AD4SInput</v>
      </c>
      <c r="L147" s="59">
        <f t="shared" si="17"/>
        <v>41</v>
      </c>
      <c r="M147" s="59">
        <f t="shared" si="18"/>
        <v>40</v>
      </c>
      <c r="N147" s="59">
        <f t="shared" si="21"/>
        <v>1</v>
      </c>
      <c r="O147" s="60">
        <f t="shared" si="20"/>
        <v>147</v>
      </c>
      <c r="P147" s="65"/>
    </row>
    <row r="148" spans="3:22">
      <c r="C148" s="83" t="s">
        <v>57</v>
      </c>
      <c r="D148" s="75"/>
      <c r="E148" s="75"/>
      <c r="F148" s="81" t="s">
        <v>151</v>
      </c>
      <c r="G148" s="55" t="s">
        <v>576</v>
      </c>
      <c r="H148" s="55" t="s">
        <v>124</v>
      </c>
      <c r="I148" s="59">
        <v>9.6999999999999993</v>
      </c>
      <c r="J148" s="60" t="s">
        <v>577</v>
      </c>
      <c r="K148" s="63" t="str">
        <f t="shared" si="15"/>
        <v>XGF-AD4SInput</v>
      </c>
      <c r="L148" s="59">
        <f t="shared" si="17"/>
        <v>41</v>
      </c>
      <c r="M148" s="59">
        <f t="shared" si="18"/>
        <v>40</v>
      </c>
      <c r="N148" s="59">
        <f t="shared" si="21"/>
        <v>1</v>
      </c>
      <c r="O148" s="60">
        <f t="shared" si="20"/>
        <v>148</v>
      </c>
      <c r="P148" s="65"/>
    </row>
    <row r="149" spans="3:22">
      <c r="C149" s="83" t="s">
        <v>57</v>
      </c>
      <c r="D149" s="75"/>
      <c r="E149" s="75"/>
      <c r="F149" s="81" t="s">
        <v>151</v>
      </c>
      <c r="G149" s="55" t="s">
        <v>578</v>
      </c>
      <c r="H149" s="55" t="s">
        <v>124</v>
      </c>
      <c r="I149" s="59">
        <v>10</v>
      </c>
      <c r="J149" s="60" t="s">
        <v>579</v>
      </c>
      <c r="K149" s="63" t="str">
        <f t="shared" ref="K149:K212" si="22">C149&amp;F149</f>
        <v>XGF-AD4SInput</v>
      </c>
      <c r="L149" s="59">
        <f t="shared" si="17"/>
        <v>41</v>
      </c>
      <c r="M149" s="59">
        <f t="shared" si="18"/>
        <v>40</v>
      </c>
      <c r="N149" s="59">
        <f t="shared" si="21"/>
        <v>1</v>
      </c>
      <c r="O149" s="60">
        <f t="shared" si="20"/>
        <v>149</v>
      </c>
      <c r="P149" s="65"/>
    </row>
    <row r="150" spans="3:22">
      <c r="C150" s="83" t="s">
        <v>57</v>
      </c>
      <c r="D150" s="75"/>
      <c r="E150" s="75"/>
      <c r="F150" s="81" t="s">
        <v>151</v>
      </c>
      <c r="G150" s="55" t="s">
        <v>580</v>
      </c>
      <c r="H150" s="55" t="s">
        <v>124</v>
      </c>
      <c r="I150" s="59">
        <v>10.1</v>
      </c>
      <c r="J150" s="60" t="s">
        <v>581</v>
      </c>
      <c r="K150" s="63" t="str">
        <f t="shared" si="22"/>
        <v>XGF-AD4SInput</v>
      </c>
      <c r="L150" s="59">
        <f t="shared" si="17"/>
        <v>41</v>
      </c>
      <c r="M150" s="59">
        <f t="shared" si="18"/>
        <v>40</v>
      </c>
      <c r="N150" s="59">
        <f t="shared" si="21"/>
        <v>1</v>
      </c>
      <c r="O150" s="60">
        <f t="shared" si="20"/>
        <v>150</v>
      </c>
      <c r="P150" s="65"/>
    </row>
    <row r="151" spans="3:22">
      <c r="C151" s="83" t="s">
        <v>57</v>
      </c>
      <c r="D151" s="75"/>
      <c r="E151" s="75"/>
      <c r="F151" s="81" t="s">
        <v>151</v>
      </c>
      <c r="G151" s="55" t="s">
        <v>582</v>
      </c>
      <c r="H151" s="55" t="s">
        <v>124</v>
      </c>
      <c r="I151" s="59">
        <v>10.199999999999999</v>
      </c>
      <c r="J151" s="60" t="s">
        <v>583</v>
      </c>
      <c r="K151" s="63" t="str">
        <f t="shared" si="22"/>
        <v>XGF-AD4SInput</v>
      </c>
      <c r="L151" s="59">
        <f t="shared" si="17"/>
        <v>41</v>
      </c>
      <c r="M151" s="59">
        <f t="shared" si="18"/>
        <v>40</v>
      </c>
      <c r="N151" s="59">
        <f t="shared" si="21"/>
        <v>1</v>
      </c>
      <c r="O151" s="60">
        <f t="shared" si="20"/>
        <v>151</v>
      </c>
      <c r="P151" s="65"/>
    </row>
    <row r="152" spans="3:22">
      <c r="C152" s="83" t="s">
        <v>57</v>
      </c>
      <c r="D152" s="75"/>
      <c r="E152" s="75"/>
      <c r="F152" s="81" t="s">
        <v>151</v>
      </c>
      <c r="G152" s="55" t="s">
        <v>584</v>
      </c>
      <c r="H152" s="55" t="s">
        <v>124</v>
      </c>
      <c r="I152" s="59">
        <v>10.3</v>
      </c>
      <c r="J152" s="60" t="s">
        <v>585</v>
      </c>
      <c r="K152" s="63" t="str">
        <f t="shared" si="22"/>
        <v>XGF-AD4SInput</v>
      </c>
      <c r="L152" s="59">
        <f t="shared" si="17"/>
        <v>41</v>
      </c>
      <c r="M152" s="59">
        <f t="shared" si="18"/>
        <v>40</v>
      </c>
      <c r="N152" s="59">
        <f t="shared" si="21"/>
        <v>1</v>
      </c>
      <c r="O152" s="60">
        <f t="shared" si="20"/>
        <v>152</v>
      </c>
      <c r="P152" s="65"/>
    </row>
    <row r="153" spans="3:22">
      <c r="C153" s="83" t="s">
        <v>57</v>
      </c>
      <c r="D153" s="75"/>
      <c r="E153" s="75"/>
      <c r="F153" s="81" t="s">
        <v>166</v>
      </c>
      <c r="G153" s="55" t="s">
        <v>586</v>
      </c>
      <c r="H153" s="55" t="s">
        <v>124</v>
      </c>
      <c r="I153" s="59">
        <v>0</v>
      </c>
      <c r="J153" s="60" t="s">
        <v>587</v>
      </c>
      <c r="K153" s="63"/>
      <c r="L153" s="59"/>
      <c r="M153" s="59"/>
      <c r="N153" s="59"/>
      <c r="O153" s="60">
        <f t="shared" si="20"/>
        <v>153</v>
      </c>
      <c r="P153" s="65"/>
    </row>
    <row r="154" spans="3:22">
      <c r="C154" s="83" t="s">
        <v>58</v>
      </c>
      <c r="D154" s="75">
        <v>26</v>
      </c>
      <c r="E154" s="75">
        <v>2</v>
      </c>
      <c r="F154" s="81" t="s">
        <v>151</v>
      </c>
      <c r="G154" s="55" t="s">
        <v>458</v>
      </c>
      <c r="H154" s="55" t="s">
        <v>124</v>
      </c>
      <c r="I154" s="59">
        <v>0</v>
      </c>
      <c r="J154" s="60" t="s">
        <v>173</v>
      </c>
      <c r="K154" s="63" t="str">
        <f t="shared" si="22"/>
        <v>XGF-AD8AInput</v>
      </c>
      <c r="L154" s="59">
        <f t="shared" ref="L154:L195" si="23">COUNTIF($C$2:$C$2062,C154)</f>
        <v>43</v>
      </c>
      <c r="M154" s="59">
        <f t="shared" ref="M154:M195" si="24">COUNTIF($K$2:$K$2062,K154)</f>
        <v>42</v>
      </c>
      <c r="N154" s="59">
        <f t="shared" si="21"/>
        <v>1</v>
      </c>
      <c r="O154" s="60">
        <f t="shared" si="20"/>
        <v>154</v>
      </c>
      <c r="P154" s="65" t="s">
        <v>3214</v>
      </c>
      <c r="Q154">
        <f>O154</f>
        <v>154</v>
      </c>
      <c r="R154" t="s">
        <v>3215</v>
      </c>
      <c r="S154">
        <v>197</v>
      </c>
      <c r="T154" t="str">
        <f>P154&amp;Q154&amp;R154&amp;S154</f>
        <v>All data map'!$F$154:$J$197</v>
      </c>
      <c r="V154" t="s">
        <v>3239</v>
      </c>
    </row>
    <row r="155" spans="3:22">
      <c r="C155" s="83" t="s">
        <v>58</v>
      </c>
      <c r="D155" s="75"/>
      <c r="E155" s="75"/>
      <c r="F155" s="81" t="s">
        <v>151</v>
      </c>
      <c r="G155" s="55" t="s">
        <v>459</v>
      </c>
      <c r="H155" s="55" t="s">
        <v>124</v>
      </c>
      <c r="I155" s="59" t="s">
        <v>460</v>
      </c>
      <c r="J155" s="60" t="s">
        <v>175</v>
      </c>
      <c r="K155" s="63" t="str">
        <f t="shared" si="22"/>
        <v>XGF-AD8AInput</v>
      </c>
      <c r="L155" s="59">
        <f t="shared" si="23"/>
        <v>43</v>
      </c>
      <c r="M155" s="59">
        <f t="shared" si="24"/>
        <v>42</v>
      </c>
      <c r="N155" s="59">
        <f t="shared" si="21"/>
        <v>1</v>
      </c>
      <c r="O155" s="60">
        <f t="shared" si="20"/>
        <v>155</v>
      </c>
      <c r="P155" s="65"/>
    </row>
    <row r="156" spans="3:22">
      <c r="C156" s="83" t="s">
        <v>58</v>
      </c>
      <c r="D156" s="75"/>
      <c r="E156" s="75"/>
      <c r="F156" s="81" t="s">
        <v>151</v>
      </c>
      <c r="G156" s="55" t="s">
        <v>461</v>
      </c>
      <c r="H156" s="55" t="s">
        <v>124</v>
      </c>
      <c r="I156" s="59">
        <v>1</v>
      </c>
      <c r="J156" s="60" t="s">
        <v>177</v>
      </c>
      <c r="K156" s="63" t="str">
        <f t="shared" si="22"/>
        <v>XGF-AD8AInput</v>
      </c>
      <c r="L156" s="59">
        <f t="shared" si="23"/>
        <v>43</v>
      </c>
      <c r="M156" s="59">
        <f t="shared" si="24"/>
        <v>42</v>
      </c>
      <c r="N156" s="59">
        <f t="shared" si="21"/>
        <v>1</v>
      </c>
      <c r="O156" s="60">
        <f t="shared" si="20"/>
        <v>156</v>
      </c>
      <c r="P156" s="65"/>
    </row>
    <row r="157" spans="3:22">
      <c r="C157" s="83" t="s">
        <v>58</v>
      </c>
      <c r="D157" s="75"/>
      <c r="E157" s="75"/>
      <c r="F157" s="81" t="s">
        <v>151</v>
      </c>
      <c r="G157" s="55" t="s">
        <v>462</v>
      </c>
      <c r="H157" s="55" t="s">
        <v>124</v>
      </c>
      <c r="I157" s="59">
        <v>1.1000000000000001</v>
      </c>
      <c r="J157" s="60" t="s">
        <v>179</v>
      </c>
      <c r="K157" s="63" t="str">
        <f t="shared" si="22"/>
        <v>XGF-AD8AInput</v>
      </c>
      <c r="L157" s="59">
        <f t="shared" si="23"/>
        <v>43</v>
      </c>
      <c r="M157" s="59">
        <f t="shared" si="24"/>
        <v>42</v>
      </c>
      <c r="N157" s="59">
        <f t="shared" si="21"/>
        <v>1</v>
      </c>
      <c r="O157" s="60">
        <f t="shared" si="20"/>
        <v>157</v>
      </c>
      <c r="P157" s="65"/>
    </row>
    <row r="158" spans="3:22">
      <c r="C158" s="83" t="s">
        <v>58</v>
      </c>
      <c r="D158" s="75"/>
      <c r="E158" s="75"/>
      <c r="F158" s="81" t="s">
        <v>151</v>
      </c>
      <c r="G158" s="55" t="s">
        <v>463</v>
      </c>
      <c r="H158" s="55" t="s">
        <v>124</v>
      </c>
      <c r="I158" s="59">
        <v>1.2</v>
      </c>
      <c r="J158" s="60" t="s">
        <v>181</v>
      </c>
      <c r="K158" s="63" t="str">
        <f t="shared" si="22"/>
        <v>XGF-AD8AInput</v>
      </c>
      <c r="L158" s="59">
        <f t="shared" si="23"/>
        <v>43</v>
      </c>
      <c r="M158" s="59">
        <f t="shared" si="24"/>
        <v>42</v>
      </c>
      <c r="N158" s="59">
        <f t="shared" si="21"/>
        <v>1</v>
      </c>
      <c r="O158" s="60">
        <f t="shared" si="20"/>
        <v>158</v>
      </c>
      <c r="P158" s="65"/>
    </row>
    <row r="159" spans="3:22">
      <c r="C159" s="83" t="s">
        <v>58</v>
      </c>
      <c r="D159" s="75"/>
      <c r="E159" s="75"/>
      <c r="F159" s="81" t="s">
        <v>151</v>
      </c>
      <c r="G159" s="55" t="s">
        <v>464</v>
      </c>
      <c r="H159" s="55" t="s">
        <v>124</v>
      </c>
      <c r="I159" s="59">
        <v>1.3</v>
      </c>
      <c r="J159" s="60" t="s">
        <v>183</v>
      </c>
      <c r="K159" s="63" t="str">
        <f t="shared" si="22"/>
        <v>XGF-AD8AInput</v>
      </c>
      <c r="L159" s="59">
        <f t="shared" si="23"/>
        <v>43</v>
      </c>
      <c r="M159" s="59">
        <f t="shared" si="24"/>
        <v>42</v>
      </c>
      <c r="N159" s="59">
        <f t="shared" si="21"/>
        <v>1</v>
      </c>
      <c r="O159" s="60">
        <f t="shared" si="20"/>
        <v>159</v>
      </c>
      <c r="P159" s="65"/>
    </row>
    <row r="160" spans="3:22">
      <c r="C160" s="83" t="s">
        <v>58</v>
      </c>
      <c r="D160" s="75"/>
      <c r="E160" s="75"/>
      <c r="F160" s="81" t="s">
        <v>151</v>
      </c>
      <c r="G160" s="55" t="s">
        <v>465</v>
      </c>
      <c r="H160" s="55" t="s">
        <v>124</v>
      </c>
      <c r="I160" s="59">
        <v>1.4</v>
      </c>
      <c r="J160" s="60" t="s">
        <v>185</v>
      </c>
      <c r="K160" s="63" t="str">
        <f t="shared" si="22"/>
        <v>XGF-AD8AInput</v>
      </c>
      <c r="L160" s="59">
        <f t="shared" si="23"/>
        <v>43</v>
      </c>
      <c r="M160" s="59">
        <f t="shared" si="24"/>
        <v>42</v>
      </c>
      <c r="N160" s="59">
        <f t="shared" si="21"/>
        <v>1</v>
      </c>
      <c r="O160" s="60">
        <f t="shared" si="20"/>
        <v>160</v>
      </c>
      <c r="P160" s="65"/>
    </row>
    <row r="161" spans="3:16">
      <c r="C161" s="83" t="s">
        <v>58</v>
      </c>
      <c r="D161" s="75"/>
      <c r="E161" s="75"/>
      <c r="F161" s="81" t="s">
        <v>151</v>
      </c>
      <c r="G161" s="55" t="s">
        <v>466</v>
      </c>
      <c r="H161" s="55" t="s">
        <v>124</v>
      </c>
      <c r="I161" s="59">
        <v>1.5</v>
      </c>
      <c r="J161" s="60" t="s">
        <v>187</v>
      </c>
      <c r="K161" s="63" t="str">
        <f t="shared" si="22"/>
        <v>XGF-AD8AInput</v>
      </c>
      <c r="L161" s="59">
        <f t="shared" si="23"/>
        <v>43</v>
      </c>
      <c r="M161" s="59">
        <f t="shared" si="24"/>
        <v>42</v>
      </c>
      <c r="N161" s="59">
        <f t="shared" si="21"/>
        <v>1</v>
      </c>
      <c r="O161" s="60">
        <f t="shared" si="20"/>
        <v>161</v>
      </c>
      <c r="P161" s="65"/>
    </row>
    <row r="162" spans="3:16">
      <c r="C162" s="83" t="s">
        <v>58</v>
      </c>
      <c r="D162" s="75"/>
      <c r="E162" s="75"/>
      <c r="F162" s="81" t="s">
        <v>151</v>
      </c>
      <c r="G162" s="55" t="s">
        <v>467</v>
      </c>
      <c r="H162" s="55" t="s">
        <v>124</v>
      </c>
      <c r="I162" s="59">
        <v>1.6</v>
      </c>
      <c r="J162" s="60" t="s">
        <v>189</v>
      </c>
      <c r="K162" s="63" t="str">
        <f t="shared" si="22"/>
        <v>XGF-AD8AInput</v>
      </c>
      <c r="L162" s="59">
        <f t="shared" si="23"/>
        <v>43</v>
      </c>
      <c r="M162" s="59">
        <f t="shared" si="24"/>
        <v>42</v>
      </c>
      <c r="N162" s="59">
        <f t="shared" si="21"/>
        <v>1</v>
      </c>
      <c r="O162" s="60">
        <f t="shared" si="20"/>
        <v>162</v>
      </c>
      <c r="P162" s="65"/>
    </row>
    <row r="163" spans="3:16">
      <c r="C163" s="83" t="s">
        <v>58</v>
      </c>
      <c r="D163" s="75"/>
      <c r="E163" s="75"/>
      <c r="F163" s="81" t="s">
        <v>151</v>
      </c>
      <c r="G163" s="55" t="s">
        <v>468</v>
      </c>
      <c r="H163" s="55" t="s">
        <v>124</v>
      </c>
      <c r="I163" s="59">
        <v>1.7</v>
      </c>
      <c r="J163" s="60" t="s">
        <v>191</v>
      </c>
      <c r="K163" s="63" t="str">
        <f t="shared" si="22"/>
        <v>XGF-AD8AInput</v>
      </c>
      <c r="L163" s="59">
        <f t="shared" si="23"/>
        <v>43</v>
      </c>
      <c r="M163" s="59">
        <f t="shared" si="24"/>
        <v>42</v>
      </c>
      <c r="N163" s="59">
        <f t="shared" si="21"/>
        <v>1</v>
      </c>
      <c r="O163" s="60">
        <f t="shared" si="20"/>
        <v>163</v>
      </c>
      <c r="P163" s="65"/>
    </row>
    <row r="164" spans="3:16">
      <c r="C164" s="83" t="s">
        <v>58</v>
      </c>
      <c r="D164" s="75"/>
      <c r="E164" s="75"/>
      <c r="F164" s="81" t="s">
        <v>151</v>
      </c>
      <c r="G164" s="55" t="s">
        <v>469</v>
      </c>
      <c r="H164" s="55" t="s">
        <v>139</v>
      </c>
      <c r="I164" s="59">
        <v>2</v>
      </c>
      <c r="J164" s="60" t="s">
        <v>213</v>
      </c>
      <c r="K164" s="63" t="str">
        <f t="shared" si="22"/>
        <v>XGF-AD8AInput</v>
      </c>
      <c r="L164" s="59">
        <f t="shared" si="23"/>
        <v>43</v>
      </c>
      <c r="M164" s="59">
        <f t="shared" si="24"/>
        <v>42</v>
      </c>
      <c r="N164" s="59">
        <f t="shared" si="21"/>
        <v>1</v>
      </c>
      <c r="O164" s="60">
        <f t="shared" si="20"/>
        <v>164</v>
      </c>
      <c r="P164" s="65"/>
    </row>
    <row r="165" spans="3:16">
      <c r="C165" s="83" t="s">
        <v>58</v>
      </c>
      <c r="D165" s="75"/>
      <c r="E165" s="75"/>
      <c r="F165" s="81" t="s">
        <v>151</v>
      </c>
      <c r="G165" s="55" t="s">
        <v>470</v>
      </c>
      <c r="H165" s="55" t="s">
        <v>139</v>
      </c>
      <c r="I165" s="59">
        <v>3</v>
      </c>
      <c r="J165" s="60" t="s">
        <v>215</v>
      </c>
      <c r="K165" s="63" t="str">
        <f t="shared" si="22"/>
        <v>XGF-AD8AInput</v>
      </c>
      <c r="L165" s="59">
        <f t="shared" si="23"/>
        <v>43</v>
      </c>
      <c r="M165" s="59">
        <f t="shared" si="24"/>
        <v>42</v>
      </c>
      <c r="N165" s="59">
        <f t="shared" si="21"/>
        <v>1</v>
      </c>
      <c r="O165" s="60">
        <f t="shared" si="20"/>
        <v>165</v>
      </c>
      <c r="P165" s="65"/>
    </row>
    <row r="166" spans="3:16">
      <c r="C166" s="83" t="s">
        <v>58</v>
      </c>
      <c r="D166" s="75"/>
      <c r="E166" s="75"/>
      <c r="F166" s="81" t="s">
        <v>151</v>
      </c>
      <c r="G166" s="55" t="s">
        <v>471</v>
      </c>
      <c r="H166" s="55" t="s">
        <v>139</v>
      </c>
      <c r="I166" s="59">
        <v>4</v>
      </c>
      <c r="J166" s="60" t="s">
        <v>217</v>
      </c>
      <c r="K166" s="63" t="str">
        <f t="shared" si="22"/>
        <v>XGF-AD8AInput</v>
      </c>
      <c r="L166" s="59">
        <f t="shared" si="23"/>
        <v>43</v>
      </c>
      <c r="M166" s="59">
        <f t="shared" si="24"/>
        <v>42</v>
      </c>
      <c r="N166" s="59">
        <f t="shared" si="21"/>
        <v>1</v>
      </c>
      <c r="O166" s="60">
        <f t="shared" si="20"/>
        <v>166</v>
      </c>
      <c r="P166" s="65"/>
    </row>
    <row r="167" spans="3:16">
      <c r="C167" s="83" t="s">
        <v>58</v>
      </c>
      <c r="D167" s="75"/>
      <c r="E167" s="75"/>
      <c r="F167" s="81" t="s">
        <v>151</v>
      </c>
      <c r="G167" s="55" t="s">
        <v>472</v>
      </c>
      <c r="H167" s="55" t="s">
        <v>139</v>
      </c>
      <c r="I167" s="59">
        <v>5</v>
      </c>
      <c r="J167" s="60" t="s">
        <v>219</v>
      </c>
      <c r="K167" s="63" t="str">
        <f t="shared" si="22"/>
        <v>XGF-AD8AInput</v>
      </c>
      <c r="L167" s="59">
        <f t="shared" si="23"/>
        <v>43</v>
      </c>
      <c r="M167" s="59">
        <f t="shared" si="24"/>
        <v>42</v>
      </c>
      <c r="N167" s="59">
        <f t="shared" si="21"/>
        <v>1</v>
      </c>
      <c r="O167" s="60">
        <f t="shared" si="20"/>
        <v>167</v>
      </c>
      <c r="P167" s="65"/>
    </row>
    <row r="168" spans="3:16">
      <c r="C168" s="83" t="s">
        <v>58</v>
      </c>
      <c r="D168" s="75"/>
      <c r="E168" s="75"/>
      <c r="F168" s="81" t="s">
        <v>151</v>
      </c>
      <c r="G168" s="55" t="s">
        <v>473</v>
      </c>
      <c r="H168" s="55" t="s">
        <v>139</v>
      </c>
      <c r="I168" s="59">
        <v>6</v>
      </c>
      <c r="J168" s="60" t="s">
        <v>221</v>
      </c>
      <c r="K168" s="63" t="str">
        <f t="shared" si="22"/>
        <v>XGF-AD8AInput</v>
      </c>
      <c r="L168" s="59">
        <f t="shared" si="23"/>
        <v>43</v>
      </c>
      <c r="M168" s="59">
        <f t="shared" si="24"/>
        <v>42</v>
      </c>
      <c r="N168" s="59">
        <f t="shared" si="21"/>
        <v>1</v>
      </c>
      <c r="O168" s="60">
        <f t="shared" si="20"/>
        <v>168</v>
      </c>
      <c r="P168" s="65"/>
    </row>
    <row r="169" spans="3:16">
      <c r="C169" s="83" t="s">
        <v>58</v>
      </c>
      <c r="D169" s="75"/>
      <c r="E169" s="75"/>
      <c r="F169" s="81" t="s">
        <v>151</v>
      </c>
      <c r="G169" s="55" t="s">
        <v>474</v>
      </c>
      <c r="H169" s="55" t="s">
        <v>139</v>
      </c>
      <c r="I169" s="59">
        <v>7</v>
      </c>
      <c r="J169" s="60" t="s">
        <v>223</v>
      </c>
      <c r="K169" s="63" t="str">
        <f t="shared" si="22"/>
        <v>XGF-AD8AInput</v>
      </c>
      <c r="L169" s="59">
        <f t="shared" si="23"/>
        <v>43</v>
      </c>
      <c r="M169" s="59">
        <f t="shared" si="24"/>
        <v>42</v>
      </c>
      <c r="N169" s="59">
        <f t="shared" si="21"/>
        <v>1</v>
      </c>
      <c r="O169" s="60">
        <f t="shared" si="20"/>
        <v>169</v>
      </c>
      <c r="P169" s="65"/>
    </row>
    <row r="170" spans="3:16">
      <c r="C170" s="83" t="s">
        <v>58</v>
      </c>
      <c r="D170" s="75"/>
      <c r="E170" s="75"/>
      <c r="F170" s="81" t="s">
        <v>151</v>
      </c>
      <c r="G170" s="55" t="s">
        <v>475</v>
      </c>
      <c r="H170" s="55" t="s">
        <v>139</v>
      </c>
      <c r="I170" s="59">
        <v>8</v>
      </c>
      <c r="J170" s="60" t="s">
        <v>225</v>
      </c>
      <c r="K170" s="63" t="str">
        <f t="shared" si="22"/>
        <v>XGF-AD8AInput</v>
      </c>
      <c r="L170" s="59">
        <f t="shared" si="23"/>
        <v>43</v>
      </c>
      <c r="M170" s="59">
        <f t="shared" si="24"/>
        <v>42</v>
      </c>
      <c r="N170" s="59">
        <f t="shared" si="21"/>
        <v>1</v>
      </c>
      <c r="O170" s="60">
        <f t="shared" si="20"/>
        <v>170</v>
      </c>
      <c r="P170" s="65"/>
    </row>
    <row r="171" spans="3:16">
      <c r="C171" s="83" t="s">
        <v>58</v>
      </c>
      <c r="D171" s="75"/>
      <c r="E171" s="75"/>
      <c r="F171" s="81" t="s">
        <v>151</v>
      </c>
      <c r="G171" s="55" t="s">
        <v>476</v>
      </c>
      <c r="H171" s="55" t="s">
        <v>139</v>
      </c>
      <c r="I171" s="59">
        <v>9</v>
      </c>
      <c r="J171" s="60" t="s">
        <v>227</v>
      </c>
      <c r="K171" s="63" t="str">
        <f t="shared" si="22"/>
        <v>XGF-AD8AInput</v>
      </c>
      <c r="L171" s="59">
        <f t="shared" si="23"/>
        <v>43</v>
      </c>
      <c r="M171" s="59">
        <f t="shared" si="24"/>
        <v>42</v>
      </c>
      <c r="N171" s="59">
        <f t="shared" si="21"/>
        <v>1</v>
      </c>
      <c r="O171" s="60">
        <f t="shared" si="20"/>
        <v>171</v>
      </c>
      <c r="P171" s="65"/>
    </row>
    <row r="172" spans="3:16">
      <c r="C172" s="83" t="s">
        <v>58</v>
      </c>
      <c r="D172" s="75"/>
      <c r="E172" s="75"/>
      <c r="F172" s="81" t="s">
        <v>151</v>
      </c>
      <c r="G172" s="55" t="s">
        <v>477</v>
      </c>
      <c r="H172" s="55" t="s">
        <v>124</v>
      </c>
      <c r="I172" s="59">
        <v>10</v>
      </c>
      <c r="J172" s="60" t="s">
        <v>245</v>
      </c>
      <c r="K172" s="63" t="str">
        <f t="shared" si="22"/>
        <v>XGF-AD8AInput</v>
      </c>
      <c r="L172" s="59">
        <f t="shared" si="23"/>
        <v>43</v>
      </c>
      <c r="M172" s="59">
        <f t="shared" si="24"/>
        <v>42</v>
      </c>
      <c r="N172" s="59">
        <f t="shared" si="21"/>
        <v>1</v>
      </c>
      <c r="O172" s="60">
        <f t="shared" si="20"/>
        <v>172</v>
      </c>
      <c r="P172" s="65"/>
    </row>
    <row r="173" spans="3:16">
      <c r="C173" s="83" t="s">
        <v>58</v>
      </c>
      <c r="D173" s="75"/>
      <c r="E173" s="75"/>
      <c r="F173" s="81" t="s">
        <v>151</v>
      </c>
      <c r="G173" s="55" t="s">
        <v>478</v>
      </c>
      <c r="H173" s="55" t="s">
        <v>124</v>
      </c>
      <c r="I173" s="59">
        <v>10.1</v>
      </c>
      <c r="J173" s="60" t="s">
        <v>247</v>
      </c>
      <c r="K173" s="63" t="str">
        <f t="shared" si="22"/>
        <v>XGF-AD8AInput</v>
      </c>
      <c r="L173" s="59">
        <f t="shared" si="23"/>
        <v>43</v>
      </c>
      <c r="M173" s="59">
        <f t="shared" si="24"/>
        <v>42</v>
      </c>
      <c r="N173" s="59">
        <f t="shared" si="21"/>
        <v>1</v>
      </c>
      <c r="O173" s="60">
        <f t="shared" si="20"/>
        <v>173</v>
      </c>
      <c r="P173" s="65"/>
    </row>
    <row r="174" spans="3:16">
      <c r="C174" s="83" t="s">
        <v>58</v>
      </c>
      <c r="D174" s="75"/>
      <c r="E174" s="75"/>
      <c r="F174" s="81" t="s">
        <v>151</v>
      </c>
      <c r="G174" s="55" t="s">
        <v>479</v>
      </c>
      <c r="H174" s="55" t="s">
        <v>124</v>
      </c>
      <c r="I174" s="59">
        <v>10.199999999999999</v>
      </c>
      <c r="J174" s="60" t="s">
        <v>249</v>
      </c>
      <c r="K174" s="63" t="str">
        <f t="shared" si="22"/>
        <v>XGF-AD8AInput</v>
      </c>
      <c r="L174" s="59">
        <f t="shared" si="23"/>
        <v>43</v>
      </c>
      <c r="M174" s="59">
        <f t="shared" si="24"/>
        <v>42</v>
      </c>
      <c r="N174" s="59">
        <f t="shared" si="21"/>
        <v>1</v>
      </c>
      <c r="O174" s="60">
        <f t="shared" si="20"/>
        <v>174</v>
      </c>
      <c r="P174" s="65"/>
    </row>
    <row r="175" spans="3:16">
      <c r="C175" s="83" t="s">
        <v>58</v>
      </c>
      <c r="D175" s="75"/>
      <c r="E175" s="75"/>
      <c r="F175" s="81" t="s">
        <v>151</v>
      </c>
      <c r="G175" s="55" t="s">
        <v>480</v>
      </c>
      <c r="H175" s="55" t="s">
        <v>124</v>
      </c>
      <c r="I175" s="59">
        <v>10.3</v>
      </c>
      <c r="J175" s="60" t="s">
        <v>251</v>
      </c>
      <c r="K175" s="63" t="str">
        <f t="shared" si="22"/>
        <v>XGF-AD8AInput</v>
      </c>
      <c r="L175" s="59">
        <f t="shared" si="23"/>
        <v>43</v>
      </c>
      <c r="M175" s="59">
        <f t="shared" si="24"/>
        <v>42</v>
      </c>
      <c r="N175" s="59">
        <f t="shared" si="21"/>
        <v>1</v>
      </c>
      <c r="O175" s="60">
        <f t="shared" si="20"/>
        <v>175</v>
      </c>
      <c r="P175" s="65"/>
    </row>
    <row r="176" spans="3:16">
      <c r="C176" s="83" t="s">
        <v>58</v>
      </c>
      <c r="D176" s="75"/>
      <c r="E176" s="75"/>
      <c r="F176" s="81" t="s">
        <v>151</v>
      </c>
      <c r="G176" s="55" t="s">
        <v>481</v>
      </c>
      <c r="H176" s="55" t="s">
        <v>124</v>
      </c>
      <c r="I176" s="59">
        <v>10.4</v>
      </c>
      <c r="J176" s="60" t="s">
        <v>253</v>
      </c>
      <c r="K176" s="63" t="str">
        <f t="shared" si="22"/>
        <v>XGF-AD8AInput</v>
      </c>
      <c r="L176" s="59">
        <f t="shared" si="23"/>
        <v>43</v>
      </c>
      <c r="M176" s="59">
        <f t="shared" si="24"/>
        <v>42</v>
      </c>
      <c r="N176" s="59">
        <f t="shared" si="21"/>
        <v>1</v>
      </c>
      <c r="O176" s="60">
        <f t="shared" si="20"/>
        <v>176</v>
      </c>
      <c r="P176" s="65"/>
    </row>
    <row r="177" spans="3:16">
      <c r="C177" s="83" t="s">
        <v>58</v>
      </c>
      <c r="D177" s="75"/>
      <c r="E177" s="75"/>
      <c r="F177" s="81" t="s">
        <v>151</v>
      </c>
      <c r="G177" s="55" t="s">
        <v>482</v>
      </c>
      <c r="H177" s="55" t="s">
        <v>124</v>
      </c>
      <c r="I177" s="59">
        <v>10.5</v>
      </c>
      <c r="J177" s="60" t="s">
        <v>255</v>
      </c>
      <c r="K177" s="63" t="str">
        <f t="shared" si="22"/>
        <v>XGF-AD8AInput</v>
      </c>
      <c r="L177" s="59">
        <f t="shared" si="23"/>
        <v>43</v>
      </c>
      <c r="M177" s="59">
        <f t="shared" si="24"/>
        <v>42</v>
      </c>
      <c r="N177" s="59">
        <f t="shared" si="21"/>
        <v>1</v>
      </c>
      <c r="O177" s="60">
        <f t="shared" si="20"/>
        <v>177</v>
      </c>
      <c r="P177" s="65"/>
    </row>
    <row r="178" spans="3:16">
      <c r="C178" s="83" t="s">
        <v>58</v>
      </c>
      <c r="D178" s="75"/>
      <c r="E178" s="75"/>
      <c r="F178" s="81" t="s">
        <v>151</v>
      </c>
      <c r="G178" s="55" t="s">
        <v>483</v>
      </c>
      <c r="H178" s="55" t="s">
        <v>124</v>
      </c>
      <c r="I178" s="59">
        <v>10.6</v>
      </c>
      <c r="J178" s="60" t="s">
        <v>257</v>
      </c>
      <c r="K178" s="63" t="str">
        <f t="shared" si="22"/>
        <v>XGF-AD8AInput</v>
      </c>
      <c r="L178" s="59">
        <f t="shared" si="23"/>
        <v>43</v>
      </c>
      <c r="M178" s="59">
        <f t="shared" si="24"/>
        <v>42</v>
      </c>
      <c r="N178" s="59">
        <f t="shared" si="21"/>
        <v>1</v>
      </c>
      <c r="O178" s="60">
        <f t="shared" si="20"/>
        <v>178</v>
      </c>
      <c r="P178" s="65"/>
    </row>
    <row r="179" spans="3:16">
      <c r="C179" s="83" t="s">
        <v>58</v>
      </c>
      <c r="D179" s="75"/>
      <c r="E179" s="75"/>
      <c r="F179" s="81" t="s">
        <v>151</v>
      </c>
      <c r="G179" s="55" t="s">
        <v>484</v>
      </c>
      <c r="H179" s="55" t="s">
        <v>124</v>
      </c>
      <c r="I179" s="59">
        <v>10.7</v>
      </c>
      <c r="J179" s="60" t="s">
        <v>259</v>
      </c>
      <c r="K179" s="63" t="str">
        <f t="shared" si="22"/>
        <v>XGF-AD8AInput</v>
      </c>
      <c r="L179" s="59">
        <f t="shared" si="23"/>
        <v>43</v>
      </c>
      <c r="M179" s="59">
        <f t="shared" si="24"/>
        <v>42</v>
      </c>
      <c r="N179" s="59">
        <f t="shared" si="21"/>
        <v>1</v>
      </c>
      <c r="O179" s="60">
        <f t="shared" si="20"/>
        <v>179</v>
      </c>
      <c r="P179" s="65"/>
    </row>
    <row r="180" spans="3:16">
      <c r="C180" s="83" t="s">
        <v>58</v>
      </c>
      <c r="D180" s="75"/>
      <c r="E180" s="75"/>
      <c r="F180" s="81" t="s">
        <v>151</v>
      </c>
      <c r="G180" s="55" t="s">
        <v>485</v>
      </c>
      <c r="H180" s="55" t="s">
        <v>124</v>
      </c>
      <c r="I180" s="59">
        <v>11</v>
      </c>
      <c r="J180" s="60" t="s">
        <v>285</v>
      </c>
      <c r="K180" s="63" t="str">
        <f t="shared" si="22"/>
        <v>XGF-AD8AInput</v>
      </c>
      <c r="L180" s="59">
        <f t="shared" si="23"/>
        <v>43</v>
      </c>
      <c r="M180" s="59">
        <f t="shared" si="24"/>
        <v>42</v>
      </c>
      <c r="N180" s="59">
        <f t="shared" si="21"/>
        <v>1</v>
      </c>
      <c r="O180" s="60">
        <f t="shared" si="20"/>
        <v>180</v>
      </c>
      <c r="P180" s="65"/>
    </row>
    <row r="181" spans="3:16">
      <c r="C181" s="83" t="s">
        <v>58</v>
      </c>
      <c r="D181" s="75"/>
      <c r="E181" s="75"/>
      <c r="F181" s="81" t="s">
        <v>151</v>
      </c>
      <c r="G181" s="55" t="s">
        <v>486</v>
      </c>
      <c r="H181" s="55" t="s">
        <v>124</v>
      </c>
      <c r="I181" s="59">
        <v>11.1</v>
      </c>
      <c r="J181" s="60" t="s">
        <v>287</v>
      </c>
      <c r="K181" s="63" t="str">
        <f t="shared" si="22"/>
        <v>XGF-AD8AInput</v>
      </c>
      <c r="L181" s="59">
        <f t="shared" si="23"/>
        <v>43</v>
      </c>
      <c r="M181" s="59">
        <f t="shared" si="24"/>
        <v>42</v>
      </c>
      <c r="N181" s="59">
        <f t="shared" si="21"/>
        <v>1</v>
      </c>
      <c r="O181" s="60">
        <f t="shared" si="20"/>
        <v>181</v>
      </c>
      <c r="P181" s="65"/>
    </row>
    <row r="182" spans="3:16">
      <c r="C182" s="83" t="s">
        <v>58</v>
      </c>
      <c r="D182" s="75"/>
      <c r="E182" s="75"/>
      <c r="F182" s="81" t="s">
        <v>151</v>
      </c>
      <c r="G182" s="55" t="s">
        <v>487</v>
      </c>
      <c r="H182" s="55" t="s">
        <v>124</v>
      </c>
      <c r="I182" s="59">
        <v>11.2</v>
      </c>
      <c r="J182" s="60" t="s">
        <v>289</v>
      </c>
      <c r="K182" s="63" t="str">
        <f t="shared" si="22"/>
        <v>XGF-AD8AInput</v>
      </c>
      <c r="L182" s="59">
        <f t="shared" si="23"/>
        <v>43</v>
      </c>
      <c r="M182" s="59">
        <f t="shared" si="24"/>
        <v>42</v>
      </c>
      <c r="N182" s="59">
        <f t="shared" si="21"/>
        <v>1</v>
      </c>
      <c r="O182" s="60">
        <f t="shared" si="20"/>
        <v>182</v>
      </c>
      <c r="P182" s="65"/>
    </row>
    <row r="183" spans="3:16">
      <c r="C183" s="83" t="s">
        <v>58</v>
      </c>
      <c r="D183" s="75"/>
      <c r="E183" s="75"/>
      <c r="F183" s="81" t="s">
        <v>151</v>
      </c>
      <c r="G183" s="55" t="s">
        <v>488</v>
      </c>
      <c r="H183" s="55" t="s">
        <v>124</v>
      </c>
      <c r="I183" s="59">
        <v>11.3</v>
      </c>
      <c r="J183" s="60" t="s">
        <v>291</v>
      </c>
      <c r="K183" s="63" t="str">
        <f t="shared" si="22"/>
        <v>XGF-AD8AInput</v>
      </c>
      <c r="L183" s="59">
        <f t="shared" si="23"/>
        <v>43</v>
      </c>
      <c r="M183" s="59">
        <f t="shared" si="24"/>
        <v>42</v>
      </c>
      <c r="N183" s="59">
        <f t="shared" si="21"/>
        <v>1</v>
      </c>
      <c r="O183" s="60">
        <f t="shared" si="20"/>
        <v>183</v>
      </c>
      <c r="P183" s="65"/>
    </row>
    <row r="184" spans="3:16">
      <c r="C184" s="83" t="s">
        <v>58</v>
      </c>
      <c r="D184" s="75"/>
      <c r="E184" s="75"/>
      <c r="F184" s="81" t="s">
        <v>151</v>
      </c>
      <c r="G184" s="55" t="s">
        <v>489</v>
      </c>
      <c r="H184" s="55" t="s">
        <v>124</v>
      </c>
      <c r="I184" s="59">
        <v>11.4</v>
      </c>
      <c r="J184" s="60" t="s">
        <v>293</v>
      </c>
      <c r="K184" s="63" t="str">
        <f t="shared" si="22"/>
        <v>XGF-AD8AInput</v>
      </c>
      <c r="L184" s="59">
        <f t="shared" si="23"/>
        <v>43</v>
      </c>
      <c r="M184" s="59">
        <f t="shared" si="24"/>
        <v>42</v>
      </c>
      <c r="N184" s="59">
        <f t="shared" si="21"/>
        <v>1</v>
      </c>
      <c r="O184" s="60">
        <f t="shared" si="20"/>
        <v>184</v>
      </c>
      <c r="P184" s="65"/>
    </row>
    <row r="185" spans="3:16">
      <c r="C185" s="83" t="s">
        <v>58</v>
      </c>
      <c r="D185" s="75"/>
      <c r="E185" s="75"/>
      <c r="F185" s="81" t="s">
        <v>151</v>
      </c>
      <c r="G185" s="55" t="s">
        <v>490</v>
      </c>
      <c r="H185" s="55" t="s">
        <v>124</v>
      </c>
      <c r="I185" s="59">
        <v>11.5</v>
      </c>
      <c r="J185" s="60" t="s">
        <v>295</v>
      </c>
      <c r="K185" s="63" t="str">
        <f t="shared" si="22"/>
        <v>XGF-AD8AInput</v>
      </c>
      <c r="L185" s="59">
        <f t="shared" si="23"/>
        <v>43</v>
      </c>
      <c r="M185" s="59">
        <f t="shared" si="24"/>
        <v>42</v>
      </c>
      <c r="N185" s="59">
        <f t="shared" si="21"/>
        <v>1</v>
      </c>
      <c r="O185" s="60">
        <f t="shared" si="20"/>
        <v>185</v>
      </c>
      <c r="P185" s="65"/>
    </row>
    <row r="186" spans="3:16">
      <c r="C186" s="83" t="s">
        <v>58</v>
      </c>
      <c r="D186" s="75"/>
      <c r="E186" s="75"/>
      <c r="F186" s="81" t="s">
        <v>151</v>
      </c>
      <c r="G186" s="55" t="s">
        <v>491</v>
      </c>
      <c r="H186" s="55" t="s">
        <v>124</v>
      </c>
      <c r="I186" s="59">
        <v>11.6</v>
      </c>
      <c r="J186" s="60" t="s">
        <v>297</v>
      </c>
      <c r="K186" s="63" t="str">
        <f t="shared" si="22"/>
        <v>XGF-AD8AInput</v>
      </c>
      <c r="L186" s="59">
        <f t="shared" si="23"/>
        <v>43</v>
      </c>
      <c r="M186" s="59">
        <f t="shared" si="24"/>
        <v>42</v>
      </c>
      <c r="N186" s="59">
        <f t="shared" si="21"/>
        <v>1</v>
      </c>
      <c r="O186" s="60">
        <f t="shared" si="20"/>
        <v>186</v>
      </c>
      <c r="P186" s="65"/>
    </row>
    <row r="187" spans="3:16">
      <c r="C187" s="83" t="s">
        <v>58</v>
      </c>
      <c r="D187" s="75"/>
      <c r="E187" s="75"/>
      <c r="F187" s="81" t="s">
        <v>151</v>
      </c>
      <c r="G187" s="55" t="s">
        <v>492</v>
      </c>
      <c r="H187" s="55" t="s">
        <v>124</v>
      </c>
      <c r="I187" s="59">
        <v>11.7</v>
      </c>
      <c r="J187" s="60" t="s">
        <v>299</v>
      </c>
      <c r="K187" s="63" t="str">
        <f t="shared" si="22"/>
        <v>XGF-AD8AInput</v>
      </c>
      <c r="L187" s="59">
        <f t="shared" si="23"/>
        <v>43</v>
      </c>
      <c r="M187" s="59">
        <f t="shared" si="24"/>
        <v>42</v>
      </c>
      <c r="N187" s="59">
        <f t="shared" si="21"/>
        <v>1</v>
      </c>
      <c r="O187" s="60">
        <f t="shared" si="20"/>
        <v>187</v>
      </c>
      <c r="P187" s="65"/>
    </row>
    <row r="188" spans="3:16">
      <c r="C188" s="83" t="s">
        <v>58</v>
      </c>
      <c r="D188" s="75"/>
      <c r="E188" s="75"/>
      <c r="F188" s="81" t="s">
        <v>151</v>
      </c>
      <c r="G188" s="55" t="s">
        <v>493</v>
      </c>
      <c r="H188" s="55" t="s">
        <v>124</v>
      </c>
      <c r="I188" s="59">
        <v>12</v>
      </c>
      <c r="J188" s="60" t="s">
        <v>323</v>
      </c>
      <c r="K188" s="63" t="str">
        <f t="shared" si="22"/>
        <v>XGF-AD8AInput</v>
      </c>
      <c r="L188" s="59">
        <f t="shared" si="23"/>
        <v>43</v>
      </c>
      <c r="M188" s="59">
        <f t="shared" si="24"/>
        <v>42</v>
      </c>
      <c r="N188" s="59">
        <f t="shared" si="21"/>
        <v>1</v>
      </c>
      <c r="O188" s="60">
        <f t="shared" si="20"/>
        <v>188</v>
      </c>
      <c r="P188" s="65"/>
    </row>
    <row r="189" spans="3:16">
      <c r="C189" s="83" t="s">
        <v>58</v>
      </c>
      <c r="D189" s="75"/>
      <c r="E189" s="75"/>
      <c r="F189" s="81" t="s">
        <v>151</v>
      </c>
      <c r="G189" s="55" t="s">
        <v>494</v>
      </c>
      <c r="H189" s="55" t="s">
        <v>124</v>
      </c>
      <c r="I189" s="59">
        <v>12.1</v>
      </c>
      <c r="J189" s="60" t="s">
        <v>325</v>
      </c>
      <c r="K189" s="63" t="str">
        <f t="shared" si="22"/>
        <v>XGF-AD8AInput</v>
      </c>
      <c r="L189" s="59">
        <f t="shared" si="23"/>
        <v>43</v>
      </c>
      <c r="M189" s="59">
        <f t="shared" si="24"/>
        <v>42</v>
      </c>
      <c r="N189" s="59">
        <f t="shared" si="21"/>
        <v>1</v>
      </c>
      <c r="O189" s="60">
        <f t="shared" si="20"/>
        <v>189</v>
      </c>
      <c r="P189" s="65"/>
    </row>
    <row r="190" spans="3:16">
      <c r="C190" s="83" t="s">
        <v>58</v>
      </c>
      <c r="D190" s="75"/>
      <c r="E190" s="75"/>
      <c r="F190" s="81" t="s">
        <v>151</v>
      </c>
      <c r="G190" s="55" t="s">
        <v>495</v>
      </c>
      <c r="H190" s="55" t="s">
        <v>124</v>
      </c>
      <c r="I190" s="59">
        <v>12.2</v>
      </c>
      <c r="J190" s="60" t="s">
        <v>327</v>
      </c>
      <c r="K190" s="63" t="str">
        <f t="shared" si="22"/>
        <v>XGF-AD8AInput</v>
      </c>
      <c r="L190" s="59">
        <f t="shared" si="23"/>
        <v>43</v>
      </c>
      <c r="M190" s="59">
        <f t="shared" si="24"/>
        <v>42</v>
      </c>
      <c r="N190" s="59">
        <f t="shared" si="21"/>
        <v>1</v>
      </c>
      <c r="O190" s="60">
        <f t="shared" si="20"/>
        <v>190</v>
      </c>
      <c r="P190" s="65"/>
    </row>
    <row r="191" spans="3:16">
      <c r="C191" s="83" t="s">
        <v>58</v>
      </c>
      <c r="D191" s="75"/>
      <c r="E191" s="75"/>
      <c r="F191" s="81" t="s">
        <v>151</v>
      </c>
      <c r="G191" s="55" t="s">
        <v>496</v>
      </c>
      <c r="H191" s="55" t="s">
        <v>124</v>
      </c>
      <c r="I191" s="59">
        <v>12.3</v>
      </c>
      <c r="J191" s="60" t="s">
        <v>329</v>
      </c>
      <c r="K191" s="63" t="str">
        <f t="shared" si="22"/>
        <v>XGF-AD8AInput</v>
      </c>
      <c r="L191" s="59">
        <f t="shared" si="23"/>
        <v>43</v>
      </c>
      <c r="M191" s="59">
        <f t="shared" si="24"/>
        <v>42</v>
      </c>
      <c r="N191" s="59">
        <f t="shared" si="21"/>
        <v>1</v>
      </c>
      <c r="O191" s="60">
        <f t="shared" si="20"/>
        <v>191</v>
      </c>
      <c r="P191" s="65"/>
    </row>
    <row r="192" spans="3:16">
      <c r="C192" s="83" t="s">
        <v>58</v>
      </c>
      <c r="D192" s="75"/>
      <c r="E192" s="75"/>
      <c r="F192" s="81" t="s">
        <v>151</v>
      </c>
      <c r="G192" s="55" t="s">
        <v>497</v>
      </c>
      <c r="H192" s="55" t="s">
        <v>124</v>
      </c>
      <c r="I192" s="59">
        <v>12.4</v>
      </c>
      <c r="J192" s="60" t="s">
        <v>331</v>
      </c>
      <c r="K192" s="63" t="str">
        <f t="shared" si="22"/>
        <v>XGF-AD8AInput</v>
      </c>
      <c r="L192" s="59">
        <f t="shared" si="23"/>
        <v>43</v>
      </c>
      <c r="M192" s="59">
        <f t="shared" si="24"/>
        <v>42</v>
      </c>
      <c r="N192" s="59">
        <f t="shared" si="21"/>
        <v>1</v>
      </c>
      <c r="O192" s="60">
        <f t="shared" si="20"/>
        <v>192</v>
      </c>
      <c r="P192" s="65"/>
    </row>
    <row r="193" spans="3:22">
      <c r="C193" s="83" t="s">
        <v>58</v>
      </c>
      <c r="D193" s="75"/>
      <c r="E193" s="75"/>
      <c r="F193" s="81" t="s">
        <v>151</v>
      </c>
      <c r="G193" s="55" t="s">
        <v>498</v>
      </c>
      <c r="H193" s="55" t="s">
        <v>124</v>
      </c>
      <c r="I193" s="59">
        <v>12.5</v>
      </c>
      <c r="J193" s="60" t="s">
        <v>333</v>
      </c>
      <c r="K193" s="63" t="str">
        <f t="shared" si="22"/>
        <v>XGF-AD8AInput</v>
      </c>
      <c r="L193" s="59">
        <f t="shared" si="23"/>
        <v>43</v>
      </c>
      <c r="M193" s="59">
        <f t="shared" si="24"/>
        <v>42</v>
      </c>
      <c r="N193" s="59">
        <f t="shared" si="21"/>
        <v>1</v>
      </c>
      <c r="O193" s="60">
        <f t="shared" si="20"/>
        <v>193</v>
      </c>
      <c r="P193" s="65"/>
    </row>
    <row r="194" spans="3:22">
      <c r="C194" s="83" t="s">
        <v>58</v>
      </c>
      <c r="D194" s="75"/>
      <c r="E194" s="75"/>
      <c r="F194" s="81" t="s">
        <v>151</v>
      </c>
      <c r="G194" s="55" t="s">
        <v>499</v>
      </c>
      <c r="H194" s="55" t="s">
        <v>124</v>
      </c>
      <c r="I194" s="59">
        <v>12.6</v>
      </c>
      <c r="J194" s="60" t="s">
        <v>335</v>
      </c>
      <c r="K194" s="63" t="str">
        <f t="shared" si="22"/>
        <v>XGF-AD8AInput</v>
      </c>
      <c r="L194" s="59">
        <f t="shared" si="23"/>
        <v>43</v>
      </c>
      <c r="M194" s="59">
        <f t="shared" si="24"/>
        <v>42</v>
      </c>
      <c r="N194" s="59">
        <f t="shared" si="21"/>
        <v>1</v>
      </c>
      <c r="O194" s="60">
        <f t="shared" ref="O194:O257" si="25">ROW(C194)</f>
        <v>194</v>
      </c>
      <c r="P194" s="65"/>
    </row>
    <row r="195" spans="3:22">
      <c r="C195" s="83" t="s">
        <v>58</v>
      </c>
      <c r="D195" s="75"/>
      <c r="E195" s="75"/>
      <c r="F195" s="81" t="s">
        <v>151</v>
      </c>
      <c r="G195" s="55" t="s">
        <v>500</v>
      </c>
      <c r="H195" s="55" t="s">
        <v>124</v>
      </c>
      <c r="I195" s="59">
        <v>12.7</v>
      </c>
      <c r="J195" s="60" t="s">
        <v>337</v>
      </c>
      <c r="K195" s="63" t="str">
        <f t="shared" si="22"/>
        <v>XGF-AD8AInput</v>
      </c>
      <c r="L195" s="59">
        <f t="shared" si="23"/>
        <v>43</v>
      </c>
      <c r="M195" s="59">
        <f t="shared" si="24"/>
        <v>42</v>
      </c>
      <c r="N195" s="59">
        <f t="shared" ref="N195:N258" si="26">L195-M195</f>
        <v>1</v>
      </c>
      <c r="O195" s="60">
        <f t="shared" si="25"/>
        <v>195</v>
      </c>
      <c r="P195" s="65"/>
    </row>
    <row r="196" spans="3:22">
      <c r="C196" s="83" t="s">
        <v>58</v>
      </c>
      <c r="D196" s="75"/>
      <c r="E196" s="75"/>
      <c r="F196" s="81" t="s">
        <v>166</v>
      </c>
      <c r="G196" s="55" t="s">
        <v>501</v>
      </c>
      <c r="H196" s="55" t="s">
        <v>124</v>
      </c>
      <c r="I196" s="59">
        <v>0</v>
      </c>
      <c r="J196" s="60" t="s">
        <v>414</v>
      </c>
      <c r="K196" s="63"/>
      <c r="L196" s="59"/>
      <c r="M196" s="59"/>
      <c r="N196" s="59"/>
      <c r="O196" s="60">
        <f t="shared" si="25"/>
        <v>196</v>
      </c>
      <c r="P196" s="65"/>
    </row>
    <row r="197" spans="3:22">
      <c r="C197" s="83" t="s">
        <v>59</v>
      </c>
      <c r="D197" s="75">
        <v>44</v>
      </c>
      <c r="E197" s="75">
        <v>2</v>
      </c>
      <c r="F197" s="81" t="s">
        <v>151</v>
      </c>
      <c r="G197" s="55" t="s">
        <v>172</v>
      </c>
      <c r="H197" s="55" t="s">
        <v>124</v>
      </c>
      <c r="I197" s="59">
        <v>0</v>
      </c>
      <c r="J197" s="60" t="s">
        <v>173</v>
      </c>
      <c r="K197" s="63" t="str">
        <f t="shared" si="22"/>
        <v>XGF-AD16AInput</v>
      </c>
      <c r="L197" s="59">
        <f t="shared" ref="L197:L228" si="27">COUNTIF($C$2:$C$2062,C197)</f>
        <v>84</v>
      </c>
      <c r="M197" s="59">
        <f t="shared" ref="M197:M228" si="28">COUNTIF($K$2:$K$2062,K197)</f>
        <v>83</v>
      </c>
      <c r="N197" s="59">
        <f t="shared" si="26"/>
        <v>1</v>
      </c>
      <c r="O197" s="60">
        <f t="shared" si="25"/>
        <v>197</v>
      </c>
      <c r="P197" s="65" t="s">
        <v>3214</v>
      </c>
      <c r="Q197">
        <f>O197</f>
        <v>197</v>
      </c>
      <c r="R197" t="s">
        <v>3215</v>
      </c>
      <c r="S197">
        <v>281</v>
      </c>
      <c r="T197" t="str">
        <f>P197&amp;Q197&amp;R197&amp;S197</f>
        <v>All data map'!$F$197:$J$281</v>
      </c>
      <c r="V197" t="s">
        <v>3240</v>
      </c>
    </row>
    <row r="198" spans="3:22">
      <c r="C198" s="83" t="s">
        <v>59</v>
      </c>
      <c r="D198" s="75"/>
      <c r="E198" s="75"/>
      <c r="F198" s="81" t="s">
        <v>151</v>
      </c>
      <c r="G198" s="55" t="s">
        <v>174</v>
      </c>
      <c r="H198" s="55" t="s">
        <v>124</v>
      </c>
      <c r="I198" s="59" t="s">
        <v>126</v>
      </c>
      <c r="J198" s="60" t="s">
        <v>175</v>
      </c>
      <c r="K198" s="63" t="str">
        <f t="shared" si="22"/>
        <v>XGF-AD16AInput</v>
      </c>
      <c r="L198" s="59">
        <f t="shared" si="27"/>
        <v>84</v>
      </c>
      <c r="M198" s="59">
        <f t="shared" si="28"/>
        <v>83</v>
      </c>
      <c r="N198" s="59">
        <f t="shared" si="26"/>
        <v>1</v>
      </c>
      <c r="O198" s="60">
        <f t="shared" si="25"/>
        <v>198</v>
      </c>
      <c r="P198" s="65"/>
    </row>
    <row r="199" spans="3:22">
      <c r="C199" s="83" t="s">
        <v>59</v>
      </c>
      <c r="D199" s="75"/>
      <c r="E199" s="75"/>
      <c r="F199" s="81" t="s">
        <v>151</v>
      </c>
      <c r="G199" s="55" t="s">
        <v>176</v>
      </c>
      <c r="H199" s="55" t="s">
        <v>124</v>
      </c>
      <c r="I199" s="59">
        <v>1</v>
      </c>
      <c r="J199" s="60" t="s">
        <v>177</v>
      </c>
      <c r="K199" s="63" t="str">
        <f t="shared" si="22"/>
        <v>XGF-AD16AInput</v>
      </c>
      <c r="L199" s="59">
        <f t="shared" si="27"/>
        <v>84</v>
      </c>
      <c r="M199" s="59">
        <f t="shared" si="28"/>
        <v>83</v>
      </c>
      <c r="N199" s="59">
        <f t="shared" si="26"/>
        <v>1</v>
      </c>
      <c r="O199" s="60">
        <f t="shared" si="25"/>
        <v>199</v>
      </c>
      <c r="P199" s="65"/>
    </row>
    <row r="200" spans="3:22">
      <c r="C200" s="83" t="s">
        <v>59</v>
      </c>
      <c r="D200" s="75"/>
      <c r="E200" s="75"/>
      <c r="F200" s="81" t="s">
        <v>151</v>
      </c>
      <c r="G200" s="55" t="s">
        <v>178</v>
      </c>
      <c r="H200" s="55" t="s">
        <v>124</v>
      </c>
      <c r="I200" s="59">
        <v>1.1000000000000001</v>
      </c>
      <c r="J200" s="60" t="s">
        <v>179</v>
      </c>
      <c r="K200" s="63" t="str">
        <f t="shared" si="22"/>
        <v>XGF-AD16AInput</v>
      </c>
      <c r="L200" s="59">
        <f t="shared" si="27"/>
        <v>84</v>
      </c>
      <c r="M200" s="59">
        <f t="shared" si="28"/>
        <v>83</v>
      </c>
      <c r="N200" s="59">
        <f t="shared" si="26"/>
        <v>1</v>
      </c>
      <c r="O200" s="60">
        <f t="shared" si="25"/>
        <v>200</v>
      </c>
      <c r="P200" s="65"/>
    </row>
    <row r="201" spans="3:22">
      <c r="C201" s="83" t="s">
        <v>59</v>
      </c>
      <c r="D201" s="75"/>
      <c r="E201" s="75"/>
      <c r="F201" s="81" t="s">
        <v>151</v>
      </c>
      <c r="G201" s="55" t="s">
        <v>180</v>
      </c>
      <c r="H201" s="55" t="s">
        <v>124</v>
      </c>
      <c r="I201" s="59">
        <v>1.2</v>
      </c>
      <c r="J201" s="60" t="s">
        <v>181</v>
      </c>
      <c r="K201" s="63" t="str">
        <f t="shared" si="22"/>
        <v>XGF-AD16AInput</v>
      </c>
      <c r="L201" s="59">
        <f t="shared" si="27"/>
        <v>84</v>
      </c>
      <c r="M201" s="59">
        <f t="shared" si="28"/>
        <v>83</v>
      </c>
      <c r="N201" s="59">
        <f t="shared" si="26"/>
        <v>1</v>
      </c>
      <c r="O201" s="60">
        <f t="shared" si="25"/>
        <v>201</v>
      </c>
      <c r="P201" s="65"/>
    </row>
    <row r="202" spans="3:22">
      <c r="C202" s="83" t="s">
        <v>59</v>
      </c>
      <c r="D202" s="75"/>
      <c r="E202" s="75"/>
      <c r="F202" s="81" t="s">
        <v>151</v>
      </c>
      <c r="G202" s="55" t="s">
        <v>182</v>
      </c>
      <c r="H202" s="55" t="s">
        <v>124</v>
      </c>
      <c r="I202" s="59">
        <v>1.3</v>
      </c>
      <c r="J202" s="60" t="s">
        <v>183</v>
      </c>
      <c r="K202" s="63" t="str">
        <f t="shared" si="22"/>
        <v>XGF-AD16AInput</v>
      </c>
      <c r="L202" s="59">
        <f t="shared" si="27"/>
        <v>84</v>
      </c>
      <c r="M202" s="59">
        <f t="shared" si="28"/>
        <v>83</v>
      </c>
      <c r="N202" s="59">
        <f t="shared" si="26"/>
        <v>1</v>
      </c>
      <c r="O202" s="60">
        <f t="shared" si="25"/>
        <v>202</v>
      </c>
      <c r="P202" s="65"/>
    </row>
    <row r="203" spans="3:22">
      <c r="C203" s="83" t="s">
        <v>59</v>
      </c>
      <c r="D203" s="75"/>
      <c r="E203" s="75"/>
      <c r="F203" s="81" t="s">
        <v>151</v>
      </c>
      <c r="G203" s="55" t="s">
        <v>184</v>
      </c>
      <c r="H203" s="55" t="s">
        <v>124</v>
      </c>
      <c r="I203" s="59">
        <v>1.4</v>
      </c>
      <c r="J203" s="60" t="s">
        <v>185</v>
      </c>
      <c r="K203" s="63" t="str">
        <f t="shared" si="22"/>
        <v>XGF-AD16AInput</v>
      </c>
      <c r="L203" s="59">
        <f t="shared" si="27"/>
        <v>84</v>
      </c>
      <c r="M203" s="59">
        <f t="shared" si="28"/>
        <v>83</v>
      </c>
      <c r="N203" s="59">
        <f t="shared" si="26"/>
        <v>1</v>
      </c>
      <c r="O203" s="60">
        <f t="shared" si="25"/>
        <v>203</v>
      </c>
      <c r="P203" s="65"/>
    </row>
    <row r="204" spans="3:22">
      <c r="C204" s="83" t="s">
        <v>59</v>
      </c>
      <c r="D204" s="75"/>
      <c r="E204" s="75"/>
      <c r="F204" s="81" t="s">
        <v>151</v>
      </c>
      <c r="G204" s="55" t="s">
        <v>186</v>
      </c>
      <c r="H204" s="55" t="s">
        <v>124</v>
      </c>
      <c r="I204" s="59">
        <v>1.5</v>
      </c>
      <c r="J204" s="60" t="s">
        <v>187</v>
      </c>
      <c r="K204" s="63" t="str">
        <f t="shared" si="22"/>
        <v>XGF-AD16AInput</v>
      </c>
      <c r="L204" s="59">
        <f t="shared" si="27"/>
        <v>84</v>
      </c>
      <c r="M204" s="59">
        <f t="shared" si="28"/>
        <v>83</v>
      </c>
      <c r="N204" s="59">
        <f t="shared" si="26"/>
        <v>1</v>
      </c>
      <c r="O204" s="60">
        <f t="shared" si="25"/>
        <v>204</v>
      </c>
      <c r="P204" s="65"/>
    </row>
    <row r="205" spans="3:22">
      <c r="C205" s="83" t="s">
        <v>59</v>
      </c>
      <c r="D205" s="75"/>
      <c r="E205" s="75"/>
      <c r="F205" s="81" t="s">
        <v>151</v>
      </c>
      <c r="G205" s="55" t="s">
        <v>188</v>
      </c>
      <c r="H205" s="55" t="s">
        <v>124</v>
      </c>
      <c r="I205" s="59">
        <v>1.6</v>
      </c>
      <c r="J205" s="60" t="s">
        <v>189</v>
      </c>
      <c r="K205" s="63" t="str">
        <f t="shared" si="22"/>
        <v>XGF-AD16AInput</v>
      </c>
      <c r="L205" s="59">
        <f t="shared" si="27"/>
        <v>84</v>
      </c>
      <c r="M205" s="59">
        <f t="shared" si="28"/>
        <v>83</v>
      </c>
      <c r="N205" s="59">
        <f t="shared" si="26"/>
        <v>1</v>
      </c>
      <c r="O205" s="60">
        <f t="shared" si="25"/>
        <v>205</v>
      </c>
      <c r="P205" s="65"/>
    </row>
    <row r="206" spans="3:22">
      <c r="C206" s="83" t="s">
        <v>59</v>
      </c>
      <c r="D206" s="75"/>
      <c r="E206" s="75"/>
      <c r="F206" s="81" t="s">
        <v>151</v>
      </c>
      <c r="G206" s="55" t="s">
        <v>190</v>
      </c>
      <c r="H206" s="55" t="s">
        <v>124</v>
      </c>
      <c r="I206" s="59">
        <v>1.7</v>
      </c>
      <c r="J206" s="60" t="s">
        <v>191</v>
      </c>
      <c r="K206" s="63" t="str">
        <f t="shared" si="22"/>
        <v>XGF-AD16AInput</v>
      </c>
      <c r="L206" s="59">
        <f t="shared" si="27"/>
        <v>84</v>
      </c>
      <c r="M206" s="59">
        <f t="shared" si="28"/>
        <v>83</v>
      </c>
      <c r="N206" s="59">
        <f t="shared" si="26"/>
        <v>1</v>
      </c>
      <c r="O206" s="60">
        <f t="shared" si="25"/>
        <v>206</v>
      </c>
      <c r="P206" s="65"/>
    </row>
    <row r="207" spans="3:22">
      <c r="C207" s="83" t="s">
        <v>59</v>
      </c>
      <c r="D207" s="75"/>
      <c r="E207" s="75"/>
      <c r="F207" s="81" t="s">
        <v>151</v>
      </c>
      <c r="G207" s="55" t="s">
        <v>192</v>
      </c>
      <c r="H207" s="55" t="s">
        <v>124</v>
      </c>
      <c r="I207" s="59">
        <v>1.8</v>
      </c>
      <c r="J207" s="60" t="s">
        <v>193</v>
      </c>
      <c r="K207" s="63" t="str">
        <f t="shared" si="22"/>
        <v>XGF-AD16AInput</v>
      </c>
      <c r="L207" s="59">
        <f t="shared" si="27"/>
        <v>84</v>
      </c>
      <c r="M207" s="59">
        <f t="shared" si="28"/>
        <v>83</v>
      </c>
      <c r="N207" s="59">
        <f t="shared" si="26"/>
        <v>1</v>
      </c>
      <c r="O207" s="60">
        <f t="shared" si="25"/>
        <v>207</v>
      </c>
      <c r="P207" s="65"/>
    </row>
    <row r="208" spans="3:22">
      <c r="C208" s="83" t="s">
        <v>59</v>
      </c>
      <c r="D208" s="75"/>
      <c r="E208" s="75"/>
      <c r="F208" s="81" t="s">
        <v>151</v>
      </c>
      <c r="G208" s="55" t="s">
        <v>194</v>
      </c>
      <c r="H208" s="55" t="s">
        <v>124</v>
      </c>
      <c r="I208" s="59">
        <v>1.9</v>
      </c>
      <c r="J208" s="60" t="s">
        <v>195</v>
      </c>
      <c r="K208" s="63" t="str">
        <f t="shared" si="22"/>
        <v>XGF-AD16AInput</v>
      </c>
      <c r="L208" s="59">
        <f t="shared" si="27"/>
        <v>84</v>
      </c>
      <c r="M208" s="59">
        <f t="shared" si="28"/>
        <v>83</v>
      </c>
      <c r="N208" s="59">
        <f t="shared" si="26"/>
        <v>1</v>
      </c>
      <c r="O208" s="60">
        <f t="shared" si="25"/>
        <v>208</v>
      </c>
      <c r="P208" s="65"/>
    </row>
    <row r="209" spans="3:16">
      <c r="C209" s="83" t="s">
        <v>59</v>
      </c>
      <c r="D209" s="75"/>
      <c r="E209" s="75"/>
      <c r="F209" s="81" t="s">
        <v>151</v>
      </c>
      <c r="G209" s="55" t="s">
        <v>196</v>
      </c>
      <c r="H209" s="55" t="s">
        <v>124</v>
      </c>
      <c r="I209" s="59" t="s">
        <v>136</v>
      </c>
      <c r="J209" s="60" t="s">
        <v>197</v>
      </c>
      <c r="K209" s="63" t="str">
        <f t="shared" si="22"/>
        <v>XGF-AD16AInput</v>
      </c>
      <c r="L209" s="59">
        <f t="shared" si="27"/>
        <v>84</v>
      </c>
      <c r="M209" s="59">
        <f t="shared" si="28"/>
        <v>83</v>
      </c>
      <c r="N209" s="59">
        <f t="shared" si="26"/>
        <v>1</v>
      </c>
      <c r="O209" s="60">
        <f t="shared" si="25"/>
        <v>209</v>
      </c>
      <c r="P209" s="65"/>
    </row>
    <row r="210" spans="3:16">
      <c r="C210" s="83" t="s">
        <v>59</v>
      </c>
      <c r="D210" s="75"/>
      <c r="E210" s="75"/>
      <c r="F210" s="81" t="s">
        <v>151</v>
      </c>
      <c r="G210" s="55" t="s">
        <v>198</v>
      </c>
      <c r="H210" s="55" t="s">
        <v>124</v>
      </c>
      <c r="I210" s="59" t="s">
        <v>138</v>
      </c>
      <c r="J210" s="60" t="s">
        <v>199</v>
      </c>
      <c r="K210" s="63" t="str">
        <f t="shared" si="22"/>
        <v>XGF-AD16AInput</v>
      </c>
      <c r="L210" s="59">
        <f t="shared" si="27"/>
        <v>84</v>
      </c>
      <c r="M210" s="59">
        <f t="shared" si="28"/>
        <v>83</v>
      </c>
      <c r="N210" s="59">
        <f t="shared" si="26"/>
        <v>1</v>
      </c>
      <c r="O210" s="60">
        <f t="shared" si="25"/>
        <v>210</v>
      </c>
      <c r="P210" s="65"/>
    </row>
    <row r="211" spans="3:16">
      <c r="C211" s="83" t="s">
        <v>59</v>
      </c>
      <c r="D211" s="75"/>
      <c r="E211" s="75"/>
      <c r="F211" s="81" t="s">
        <v>151</v>
      </c>
      <c r="G211" s="55" t="s">
        <v>200</v>
      </c>
      <c r="H211" s="55" t="s">
        <v>124</v>
      </c>
      <c r="I211" s="59" t="s">
        <v>201</v>
      </c>
      <c r="J211" s="60" t="s">
        <v>202</v>
      </c>
      <c r="K211" s="63" t="str">
        <f t="shared" si="22"/>
        <v>XGF-AD16AInput</v>
      </c>
      <c r="L211" s="59">
        <f t="shared" si="27"/>
        <v>84</v>
      </c>
      <c r="M211" s="59">
        <f t="shared" si="28"/>
        <v>83</v>
      </c>
      <c r="N211" s="59">
        <f t="shared" si="26"/>
        <v>1</v>
      </c>
      <c r="O211" s="60">
        <f t="shared" si="25"/>
        <v>211</v>
      </c>
      <c r="P211" s="65"/>
    </row>
    <row r="212" spans="3:16">
      <c r="C212" s="83" t="s">
        <v>59</v>
      </c>
      <c r="D212" s="75"/>
      <c r="E212" s="75"/>
      <c r="F212" s="81" t="s">
        <v>151</v>
      </c>
      <c r="G212" s="55" t="s">
        <v>203</v>
      </c>
      <c r="H212" s="55" t="s">
        <v>124</v>
      </c>
      <c r="I212" s="59" t="s">
        <v>204</v>
      </c>
      <c r="J212" s="60" t="s">
        <v>205</v>
      </c>
      <c r="K212" s="63" t="str">
        <f t="shared" si="22"/>
        <v>XGF-AD16AInput</v>
      </c>
      <c r="L212" s="59">
        <f t="shared" si="27"/>
        <v>84</v>
      </c>
      <c r="M212" s="59">
        <f t="shared" si="28"/>
        <v>83</v>
      </c>
      <c r="N212" s="59">
        <f t="shared" si="26"/>
        <v>1</v>
      </c>
      <c r="O212" s="60">
        <f t="shared" si="25"/>
        <v>212</v>
      </c>
      <c r="P212" s="65"/>
    </row>
    <row r="213" spans="3:16">
      <c r="C213" s="83" t="s">
        <v>59</v>
      </c>
      <c r="D213" s="75"/>
      <c r="E213" s="75"/>
      <c r="F213" s="81" t="s">
        <v>151</v>
      </c>
      <c r="G213" s="55" t="s">
        <v>206</v>
      </c>
      <c r="H213" s="55" t="s">
        <v>124</v>
      </c>
      <c r="I213" s="59" t="s">
        <v>207</v>
      </c>
      <c r="J213" s="60" t="s">
        <v>208</v>
      </c>
      <c r="K213" s="63" t="str">
        <f t="shared" ref="K213:K276" si="29">C213&amp;F213</f>
        <v>XGF-AD16AInput</v>
      </c>
      <c r="L213" s="59">
        <f t="shared" si="27"/>
        <v>84</v>
      </c>
      <c r="M213" s="59">
        <f t="shared" si="28"/>
        <v>83</v>
      </c>
      <c r="N213" s="59">
        <f t="shared" si="26"/>
        <v>1</v>
      </c>
      <c r="O213" s="60">
        <f t="shared" si="25"/>
        <v>213</v>
      </c>
      <c r="P213" s="65"/>
    </row>
    <row r="214" spans="3:16">
      <c r="C214" s="83" t="s">
        <v>59</v>
      </c>
      <c r="D214" s="75"/>
      <c r="E214" s="75"/>
      <c r="F214" s="81" t="s">
        <v>151</v>
      </c>
      <c r="G214" s="55" t="s">
        <v>209</v>
      </c>
      <c r="H214" s="55" t="s">
        <v>124</v>
      </c>
      <c r="I214" s="59" t="s">
        <v>210</v>
      </c>
      <c r="J214" s="60" t="s">
        <v>211</v>
      </c>
      <c r="K214" s="63" t="str">
        <f t="shared" si="29"/>
        <v>XGF-AD16AInput</v>
      </c>
      <c r="L214" s="59">
        <f t="shared" si="27"/>
        <v>84</v>
      </c>
      <c r="M214" s="59">
        <f t="shared" si="28"/>
        <v>83</v>
      </c>
      <c r="N214" s="59">
        <f t="shared" si="26"/>
        <v>1</v>
      </c>
      <c r="O214" s="60">
        <f t="shared" si="25"/>
        <v>214</v>
      </c>
      <c r="P214" s="65"/>
    </row>
    <row r="215" spans="3:16">
      <c r="C215" s="83" t="s">
        <v>59</v>
      </c>
      <c r="D215" s="75"/>
      <c r="E215" s="75"/>
      <c r="F215" s="81" t="s">
        <v>151</v>
      </c>
      <c r="G215" s="55" t="s">
        <v>212</v>
      </c>
      <c r="H215" s="55" t="s">
        <v>139</v>
      </c>
      <c r="I215" s="59">
        <v>2</v>
      </c>
      <c r="J215" s="60" t="s">
        <v>213</v>
      </c>
      <c r="K215" s="63" t="str">
        <f t="shared" si="29"/>
        <v>XGF-AD16AInput</v>
      </c>
      <c r="L215" s="59">
        <f t="shared" si="27"/>
        <v>84</v>
      </c>
      <c r="M215" s="59">
        <f t="shared" si="28"/>
        <v>83</v>
      </c>
      <c r="N215" s="59">
        <f t="shared" si="26"/>
        <v>1</v>
      </c>
      <c r="O215" s="60">
        <f t="shared" si="25"/>
        <v>215</v>
      </c>
      <c r="P215" s="65"/>
    </row>
    <row r="216" spans="3:16">
      <c r="C216" s="83" t="s">
        <v>59</v>
      </c>
      <c r="D216" s="75"/>
      <c r="E216" s="75"/>
      <c r="F216" s="81" t="s">
        <v>151</v>
      </c>
      <c r="G216" s="55" t="s">
        <v>214</v>
      </c>
      <c r="H216" s="55" t="s">
        <v>139</v>
      </c>
      <c r="I216" s="59">
        <v>3</v>
      </c>
      <c r="J216" s="60" t="s">
        <v>215</v>
      </c>
      <c r="K216" s="63" t="str">
        <f t="shared" si="29"/>
        <v>XGF-AD16AInput</v>
      </c>
      <c r="L216" s="59">
        <f t="shared" si="27"/>
        <v>84</v>
      </c>
      <c r="M216" s="59">
        <f t="shared" si="28"/>
        <v>83</v>
      </c>
      <c r="N216" s="59">
        <f t="shared" si="26"/>
        <v>1</v>
      </c>
      <c r="O216" s="60">
        <f t="shared" si="25"/>
        <v>216</v>
      </c>
      <c r="P216" s="65"/>
    </row>
    <row r="217" spans="3:16">
      <c r="C217" s="83" t="s">
        <v>59</v>
      </c>
      <c r="D217" s="75"/>
      <c r="E217" s="75"/>
      <c r="F217" s="81" t="s">
        <v>151</v>
      </c>
      <c r="G217" s="55" t="s">
        <v>216</v>
      </c>
      <c r="H217" s="55" t="s">
        <v>139</v>
      </c>
      <c r="I217" s="59">
        <v>4</v>
      </c>
      <c r="J217" s="60" t="s">
        <v>217</v>
      </c>
      <c r="K217" s="63" t="str">
        <f t="shared" si="29"/>
        <v>XGF-AD16AInput</v>
      </c>
      <c r="L217" s="59">
        <f t="shared" si="27"/>
        <v>84</v>
      </c>
      <c r="M217" s="59">
        <f t="shared" si="28"/>
        <v>83</v>
      </c>
      <c r="N217" s="59">
        <f t="shared" si="26"/>
        <v>1</v>
      </c>
      <c r="O217" s="60">
        <f t="shared" si="25"/>
        <v>217</v>
      </c>
      <c r="P217" s="65"/>
    </row>
    <row r="218" spans="3:16">
      <c r="C218" s="83" t="s">
        <v>59</v>
      </c>
      <c r="D218" s="75"/>
      <c r="E218" s="75"/>
      <c r="F218" s="81" t="s">
        <v>151</v>
      </c>
      <c r="G218" s="55" t="s">
        <v>218</v>
      </c>
      <c r="H218" s="55" t="s">
        <v>139</v>
      </c>
      <c r="I218" s="59">
        <v>5</v>
      </c>
      <c r="J218" s="60" t="s">
        <v>219</v>
      </c>
      <c r="K218" s="63" t="str">
        <f t="shared" si="29"/>
        <v>XGF-AD16AInput</v>
      </c>
      <c r="L218" s="59">
        <f t="shared" si="27"/>
        <v>84</v>
      </c>
      <c r="M218" s="59">
        <f t="shared" si="28"/>
        <v>83</v>
      </c>
      <c r="N218" s="59">
        <f t="shared" si="26"/>
        <v>1</v>
      </c>
      <c r="O218" s="60">
        <f t="shared" si="25"/>
        <v>218</v>
      </c>
      <c r="P218" s="65"/>
    </row>
    <row r="219" spans="3:16">
      <c r="C219" s="83" t="s">
        <v>59</v>
      </c>
      <c r="D219" s="75"/>
      <c r="E219" s="75"/>
      <c r="F219" s="81" t="s">
        <v>151</v>
      </c>
      <c r="G219" s="55" t="s">
        <v>220</v>
      </c>
      <c r="H219" s="55" t="s">
        <v>139</v>
      </c>
      <c r="I219" s="59">
        <v>6</v>
      </c>
      <c r="J219" s="60" t="s">
        <v>221</v>
      </c>
      <c r="K219" s="63" t="str">
        <f t="shared" si="29"/>
        <v>XGF-AD16AInput</v>
      </c>
      <c r="L219" s="59">
        <f t="shared" si="27"/>
        <v>84</v>
      </c>
      <c r="M219" s="59">
        <f t="shared" si="28"/>
        <v>83</v>
      </c>
      <c r="N219" s="59">
        <f t="shared" si="26"/>
        <v>1</v>
      </c>
      <c r="O219" s="60">
        <f t="shared" si="25"/>
        <v>219</v>
      </c>
      <c r="P219" s="65"/>
    </row>
    <row r="220" spans="3:16">
      <c r="C220" s="83" t="s">
        <v>59</v>
      </c>
      <c r="D220" s="75"/>
      <c r="E220" s="75"/>
      <c r="F220" s="81" t="s">
        <v>151</v>
      </c>
      <c r="G220" s="55" t="s">
        <v>222</v>
      </c>
      <c r="H220" s="55" t="s">
        <v>139</v>
      </c>
      <c r="I220" s="59">
        <v>7</v>
      </c>
      <c r="J220" s="60" t="s">
        <v>223</v>
      </c>
      <c r="K220" s="63" t="str">
        <f t="shared" si="29"/>
        <v>XGF-AD16AInput</v>
      </c>
      <c r="L220" s="59">
        <f t="shared" si="27"/>
        <v>84</v>
      </c>
      <c r="M220" s="59">
        <f t="shared" si="28"/>
        <v>83</v>
      </c>
      <c r="N220" s="59">
        <f t="shared" si="26"/>
        <v>1</v>
      </c>
      <c r="O220" s="60">
        <f t="shared" si="25"/>
        <v>220</v>
      </c>
      <c r="P220" s="65"/>
    </row>
    <row r="221" spans="3:16">
      <c r="C221" s="83" t="s">
        <v>59</v>
      </c>
      <c r="D221" s="75"/>
      <c r="E221" s="75"/>
      <c r="F221" s="81" t="s">
        <v>151</v>
      </c>
      <c r="G221" s="55" t="s">
        <v>224</v>
      </c>
      <c r="H221" s="55" t="s">
        <v>139</v>
      </c>
      <c r="I221" s="59">
        <v>8</v>
      </c>
      <c r="J221" s="60" t="s">
        <v>225</v>
      </c>
      <c r="K221" s="63" t="str">
        <f t="shared" si="29"/>
        <v>XGF-AD16AInput</v>
      </c>
      <c r="L221" s="59">
        <f t="shared" si="27"/>
        <v>84</v>
      </c>
      <c r="M221" s="59">
        <f t="shared" si="28"/>
        <v>83</v>
      </c>
      <c r="N221" s="59">
        <f t="shared" si="26"/>
        <v>1</v>
      </c>
      <c r="O221" s="60">
        <f t="shared" si="25"/>
        <v>221</v>
      </c>
      <c r="P221" s="65"/>
    </row>
    <row r="222" spans="3:16">
      <c r="C222" s="83" t="s">
        <v>59</v>
      </c>
      <c r="D222" s="75"/>
      <c r="E222" s="75"/>
      <c r="F222" s="81" t="s">
        <v>151</v>
      </c>
      <c r="G222" s="55" t="s">
        <v>226</v>
      </c>
      <c r="H222" s="55" t="s">
        <v>139</v>
      </c>
      <c r="I222" s="59">
        <v>9</v>
      </c>
      <c r="J222" s="60" t="s">
        <v>227</v>
      </c>
      <c r="K222" s="63" t="str">
        <f t="shared" si="29"/>
        <v>XGF-AD16AInput</v>
      </c>
      <c r="L222" s="59">
        <f t="shared" si="27"/>
        <v>84</v>
      </c>
      <c r="M222" s="59">
        <f t="shared" si="28"/>
        <v>83</v>
      </c>
      <c r="N222" s="59">
        <f t="shared" si="26"/>
        <v>1</v>
      </c>
      <c r="O222" s="60">
        <f t="shared" si="25"/>
        <v>222</v>
      </c>
      <c r="P222" s="65"/>
    </row>
    <row r="223" spans="3:16">
      <c r="C223" s="83" t="s">
        <v>59</v>
      </c>
      <c r="D223" s="75"/>
      <c r="E223" s="75"/>
      <c r="F223" s="81" t="s">
        <v>151</v>
      </c>
      <c r="G223" s="55" t="s">
        <v>228</v>
      </c>
      <c r="H223" s="55" t="s">
        <v>139</v>
      </c>
      <c r="I223" s="59">
        <v>10</v>
      </c>
      <c r="J223" s="60" t="s">
        <v>229</v>
      </c>
      <c r="K223" s="63" t="str">
        <f t="shared" si="29"/>
        <v>XGF-AD16AInput</v>
      </c>
      <c r="L223" s="59">
        <f t="shared" si="27"/>
        <v>84</v>
      </c>
      <c r="M223" s="59">
        <f t="shared" si="28"/>
        <v>83</v>
      </c>
      <c r="N223" s="59">
        <f t="shared" si="26"/>
        <v>1</v>
      </c>
      <c r="O223" s="60">
        <f t="shared" si="25"/>
        <v>223</v>
      </c>
      <c r="P223" s="65"/>
    </row>
    <row r="224" spans="3:16">
      <c r="C224" s="83" t="s">
        <v>59</v>
      </c>
      <c r="D224" s="75"/>
      <c r="E224" s="75"/>
      <c r="F224" s="81" t="s">
        <v>151</v>
      </c>
      <c r="G224" s="55" t="s">
        <v>230</v>
      </c>
      <c r="H224" s="55" t="s">
        <v>139</v>
      </c>
      <c r="I224" s="59">
        <v>11</v>
      </c>
      <c r="J224" s="60" t="s">
        <v>231</v>
      </c>
      <c r="K224" s="63" t="str">
        <f t="shared" si="29"/>
        <v>XGF-AD16AInput</v>
      </c>
      <c r="L224" s="59">
        <f t="shared" si="27"/>
        <v>84</v>
      </c>
      <c r="M224" s="59">
        <f t="shared" si="28"/>
        <v>83</v>
      </c>
      <c r="N224" s="59">
        <f t="shared" si="26"/>
        <v>1</v>
      </c>
      <c r="O224" s="60">
        <f t="shared" si="25"/>
        <v>224</v>
      </c>
      <c r="P224" s="65"/>
    </row>
    <row r="225" spans="3:16">
      <c r="C225" s="83" t="s">
        <v>59</v>
      </c>
      <c r="D225" s="75"/>
      <c r="E225" s="75"/>
      <c r="F225" s="81" t="s">
        <v>151</v>
      </c>
      <c r="G225" s="55" t="s">
        <v>232</v>
      </c>
      <c r="H225" s="55" t="s">
        <v>139</v>
      </c>
      <c r="I225" s="59">
        <v>12</v>
      </c>
      <c r="J225" s="60" t="s">
        <v>233</v>
      </c>
      <c r="K225" s="63" t="str">
        <f t="shared" si="29"/>
        <v>XGF-AD16AInput</v>
      </c>
      <c r="L225" s="59">
        <f t="shared" si="27"/>
        <v>84</v>
      </c>
      <c r="M225" s="59">
        <f t="shared" si="28"/>
        <v>83</v>
      </c>
      <c r="N225" s="59">
        <f t="shared" si="26"/>
        <v>1</v>
      </c>
      <c r="O225" s="60">
        <f t="shared" si="25"/>
        <v>225</v>
      </c>
      <c r="P225" s="65"/>
    </row>
    <row r="226" spans="3:16">
      <c r="C226" s="83" t="s">
        <v>59</v>
      </c>
      <c r="D226" s="75"/>
      <c r="E226" s="75"/>
      <c r="F226" s="81" t="s">
        <v>151</v>
      </c>
      <c r="G226" s="55" t="s">
        <v>234</v>
      </c>
      <c r="H226" s="55" t="s">
        <v>139</v>
      </c>
      <c r="I226" s="59">
        <v>13</v>
      </c>
      <c r="J226" s="60" t="s">
        <v>235</v>
      </c>
      <c r="K226" s="63" t="str">
        <f t="shared" si="29"/>
        <v>XGF-AD16AInput</v>
      </c>
      <c r="L226" s="59">
        <f t="shared" si="27"/>
        <v>84</v>
      </c>
      <c r="M226" s="59">
        <f t="shared" si="28"/>
        <v>83</v>
      </c>
      <c r="N226" s="59">
        <f t="shared" si="26"/>
        <v>1</v>
      </c>
      <c r="O226" s="60">
        <f t="shared" si="25"/>
        <v>226</v>
      </c>
      <c r="P226" s="65"/>
    </row>
    <row r="227" spans="3:16">
      <c r="C227" s="83" t="s">
        <v>59</v>
      </c>
      <c r="D227" s="75"/>
      <c r="E227" s="75"/>
      <c r="F227" s="81" t="s">
        <v>151</v>
      </c>
      <c r="G227" s="55" t="s">
        <v>236</v>
      </c>
      <c r="H227" s="55" t="s">
        <v>139</v>
      </c>
      <c r="I227" s="59">
        <v>14</v>
      </c>
      <c r="J227" s="60" t="s">
        <v>237</v>
      </c>
      <c r="K227" s="63" t="str">
        <f t="shared" si="29"/>
        <v>XGF-AD16AInput</v>
      </c>
      <c r="L227" s="59">
        <f t="shared" si="27"/>
        <v>84</v>
      </c>
      <c r="M227" s="59">
        <f t="shared" si="28"/>
        <v>83</v>
      </c>
      <c r="N227" s="59">
        <f t="shared" si="26"/>
        <v>1</v>
      </c>
      <c r="O227" s="60">
        <f t="shared" si="25"/>
        <v>227</v>
      </c>
      <c r="P227" s="65"/>
    </row>
    <row r="228" spans="3:16">
      <c r="C228" s="83" t="s">
        <v>59</v>
      </c>
      <c r="D228" s="75"/>
      <c r="E228" s="75"/>
      <c r="F228" s="81" t="s">
        <v>151</v>
      </c>
      <c r="G228" s="55" t="s">
        <v>238</v>
      </c>
      <c r="H228" s="55" t="s">
        <v>139</v>
      </c>
      <c r="I228" s="59">
        <v>15</v>
      </c>
      <c r="J228" s="60" t="s">
        <v>239</v>
      </c>
      <c r="K228" s="63" t="str">
        <f t="shared" si="29"/>
        <v>XGF-AD16AInput</v>
      </c>
      <c r="L228" s="59">
        <f t="shared" si="27"/>
        <v>84</v>
      </c>
      <c r="M228" s="59">
        <f t="shared" si="28"/>
        <v>83</v>
      </c>
      <c r="N228" s="59">
        <f t="shared" si="26"/>
        <v>1</v>
      </c>
      <c r="O228" s="60">
        <f t="shared" si="25"/>
        <v>228</v>
      </c>
      <c r="P228" s="65"/>
    </row>
    <row r="229" spans="3:16">
      <c r="C229" s="83" t="s">
        <v>59</v>
      </c>
      <c r="D229" s="75"/>
      <c r="E229" s="75"/>
      <c r="F229" s="81" t="s">
        <v>151</v>
      </c>
      <c r="G229" s="55" t="s">
        <v>240</v>
      </c>
      <c r="H229" s="55" t="s">
        <v>139</v>
      </c>
      <c r="I229" s="59">
        <v>16</v>
      </c>
      <c r="J229" s="60" t="s">
        <v>241</v>
      </c>
      <c r="K229" s="63" t="str">
        <f t="shared" si="29"/>
        <v>XGF-AD16AInput</v>
      </c>
      <c r="L229" s="59">
        <f t="shared" ref="L229:L260" si="30">COUNTIF($C$2:$C$2062,C229)</f>
        <v>84</v>
      </c>
      <c r="M229" s="59">
        <f t="shared" ref="M229:M260" si="31">COUNTIF($K$2:$K$2062,K229)</f>
        <v>83</v>
      </c>
      <c r="N229" s="59">
        <f t="shared" si="26"/>
        <v>1</v>
      </c>
      <c r="O229" s="60">
        <f t="shared" si="25"/>
        <v>229</v>
      </c>
      <c r="P229" s="65"/>
    </row>
    <row r="230" spans="3:16">
      <c r="C230" s="83" t="s">
        <v>59</v>
      </c>
      <c r="D230" s="75"/>
      <c r="E230" s="75"/>
      <c r="F230" s="81" t="s">
        <v>151</v>
      </c>
      <c r="G230" s="55" t="s">
        <v>242</v>
      </c>
      <c r="H230" s="55" t="s">
        <v>139</v>
      </c>
      <c r="I230" s="59">
        <v>17</v>
      </c>
      <c r="J230" s="60" t="s">
        <v>243</v>
      </c>
      <c r="K230" s="63" t="str">
        <f t="shared" si="29"/>
        <v>XGF-AD16AInput</v>
      </c>
      <c r="L230" s="59">
        <f t="shared" si="30"/>
        <v>84</v>
      </c>
      <c r="M230" s="59">
        <f t="shared" si="31"/>
        <v>83</v>
      </c>
      <c r="N230" s="59">
        <f t="shared" si="26"/>
        <v>1</v>
      </c>
      <c r="O230" s="60">
        <f t="shared" si="25"/>
        <v>230</v>
      </c>
      <c r="P230" s="65"/>
    </row>
    <row r="231" spans="3:16">
      <c r="C231" s="83" t="s">
        <v>59</v>
      </c>
      <c r="D231" s="75"/>
      <c r="E231" s="75"/>
      <c r="F231" s="81" t="s">
        <v>151</v>
      </c>
      <c r="G231" s="55" t="s">
        <v>244</v>
      </c>
      <c r="H231" s="55" t="s">
        <v>124</v>
      </c>
      <c r="I231" s="59">
        <v>18</v>
      </c>
      <c r="J231" s="60" t="s">
        <v>245</v>
      </c>
      <c r="K231" s="63" t="str">
        <f t="shared" si="29"/>
        <v>XGF-AD16AInput</v>
      </c>
      <c r="L231" s="59">
        <f t="shared" si="30"/>
        <v>84</v>
      </c>
      <c r="M231" s="59">
        <f t="shared" si="31"/>
        <v>83</v>
      </c>
      <c r="N231" s="59">
        <f t="shared" si="26"/>
        <v>1</v>
      </c>
      <c r="O231" s="60">
        <f t="shared" si="25"/>
        <v>231</v>
      </c>
      <c r="P231" s="65"/>
    </row>
    <row r="232" spans="3:16">
      <c r="C232" s="83" t="s">
        <v>59</v>
      </c>
      <c r="D232" s="75"/>
      <c r="E232" s="75"/>
      <c r="F232" s="81" t="s">
        <v>151</v>
      </c>
      <c r="G232" s="55" t="s">
        <v>246</v>
      </c>
      <c r="H232" s="55" t="s">
        <v>124</v>
      </c>
      <c r="I232" s="59">
        <v>18.100000000000001</v>
      </c>
      <c r="J232" s="60" t="s">
        <v>247</v>
      </c>
      <c r="K232" s="63" t="str">
        <f t="shared" si="29"/>
        <v>XGF-AD16AInput</v>
      </c>
      <c r="L232" s="59">
        <f t="shared" si="30"/>
        <v>84</v>
      </c>
      <c r="M232" s="59">
        <f t="shared" si="31"/>
        <v>83</v>
      </c>
      <c r="N232" s="59">
        <f t="shared" si="26"/>
        <v>1</v>
      </c>
      <c r="O232" s="60">
        <f t="shared" si="25"/>
        <v>232</v>
      </c>
      <c r="P232" s="65"/>
    </row>
    <row r="233" spans="3:16">
      <c r="C233" s="83" t="s">
        <v>59</v>
      </c>
      <c r="D233" s="75"/>
      <c r="E233" s="75"/>
      <c r="F233" s="81" t="s">
        <v>151</v>
      </c>
      <c r="G233" s="55" t="s">
        <v>248</v>
      </c>
      <c r="H233" s="55" t="s">
        <v>124</v>
      </c>
      <c r="I233" s="59">
        <v>18.2</v>
      </c>
      <c r="J233" s="60" t="s">
        <v>249</v>
      </c>
      <c r="K233" s="63" t="str">
        <f t="shared" si="29"/>
        <v>XGF-AD16AInput</v>
      </c>
      <c r="L233" s="59">
        <f t="shared" si="30"/>
        <v>84</v>
      </c>
      <c r="M233" s="59">
        <f t="shared" si="31"/>
        <v>83</v>
      </c>
      <c r="N233" s="59">
        <f t="shared" si="26"/>
        <v>1</v>
      </c>
      <c r="O233" s="60">
        <f t="shared" si="25"/>
        <v>233</v>
      </c>
      <c r="P233" s="65"/>
    </row>
    <row r="234" spans="3:16">
      <c r="C234" s="83" t="s">
        <v>59</v>
      </c>
      <c r="D234" s="75"/>
      <c r="E234" s="75"/>
      <c r="F234" s="81" t="s">
        <v>151</v>
      </c>
      <c r="G234" s="55" t="s">
        <v>250</v>
      </c>
      <c r="H234" s="55" t="s">
        <v>124</v>
      </c>
      <c r="I234" s="59">
        <v>18.3</v>
      </c>
      <c r="J234" s="60" t="s">
        <v>251</v>
      </c>
      <c r="K234" s="63" t="str">
        <f t="shared" si="29"/>
        <v>XGF-AD16AInput</v>
      </c>
      <c r="L234" s="59">
        <f t="shared" si="30"/>
        <v>84</v>
      </c>
      <c r="M234" s="59">
        <f t="shared" si="31"/>
        <v>83</v>
      </c>
      <c r="N234" s="59">
        <f t="shared" si="26"/>
        <v>1</v>
      </c>
      <c r="O234" s="60">
        <f t="shared" si="25"/>
        <v>234</v>
      </c>
      <c r="P234" s="65"/>
    </row>
    <row r="235" spans="3:16">
      <c r="C235" s="83" t="s">
        <v>59</v>
      </c>
      <c r="D235" s="75"/>
      <c r="E235" s="75"/>
      <c r="F235" s="81" t="s">
        <v>151</v>
      </c>
      <c r="G235" s="55" t="s">
        <v>252</v>
      </c>
      <c r="H235" s="55" t="s">
        <v>124</v>
      </c>
      <c r="I235" s="59">
        <v>18.399999999999999</v>
      </c>
      <c r="J235" s="60" t="s">
        <v>253</v>
      </c>
      <c r="K235" s="63" t="str">
        <f t="shared" si="29"/>
        <v>XGF-AD16AInput</v>
      </c>
      <c r="L235" s="59">
        <f t="shared" si="30"/>
        <v>84</v>
      </c>
      <c r="M235" s="59">
        <f t="shared" si="31"/>
        <v>83</v>
      </c>
      <c r="N235" s="59">
        <f t="shared" si="26"/>
        <v>1</v>
      </c>
      <c r="O235" s="60">
        <f t="shared" si="25"/>
        <v>235</v>
      </c>
      <c r="P235" s="65"/>
    </row>
    <row r="236" spans="3:16">
      <c r="C236" s="83" t="s">
        <v>59</v>
      </c>
      <c r="D236" s="75"/>
      <c r="E236" s="75"/>
      <c r="F236" s="81" t="s">
        <v>151</v>
      </c>
      <c r="G236" s="55" t="s">
        <v>254</v>
      </c>
      <c r="H236" s="55" t="s">
        <v>124</v>
      </c>
      <c r="I236" s="59">
        <v>18.5</v>
      </c>
      <c r="J236" s="60" t="s">
        <v>255</v>
      </c>
      <c r="K236" s="63" t="str">
        <f t="shared" si="29"/>
        <v>XGF-AD16AInput</v>
      </c>
      <c r="L236" s="59">
        <f t="shared" si="30"/>
        <v>84</v>
      </c>
      <c r="M236" s="59">
        <f t="shared" si="31"/>
        <v>83</v>
      </c>
      <c r="N236" s="59">
        <f t="shared" si="26"/>
        <v>1</v>
      </c>
      <c r="O236" s="60">
        <f t="shared" si="25"/>
        <v>236</v>
      </c>
      <c r="P236" s="65"/>
    </row>
    <row r="237" spans="3:16">
      <c r="C237" s="83" t="s">
        <v>59</v>
      </c>
      <c r="D237" s="75"/>
      <c r="E237" s="75"/>
      <c r="F237" s="81" t="s">
        <v>151</v>
      </c>
      <c r="G237" s="55" t="s">
        <v>256</v>
      </c>
      <c r="H237" s="55" t="s">
        <v>124</v>
      </c>
      <c r="I237" s="59">
        <v>18.600000000000001</v>
      </c>
      <c r="J237" s="60" t="s">
        <v>257</v>
      </c>
      <c r="K237" s="63" t="str">
        <f t="shared" si="29"/>
        <v>XGF-AD16AInput</v>
      </c>
      <c r="L237" s="59">
        <f t="shared" si="30"/>
        <v>84</v>
      </c>
      <c r="M237" s="59">
        <f t="shared" si="31"/>
        <v>83</v>
      </c>
      <c r="N237" s="59">
        <f t="shared" si="26"/>
        <v>1</v>
      </c>
      <c r="O237" s="60">
        <f t="shared" si="25"/>
        <v>237</v>
      </c>
      <c r="P237" s="65"/>
    </row>
    <row r="238" spans="3:16">
      <c r="C238" s="83" t="s">
        <v>59</v>
      </c>
      <c r="D238" s="75"/>
      <c r="E238" s="75"/>
      <c r="F238" s="81" t="s">
        <v>151</v>
      </c>
      <c r="G238" s="55" t="s">
        <v>258</v>
      </c>
      <c r="H238" s="55" t="s">
        <v>124</v>
      </c>
      <c r="I238" s="59">
        <v>18.7</v>
      </c>
      <c r="J238" s="60" t="s">
        <v>259</v>
      </c>
      <c r="K238" s="63" t="str">
        <f t="shared" si="29"/>
        <v>XGF-AD16AInput</v>
      </c>
      <c r="L238" s="59">
        <f t="shared" si="30"/>
        <v>84</v>
      </c>
      <c r="M238" s="59">
        <f t="shared" si="31"/>
        <v>83</v>
      </c>
      <c r="N238" s="59">
        <f t="shared" si="26"/>
        <v>1</v>
      </c>
      <c r="O238" s="60">
        <f t="shared" si="25"/>
        <v>238</v>
      </c>
      <c r="P238" s="65"/>
    </row>
    <row r="239" spans="3:16">
      <c r="C239" s="83" t="s">
        <v>59</v>
      </c>
      <c r="D239" s="75"/>
      <c r="E239" s="75"/>
      <c r="F239" s="81" t="s">
        <v>151</v>
      </c>
      <c r="G239" s="55" t="s">
        <v>260</v>
      </c>
      <c r="H239" s="55" t="s">
        <v>124</v>
      </c>
      <c r="I239" s="59">
        <v>18.8</v>
      </c>
      <c r="J239" s="60" t="s">
        <v>261</v>
      </c>
      <c r="K239" s="63" t="str">
        <f t="shared" si="29"/>
        <v>XGF-AD16AInput</v>
      </c>
      <c r="L239" s="59">
        <f t="shared" si="30"/>
        <v>84</v>
      </c>
      <c r="M239" s="59">
        <f t="shared" si="31"/>
        <v>83</v>
      </c>
      <c r="N239" s="59">
        <f t="shared" si="26"/>
        <v>1</v>
      </c>
      <c r="O239" s="60">
        <f t="shared" si="25"/>
        <v>239</v>
      </c>
      <c r="P239" s="65"/>
    </row>
    <row r="240" spans="3:16">
      <c r="C240" s="83" t="s">
        <v>59</v>
      </c>
      <c r="D240" s="75"/>
      <c r="E240" s="75"/>
      <c r="F240" s="81" t="s">
        <v>151</v>
      </c>
      <c r="G240" s="55" t="s">
        <v>262</v>
      </c>
      <c r="H240" s="55" t="s">
        <v>124</v>
      </c>
      <c r="I240" s="59">
        <v>18.899999999999999</v>
      </c>
      <c r="J240" s="60" t="s">
        <v>263</v>
      </c>
      <c r="K240" s="63" t="str">
        <f t="shared" si="29"/>
        <v>XGF-AD16AInput</v>
      </c>
      <c r="L240" s="59">
        <f t="shared" si="30"/>
        <v>84</v>
      </c>
      <c r="M240" s="59">
        <f t="shared" si="31"/>
        <v>83</v>
      </c>
      <c r="N240" s="59">
        <f t="shared" si="26"/>
        <v>1</v>
      </c>
      <c r="O240" s="60">
        <f t="shared" si="25"/>
        <v>240</v>
      </c>
      <c r="P240" s="65"/>
    </row>
    <row r="241" spans="3:16">
      <c r="C241" s="83" t="s">
        <v>59</v>
      </c>
      <c r="D241" s="75"/>
      <c r="E241" s="75"/>
      <c r="F241" s="81" t="s">
        <v>151</v>
      </c>
      <c r="G241" s="55" t="s">
        <v>264</v>
      </c>
      <c r="H241" s="55" t="s">
        <v>124</v>
      </c>
      <c r="I241" s="59" t="s">
        <v>265</v>
      </c>
      <c r="J241" s="60" t="s">
        <v>266</v>
      </c>
      <c r="K241" s="63" t="str">
        <f t="shared" si="29"/>
        <v>XGF-AD16AInput</v>
      </c>
      <c r="L241" s="59">
        <f t="shared" si="30"/>
        <v>84</v>
      </c>
      <c r="M241" s="59">
        <f t="shared" si="31"/>
        <v>83</v>
      </c>
      <c r="N241" s="59">
        <f t="shared" si="26"/>
        <v>1</v>
      </c>
      <c r="O241" s="60">
        <f t="shared" si="25"/>
        <v>241</v>
      </c>
      <c r="P241" s="65"/>
    </row>
    <row r="242" spans="3:16">
      <c r="C242" s="83" t="s">
        <v>59</v>
      </c>
      <c r="D242" s="75"/>
      <c r="E242" s="75"/>
      <c r="F242" s="81" t="s">
        <v>151</v>
      </c>
      <c r="G242" s="55" t="s">
        <v>267</v>
      </c>
      <c r="H242" s="55" t="s">
        <v>124</v>
      </c>
      <c r="I242" s="59" t="s">
        <v>268</v>
      </c>
      <c r="J242" s="60" t="s">
        <v>269</v>
      </c>
      <c r="K242" s="63" t="str">
        <f t="shared" si="29"/>
        <v>XGF-AD16AInput</v>
      </c>
      <c r="L242" s="59">
        <f t="shared" si="30"/>
        <v>84</v>
      </c>
      <c r="M242" s="59">
        <f t="shared" si="31"/>
        <v>83</v>
      </c>
      <c r="N242" s="59">
        <f t="shared" si="26"/>
        <v>1</v>
      </c>
      <c r="O242" s="60">
        <f t="shared" si="25"/>
        <v>242</v>
      </c>
      <c r="P242" s="65"/>
    </row>
    <row r="243" spans="3:16">
      <c r="C243" s="83" t="s">
        <v>59</v>
      </c>
      <c r="D243" s="75"/>
      <c r="E243" s="75"/>
      <c r="F243" s="81" t="s">
        <v>151</v>
      </c>
      <c r="G243" s="55" t="s">
        <v>270</v>
      </c>
      <c r="H243" s="55" t="s">
        <v>124</v>
      </c>
      <c r="I243" s="59" t="s">
        <v>271</v>
      </c>
      <c r="J243" s="60" t="s">
        <v>272</v>
      </c>
      <c r="K243" s="63" t="str">
        <f t="shared" si="29"/>
        <v>XGF-AD16AInput</v>
      </c>
      <c r="L243" s="59">
        <f t="shared" si="30"/>
        <v>84</v>
      </c>
      <c r="M243" s="59">
        <f t="shared" si="31"/>
        <v>83</v>
      </c>
      <c r="N243" s="59">
        <f t="shared" si="26"/>
        <v>1</v>
      </c>
      <c r="O243" s="60">
        <f t="shared" si="25"/>
        <v>243</v>
      </c>
      <c r="P243" s="65"/>
    </row>
    <row r="244" spans="3:16">
      <c r="C244" s="83" t="s">
        <v>59</v>
      </c>
      <c r="D244" s="75"/>
      <c r="E244" s="75"/>
      <c r="F244" s="81" t="s">
        <v>151</v>
      </c>
      <c r="G244" s="55" t="s">
        <v>273</v>
      </c>
      <c r="H244" s="55" t="s">
        <v>124</v>
      </c>
      <c r="I244" s="59" t="s">
        <v>274</v>
      </c>
      <c r="J244" s="60" t="s">
        <v>275</v>
      </c>
      <c r="K244" s="63" t="str">
        <f t="shared" si="29"/>
        <v>XGF-AD16AInput</v>
      </c>
      <c r="L244" s="59">
        <f t="shared" si="30"/>
        <v>84</v>
      </c>
      <c r="M244" s="59">
        <f t="shared" si="31"/>
        <v>83</v>
      </c>
      <c r="N244" s="59">
        <f t="shared" si="26"/>
        <v>1</v>
      </c>
      <c r="O244" s="60">
        <f t="shared" si="25"/>
        <v>244</v>
      </c>
      <c r="P244" s="65"/>
    </row>
    <row r="245" spans="3:16">
      <c r="C245" s="83" t="s">
        <v>59</v>
      </c>
      <c r="D245" s="75"/>
      <c r="E245" s="75"/>
      <c r="F245" s="81" t="s">
        <v>151</v>
      </c>
      <c r="G245" s="55" t="s">
        <v>276</v>
      </c>
      <c r="H245" s="55" t="s">
        <v>124</v>
      </c>
      <c r="I245" s="59" t="s">
        <v>277</v>
      </c>
      <c r="J245" s="60" t="s">
        <v>278</v>
      </c>
      <c r="K245" s="63" t="str">
        <f t="shared" si="29"/>
        <v>XGF-AD16AInput</v>
      </c>
      <c r="L245" s="59">
        <f t="shared" si="30"/>
        <v>84</v>
      </c>
      <c r="M245" s="59">
        <f t="shared" si="31"/>
        <v>83</v>
      </c>
      <c r="N245" s="59">
        <f t="shared" si="26"/>
        <v>1</v>
      </c>
      <c r="O245" s="60">
        <f t="shared" si="25"/>
        <v>245</v>
      </c>
      <c r="P245" s="65"/>
    </row>
    <row r="246" spans="3:16">
      <c r="C246" s="83" t="s">
        <v>59</v>
      </c>
      <c r="D246" s="75"/>
      <c r="E246" s="75"/>
      <c r="F246" s="81" t="s">
        <v>151</v>
      </c>
      <c r="G246" s="55" t="s">
        <v>279</v>
      </c>
      <c r="H246" s="55" t="s">
        <v>124</v>
      </c>
      <c r="I246" s="59" t="s">
        <v>280</v>
      </c>
      <c r="J246" s="60" t="s">
        <v>281</v>
      </c>
      <c r="K246" s="63" t="str">
        <f t="shared" si="29"/>
        <v>XGF-AD16AInput</v>
      </c>
      <c r="L246" s="59">
        <f t="shared" si="30"/>
        <v>84</v>
      </c>
      <c r="M246" s="59">
        <f t="shared" si="31"/>
        <v>83</v>
      </c>
      <c r="N246" s="59">
        <f t="shared" si="26"/>
        <v>1</v>
      </c>
      <c r="O246" s="60">
        <f t="shared" si="25"/>
        <v>246</v>
      </c>
      <c r="P246" s="65"/>
    </row>
    <row r="247" spans="3:16">
      <c r="C247" s="83" t="s">
        <v>59</v>
      </c>
      <c r="D247" s="75"/>
      <c r="E247" s="75"/>
      <c r="F247" s="81" t="s">
        <v>151</v>
      </c>
      <c r="G247" s="55" t="s">
        <v>282</v>
      </c>
      <c r="H247" s="55" t="s">
        <v>124</v>
      </c>
      <c r="I247" s="59">
        <v>19</v>
      </c>
      <c r="J247" s="60" t="s">
        <v>283</v>
      </c>
      <c r="K247" s="63" t="str">
        <f t="shared" si="29"/>
        <v>XGF-AD16AInput</v>
      </c>
      <c r="L247" s="59">
        <f t="shared" si="30"/>
        <v>84</v>
      </c>
      <c r="M247" s="59">
        <f t="shared" si="31"/>
        <v>83</v>
      </c>
      <c r="N247" s="59">
        <f t="shared" si="26"/>
        <v>1</v>
      </c>
      <c r="O247" s="60">
        <f t="shared" si="25"/>
        <v>247</v>
      </c>
      <c r="P247" s="65"/>
    </row>
    <row r="248" spans="3:16">
      <c r="C248" s="83" t="s">
        <v>59</v>
      </c>
      <c r="D248" s="75"/>
      <c r="E248" s="75"/>
      <c r="F248" s="81" t="s">
        <v>151</v>
      </c>
      <c r="G248" s="55" t="s">
        <v>284</v>
      </c>
      <c r="H248" s="55" t="s">
        <v>124</v>
      </c>
      <c r="I248" s="59">
        <v>20</v>
      </c>
      <c r="J248" s="60" t="s">
        <v>285</v>
      </c>
      <c r="K248" s="63" t="str">
        <f t="shared" si="29"/>
        <v>XGF-AD16AInput</v>
      </c>
      <c r="L248" s="59">
        <f t="shared" si="30"/>
        <v>84</v>
      </c>
      <c r="M248" s="59">
        <f t="shared" si="31"/>
        <v>83</v>
      </c>
      <c r="N248" s="59">
        <f t="shared" si="26"/>
        <v>1</v>
      </c>
      <c r="O248" s="60">
        <f t="shared" si="25"/>
        <v>248</v>
      </c>
      <c r="P248" s="65"/>
    </row>
    <row r="249" spans="3:16">
      <c r="C249" s="83" t="s">
        <v>59</v>
      </c>
      <c r="D249" s="75"/>
      <c r="E249" s="75"/>
      <c r="F249" s="81" t="s">
        <v>151</v>
      </c>
      <c r="G249" s="55" t="s">
        <v>286</v>
      </c>
      <c r="H249" s="55" t="s">
        <v>124</v>
      </c>
      <c r="I249" s="59">
        <v>20.100000000000001</v>
      </c>
      <c r="J249" s="60" t="s">
        <v>287</v>
      </c>
      <c r="K249" s="63" t="str">
        <f t="shared" si="29"/>
        <v>XGF-AD16AInput</v>
      </c>
      <c r="L249" s="59">
        <f t="shared" si="30"/>
        <v>84</v>
      </c>
      <c r="M249" s="59">
        <f t="shared" si="31"/>
        <v>83</v>
      </c>
      <c r="N249" s="59">
        <f t="shared" si="26"/>
        <v>1</v>
      </c>
      <c r="O249" s="60">
        <f t="shared" si="25"/>
        <v>249</v>
      </c>
      <c r="P249" s="65"/>
    </row>
    <row r="250" spans="3:16">
      <c r="C250" s="83" t="s">
        <v>59</v>
      </c>
      <c r="D250" s="75"/>
      <c r="E250" s="75"/>
      <c r="F250" s="81" t="s">
        <v>151</v>
      </c>
      <c r="G250" s="55" t="s">
        <v>288</v>
      </c>
      <c r="H250" s="55" t="s">
        <v>124</v>
      </c>
      <c r="I250" s="59">
        <v>20.2</v>
      </c>
      <c r="J250" s="60" t="s">
        <v>289</v>
      </c>
      <c r="K250" s="63" t="str">
        <f t="shared" si="29"/>
        <v>XGF-AD16AInput</v>
      </c>
      <c r="L250" s="59">
        <f t="shared" si="30"/>
        <v>84</v>
      </c>
      <c r="M250" s="59">
        <f t="shared" si="31"/>
        <v>83</v>
      </c>
      <c r="N250" s="59">
        <f t="shared" si="26"/>
        <v>1</v>
      </c>
      <c r="O250" s="60">
        <f t="shared" si="25"/>
        <v>250</v>
      </c>
      <c r="P250" s="65"/>
    </row>
    <row r="251" spans="3:16">
      <c r="C251" s="83" t="s">
        <v>59</v>
      </c>
      <c r="D251" s="75"/>
      <c r="E251" s="75"/>
      <c r="F251" s="81" t="s">
        <v>151</v>
      </c>
      <c r="G251" s="55" t="s">
        <v>290</v>
      </c>
      <c r="H251" s="55" t="s">
        <v>124</v>
      </c>
      <c r="I251" s="59">
        <v>20.3</v>
      </c>
      <c r="J251" s="60" t="s">
        <v>291</v>
      </c>
      <c r="K251" s="63" t="str">
        <f t="shared" si="29"/>
        <v>XGF-AD16AInput</v>
      </c>
      <c r="L251" s="59">
        <f t="shared" si="30"/>
        <v>84</v>
      </c>
      <c r="M251" s="59">
        <f t="shared" si="31"/>
        <v>83</v>
      </c>
      <c r="N251" s="59">
        <f t="shared" si="26"/>
        <v>1</v>
      </c>
      <c r="O251" s="60">
        <f t="shared" si="25"/>
        <v>251</v>
      </c>
      <c r="P251" s="65"/>
    </row>
    <row r="252" spans="3:16">
      <c r="C252" s="83" t="s">
        <v>59</v>
      </c>
      <c r="D252" s="75"/>
      <c r="E252" s="75"/>
      <c r="F252" s="81" t="s">
        <v>151</v>
      </c>
      <c r="G252" s="55" t="s">
        <v>292</v>
      </c>
      <c r="H252" s="55" t="s">
        <v>124</v>
      </c>
      <c r="I252" s="59">
        <v>20.399999999999999</v>
      </c>
      <c r="J252" s="60" t="s">
        <v>293</v>
      </c>
      <c r="K252" s="63" t="str">
        <f t="shared" si="29"/>
        <v>XGF-AD16AInput</v>
      </c>
      <c r="L252" s="59">
        <f t="shared" si="30"/>
        <v>84</v>
      </c>
      <c r="M252" s="59">
        <f t="shared" si="31"/>
        <v>83</v>
      </c>
      <c r="N252" s="59">
        <f t="shared" si="26"/>
        <v>1</v>
      </c>
      <c r="O252" s="60">
        <f t="shared" si="25"/>
        <v>252</v>
      </c>
      <c r="P252" s="65"/>
    </row>
    <row r="253" spans="3:16">
      <c r="C253" s="83" t="s">
        <v>59</v>
      </c>
      <c r="D253" s="75"/>
      <c r="E253" s="75"/>
      <c r="F253" s="81" t="s">
        <v>151</v>
      </c>
      <c r="G253" s="55" t="s">
        <v>294</v>
      </c>
      <c r="H253" s="55" t="s">
        <v>124</v>
      </c>
      <c r="I253" s="59">
        <v>20.5</v>
      </c>
      <c r="J253" s="60" t="s">
        <v>295</v>
      </c>
      <c r="K253" s="63" t="str">
        <f t="shared" si="29"/>
        <v>XGF-AD16AInput</v>
      </c>
      <c r="L253" s="59">
        <f t="shared" si="30"/>
        <v>84</v>
      </c>
      <c r="M253" s="59">
        <f t="shared" si="31"/>
        <v>83</v>
      </c>
      <c r="N253" s="59">
        <f t="shared" si="26"/>
        <v>1</v>
      </c>
      <c r="O253" s="60">
        <f t="shared" si="25"/>
        <v>253</v>
      </c>
      <c r="P253" s="65"/>
    </row>
    <row r="254" spans="3:16">
      <c r="C254" s="83" t="s">
        <v>59</v>
      </c>
      <c r="D254" s="75"/>
      <c r="E254" s="75"/>
      <c r="F254" s="81" t="s">
        <v>151</v>
      </c>
      <c r="G254" s="55" t="s">
        <v>296</v>
      </c>
      <c r="H254" s="55" t="s">
        <v>124</v>
      </c>
      <c r="I254" s="59">
        <v>20.6</v>
      </c>
      <c r="J254" s="60" t="s">
        <v>297</v>
      </c>
      <c r="K254" s="63" t="str">
        <f t="shared" si="29"/>
        <v>XGF-AD16AInput</v>
      </c>
      <c r="L254" s="59">
        <f t="shared" si="30"/>
        <v>84</v>
      </c>
      <c r="M254" s="59">
        <f t="shared" si="31"/>
        <v>83</v>
      </c>
      <c r="N254" s="59">
        <f t="shared" si="26"/>
        <v>1</v>
      </c>
      <c r="O254" s="60">
        <f t="shared" si="25"/>
        <v>254</v>
      </c>
      <c r="P254" s="65"/>
    </row>
    <row r="255" spans="3:16">
      <c r="C255" s="83" t="s">
        <v>59</v>
      </c>
      <c r="D255" s="75"/>
      <c r="E255" s="75"/>
      <c r="F255" s="81" t="s">
        <v>151</v>
      </c>
      <c r="G255" s="55" t="s">
        <v>298</v>
      </c>
      <c r="H255" s="55" t="s">
        <v>124</v>
      </c>
      <c r="I255" s="59">
        <v>20.7</v>
      </c>
      <c r="J255" s="60" t="s">
        <v>299</v>
      </c>
      <c r="K255" s="63" t="str">
        <f t="shared" si="29"/>
        <v>XGF-AD16AInput</v>
      </c>
      <c r="L255" s="59">
        <f t="shared" si="30"/>
        <v>84</v>
      </c>
      <c r="M255" s="59">
        <f t="shared" si="31"/>
        <v>83</v>
      </c>
      <c r="N255" s="59">
        <f t="shared" si="26"/>
        <v>1</v>
      </c>
      <c r="O255" s="60">
        <f t="shared" si="25"/>
        <v>255</v>
      </c>
      <c r="P255" s="65"/>
    </row>
    <row r="256" spans="3:16">
      <c r="C256" s="83" t="s">
        <v>59</v>
      </c>
      <c r="D256" s="75"/>
      <c r="E256" s="75"/>
      <c r="F256" s="81" t="s">
        <v>151</v>
      </c>
      <c r="G256" s="55" t="s">
        <v>300</v>
      </c>
      <c r="H256" s="55" t="s">
        <v>124</v>
      </c>
      <c r="I256" s="59">
        <v>20.8</v>
      </c>
      <c r="J256" s="60" t="s">
        <v>301</v>
      </c>
      <c r="K256" s="63" t="str">
        <f t="shared" si="29"/>
        <v>XGF-AD16AInput</v>
      </c>
      <c r="L256" s="59">
        <f t="shared" si="30"/>
        <v>84</v>
      </c>
      <c r="M256" s="59">
        <f t="shared" si="31"/>
        <v>83</v>
      </c>
      <c r="N256" s="59">
        <f t="shared" si="26"/>
        <v>1</v>
      </c>
      <c r="O256" s="60">
        <f t="shared" si="25"/>
        <v>256</v>
      </c>
      <c r="P256" s="65"/>
    </row>
    <row r="257" spans="3:16">
      <c r="C257" s="83" t="s">
        <v>59</v>
      </c>
      <c r="D257" s="75"/>
      <c r="E257" s="75"/>
      <c r="F257" s="81" t="s">
        <v>151</v>
      </c>
      <c r="G257" s="55" t="s">
        <v>302</v>
      </c>
      <c r="H257" s="55" t="s">
        <v>124</v>
      </c>
      <c r="I257" s="59">
        <v>20.9</v>
      </c>
      <c r="J257" s="60" t="s">
        <v>303</v>
      </c>
      <c r="K257" s="63" t="str">
        <f t="shared" si="29"/>
        <v>XGF-AD16AInput</v>
      </c>
      <c r="L257" s="59">
        <f t="shared" si="30"/>
        <v>84</v>
      </c>
      <c r="M257" s="59">
        <f t="shared" si="31"/>
        <v>83</v>
      </c>
      <c r="N257" s="59">
        <f t="shared" si="26"/>
        <v>1</v>
      </c>
      <c r="O257" s="60">
        <f t="shared" si="25"/>
        <v>257</v>
      </c>
      <c r="P257" s="65"/>
    </row>
    <row r="258" spans="3:16">
      <c r="C258" s="83" t="s">
        <v>59</v>
      </c>
      <c r="D258" s="75"/>
      <c r="E258" s="75"/>
      <c r="F258" s="81" t="s">
        <v>151</v>
      </c>
      <c r="G258" s="55" t="s">
        <v>304</v>
      </c>
      <c r="H258" s="55" t="s">
        <v>124</v>
      </c>
      <c r="I258" s="59" t="s">
        <v>305</v>
      </c>
      <c r="J258" s="60" t="s">
        <v>306</v>
      </c>
      <c r="K258" s="63" t="str">
        <f t="shared" si="29"/>
        <v>XGF-AD16AInput</v>
      </c>
      <c r="L258" s="59">
        <f t="shared" si="30"/>
        <v>84</v>
      </c>
      <c r="M258" s="59">
        <f t="shared" si="31"/>
        <v>83</v>
      </c>
      <c r="N258" s="59">
        <f t="shared" si="26"/>
        <v>1</v>
      </c>
      <c r="O258" s="60">
        <f t="shared" ref="O258:O321" si="32">ROW(C258)</f>
        <v>258</v>
      </c>
      <c r="P258" s="65"/>
    </row>
    <row r="259" spans="3:16">
      <c r="C259" s="83" t="s">
        <v>59</v>
      </c>
      <c r="D259" s="75"/>
      <c r="E259" s="75"/>
      <c r="F259" s="81" t="s">
        <v>151</v>
      </c>
      <c r="G259" s="55" t="s">
        <v>307</v>
      </c>
      <c r="H259" s="55" t="s">
        <v>124</v>
      </c>
      <c r="I259" s="59" t="s">
        <v>308</v>
      </c>
      <c r="J259" s="60" t="s">
        <v>309</v>
      </c>
      <c r="K259" s="63" t="str">
        <f t="shared" si="29"/>
        <v>XGF-AD16AInput</v>
      </c>
      <c r="L259" s="59">
        <f t="shared" si="30"/>
        <v>84</v>
      </c>
      <c r="M259" s="59">
        <f t="shared" si="31"/>
        <v>83</v>
      </c>
      <c r="N259" s="59">
        <f t="shared" ref="N259:N322" si="33">L259-M259</f>
        <v>1</v>
      </c>
      <c r="O259" s="60">
        <f t="shared" si="32"/>
        <v>259</v>
      </c>
      <c r="P259" s="65"/>
    </row>
    <row r="260" spans="3:16">
      <c r="C260" s="83" t="s">
        <v>59</v>
      </c>
      <c r="D260" s="75"/>
      <c r="E260" s="75"/>
      <c r="F260" s="81" t="s">
        <v>151</v>
      </c>
      <c r="G260" s="55" t="s">
        <v>310</v>
      </c>
      <c r="H260" s="55" t="s">
        <v>124</v>
      </c>
      <c r="I260" s="59" t="s">
        <v>311</v>
      </c>
      <c r="J260" s="60" t="s">
        <v>312</v>
      </c>
      <c r="K260" s="63" t="str">
        <f t="shared" si="29"/>
        <v>XGF-AD16AInput</v>
      </c>
      <c r="L260" s="59">
        <f t="shared" si="30"/>
        <v>84</v>
      </c>
      <c r="M260" s="59">
        <f t="shared" si="31"/>
        <v>83</v>
      </c>
      <c r="N260" s="59">
        <f t="shared" si="33"/>
        <v>1</v>
      </c>
      <c r="O260" s="60">
        <f t="shared" si="32"/>
        <v>260</v>
      </c>
      <c r="P260" s="65"/>
    </row>
    <row r="261" spans="3:16">
      <c r="C261" s="83" t="s">
        <v>59</v>
      </c>
      <c r="D261" s="75"/>
      <c r="E261" s="75"/>
      <c r="F261" s="81" t="s">
        <v>151</v>
      </c>
      <c r="G261" s="55" t="s">
        <v>313</v>
      </c>
      <c r="H261" s="55" t="s">
        <v>124</v>
      </c>
      <c r="I261" s="59" t="s">
        <v>314</v>
      </c>
      <c r="J261" s="60" t="s">
        <v>315</v>
      </c>
      <c r="K261" s="63" t="str">
        <f t="shared" si="29"/>
        <v>XGF-AD16AInput</v>
      </c>
      <c r="L261" s="59">
        <f t="shared" ref="L261:L279" si="34">COUNTIF($C$2:$C$2062,C261)</f>
        <v>84</v>
      </c>
      <c r="M261" s="59">
        <f t="shared" ref="M261:M279" si="35">COUNTIF($K$2:$K$2062,K261)</f>
        <v>83</v>
      </c>
      <c r="N261" s="59">
        <f t="shared" si="33"/>
        <v>1</v>
      </c>
      <c r="O261" s="60">
        <f t="shared" si="32"/>
        <v>261</v>
      </c>
      <c r="P261" s="65"/>
    </row>
    <row r="262" spans="3:16">
      <c r="C262" s="83" t="s">
        <v>59</v>
      </c>
      <c r="D262" s="75"/>
      <c r="E262" s="75"/>
      <c r="F262" s="81" t="s">
        <v>151</v>
      </c>
      <c r="G262" s="55" t="s">
        <v>316</v>
      </c>
      <c r="H262" s="55" t="s">
        <v>124</v>
      </c>
      <c r="I262" s="59" t="s">
        <v>317</v>
      </c>
      <c r="J262" s="60" t="s">
        <v>318</v>
      </c>
      <c r="K262" s="63" t="str">
        <f t="shared" si="29"/>
        <v>XGF-AD16AInput</v>
      </c>
      <c r="L262" s="59">
        <f t="shared" si="34"/>
        <v>84</v>
      </c>
      <c r="M262" s="59">
        <f t="shared" si="35"/>
        <v>83</v>
      </c>
      <c r="N262" s="59">
        <f t="shared" si="33"/>
        <v>1</v>
      </c>
      <c r="O262" s="60">
        <f t="shared" si="32"/>
        <v>262</v>
      </c>
      <c r="P262" s="65"/>
    </row>
    <row r="263" spans="3:16">
      <c r="C263" s="83" t="s">
        <v>59</v>
      </c>
      <c r="D263" s="75"/>
      <c r="E263" s="75"/>
      <c r="F263" s="81" t="s">
        <v>151</v>
      </c>
      <c r="G263" s="55" t="s">
        <v>319</v>
      </c>
      <c r="H263" s="55" t="s">
        <v>124</v>
      </c>
      <c r="I263" s="59" t="s">
        <v>320</v>
      </c>
      <c r="J263" s="60" t="s">
        <v>321</v>
      </c>
      <c r="K263" s="63" t="str">
        <f t="shared" si="29"/>
        <v>XGF-AD16AInput</v>
      </c>
      <c r="L263" s="59">
        <f t="shared" si="34"/>
        <v>84</v>
      </c>
      <c r="M263" s="59">
        <f t="shared" si="35"/>
        <v>83</v>
      </c>
      <c r="N263" s="59">
        <f t="shared" si="33"/>
        <v>1</v>
      </c>
      <c r="O263" s="60">
        <f t="shared" si="32"/>
        <v>263</v>
      </c>
      <c r="P263" s="65"/>
    </row>
    <row r="264" spans="3:16">
      <c r="C264" s="83" t="s">
        <v>59</v>
      </c>
      <c r="D264" s="75"/>
      <c r="E264" s="75"/>
      <c r="F264" s="81" t="s">
        <v>151</v>
      </c>
      <c r="G264" s="55" t="s">
        <v>322</v>
      </c>
      <c r="H264" s="55" t="s">
        <v>124</v>
      </c>
      <c r="I264" s="59">
        <v>21</v>
      </c>
      <c r="J264" s="60" t="s">
        <v>323</v>
      </c>
      <c r="K264" s="63" t="str">
        <f t="shared" si="29"/>
        <v>XGF-AD16AInput</v>
      </c>
      <c r="L264" s="59">
        <f t="shared" si="34"/>
        <v>84</v>
      </c>
      <c r="M264" s="59">
        <f t="shared" si="35"/>
        <v>83</v>
      </c>
      <c r="N264" s="59">
        <f t="shared" si="33"/>
        <v>1</v>
      </c>
      <c r="O264" s="60">
        <f t="shared" si="32"/>
        <v>264</v>
      </c>
      <c r="P264" s="65"/>
    </row>
    <row r="265" spans="3:16">
      <c r="C265" s="83" t="s">
        <v>59</v>
      </c>
      <c r="D265" s="75"/>
      <c r="E265" s="75"/>
      <c r="F265" s="81" t="s">
        <v>151</v>
      </c>
      <c r="G265" s="55" t="s">
        <v>324</v>
      </c>
      <c r="H265" s="55" t="s">
        <v>124</v>
      </c>
      <c r="I265" s="59">
        <v>21.1</v>
      </c>
      <c r="J265" s="60" t="s">
        <v>325</v>
      </c>
      <c r="K265" s="63" t="str">
        <f t="shared" si="29"/>
        <v>XGF-AD16AInput</v>
      </c>
      <c r="L265" s="59">
        <f t="shared" si="34"/>
        <v>84</v>
      </c>
      <c r="M265" s="59">
        <f t="shared" si="35"/>
        <v>83</v>
      </c>
      <c r="N265" s="59">
        <f t="shared" si="33"/>
        <v>1</v>
      </c>
      <c r="O265" s="60">
        <f t="shared" si="32"/>
        <v>265</v>
      </c>
      <c r="P265" s="65"/>
    </row>
    <row r="266" spans="3:16">
      <c r="C266" s="83" t="s">
        <v>59</v>
      </c>
      <c r="D266" s="75"/>
      <c r="E266" s="75"/>
      <c r="F266" s="81" t="s">
        <v>151</v>
      </c>
      <c r="G266" s="55" t="s">
        <v>326</v>
      </c>
      <c r="H266" s="55" t="s">
        <v>124</v>
      </c>
      <c r="I266" s="59">
        <v>21.2</v>
      </c>
      <c r="J266" s="60" t="s">
        <v>327</v>
      </c>
      <c r="K266" s="63" t="str">
        <f t="shared" si="29"/>
        <v>XGF-AD16AInput</v>
      </c>
      <c r="L266" s="59">
        <f t="shared" si="34"/>
        <v>84</v>
      </c>
      <c r="M266" s="59">
        <f t="shared" si="35"/>
        <v>83</v>
      </c>
      <c r="N266" s="59">
        <f t="shared" si="33"/>
        <v>1</v>
      </c>
      <c r="O266" s="60">
        <f t="shared" si="32"/>
        <v>266</v>
      </c>
      <c r="P266" s="65"/>
    </row>
    <row r="267" spans="3:16">
      <c r="C267" s="83" t="s">
        <v>59</v>
      </c>
      <c r="D267" s="75"/>
      <c r="E267" s="75"/>
      <c r="F267" s="81" t="s">
        <v>151</v>
      </c>
      <c r="G267" s="55" t="s">
        <v>328</v>
      </c>
      <c r="H267" s="55" t="s">
        <v>124</v>
      </c>
      <c r="I267" s="59">
        <v>21.3</v>
      </c>
      <c r="J267" s="60" t="s">
        <v>329</v>
      </c>
      <c r="K267" s="63" t="str">
        <f t="shared" si="29"/>
        <v>XGF-AD16AInput</v>
      </c>
      <c r="L267" s="59">
        <f t="shared" si="34"/>
        <v>84</v>
      </c>
      <c r="M267" s="59">
        <f t="shared" si="35"/>
        <v>83</v>
      </c>
      <c r="N267" s="59">
        <f t="shared" si="33"/>
        <v>1</v>
      </c>
      <c r="O267" s="60">
        <f t="shared" si="32"/>
        <v>267</v>
      </c>
      <c r="P267" s="65"/>
    </row>
    <row r="268" spans="3:16">
      <c r="C268" s="83" t="s">
        <v>59</v>
      </c>
      <c r="D268" s="75"/>
      <c r="E268" s="75"/>
      <c r="F268" s="81" t="s">
        <v>151</v>
      </c>
      <c r="G268" s="55" t="s">
        <v>330</v>
      </c>
      <c r="H268" s="55" t="s">
        <v>124</v>
      </c>
      <c r="I268" s="59">
        <v>21.4</v>
      </c>
      <c r="J268" s="60" t="s">
        <v>331</v>
      </c>
      <c r="K268" s="63" t="str">
        <f t="shared" si="29"/>
        <v>XGF-AD16AInput</v>
      </c>
      <c r="L268" s="59">
        <f t="shared" si="34"/>
        <v>84</v>
      </c>
      <c r="M268" s="59">
        <f t="shared" si="35"/>
        <v>83</v>
      </c>
      <c r="N268" s="59">
        <f t="shared" si="33"/>
        <v>1</v>
      </c>
      <c r="O268" s="60">
        <f t="shared" si="32"/>
        <v>268</v>
      </c>
      <c r="P268" s="65"/>
    </row>
    <row r="269" spans="3:16">
      <c r="C269" s="83" t="s">
        <v>59</v>
      </c>
      <c r="D269" s="75"/>
      <c r="E269" s="75"/>
      <c r="F269" s="81" t="s">
        <v>151</v>
      </c>
      <c r="G269" s="55" t="s">
        <v>332</v>
      </c>
      <c r="H269" s="55" t="s">
        <v>124</v>
      </c>
      <c r="I269" s="59">
        <v>21.5</v>
      </c>
      <c r="J269" s="60" t="s">
        <v>333</v>
      </c>
      <c r="K269" s="63" t="str">
        <f t="shared" si="29"/>
        <v>XGF-AD16AInput</v>
      </c>
      <c r="L269" s="59">
        <f t="shared" si="34"/>
        <v>84</v>
      </c>
      <c r="M269" s="59">
        <f t="shared" si="35"/>
        <v>83</v>
      </c>
      <c r="N269" s="59">
        <f t="shared" si="33"/>
        <v>1</v>
      </c>
      <c r="O269" s="60">
        <f t="shared" si="32"/>
        <v>269</v>
      </c>
      <c r="P269" s="65"/>
    </row>
    <row r="270" spans="3:16">
      <c r="C270" s="83" t="s">
        <v>59</v>
      </c>
      <c r="D270" s="75"/>
      <c r="E270" s="75"/>
      <c r="F270" s="81" t="s">
        <v>151</v>
      </c>
      <c r="G270" s="55" t="s">
        <v>334</v>
      </c>
      <c r="H270" s="55" t="s">
        <v>124</v>
      </c>
      <c r="I270" s="59">
        <v>21.6</v>
      </c>
      <c r="J270" s="60" t="s">
        <v>335</v>
      </c>
      <c r="K270" s="63" t="str">
        <f t="shared" si="29"/>
        <v>XGF-AD16AInput</v>
      </c>
      <c r="L270" s="59">
        <f t="shared" si="34"/>
        <v>84</v>
      </c>
      <c r="M270" s="59">
        <f t="shared" si="35"/>
        <v>83</v>
      </c>
      <c r="N270" s="59">
        <f t="shared" si="33"/>
        <v>1</v>
      </c>
      <c r="O270" s="60">
        <f t="shared" si="32"/>
        <v>270</v>
      </c>
      <c r="P270" s="65"/>
    </row>
    <row r="271" spans="3:16">
      <c r="C271" s="83" t="s">
        <v>59</v>
      </c>
      <c r="D271" s="75"/>
      <c r="E271" s="75"/>
      <c r="F271" s="81" t="s">
        <v>151</v>
      </c>
      <c r="G271" s="55" t="s">
        <v>336</v>
      </c>
      <c r="H271" s="55" t="s">
        <v>124</v>
      </c>
      <c r="I271" s="59">
        <v>21.7</v>
      </c>
      <c r="J271" s="60" t="s">
        <v>337</v>
      </c>
      <c r="K271" s="63" t="str">
        <f t="shared" si="29"/>
        <v>XGF-AD16AInput</v>
      </c>
      <c r="L271" s="59">
        <f t="shared" si="34"/>
        <v>84</v>
      </c>
      <c r="M271" s="59">
        <f t="shared" si="35"/>
        <v>83</v>
      </c>
      <c r="N271" s="59">
        <f t="shared" si="33"/>
        <v>1</v>
      </c>
      <c r="O271" s="60">
        <f t="shared" si="32"/>
        <v>271</v>
      </c>
      <c r="P271" s="65"/>
    </row>
    <row r="272" spans="3:16">
      <c r="C272" s="83" t="s">
        <v>59</v>
      </c>
      <c r="D272" s="75"/>
      <c r="E272" s="75"/>
      <c r="F272" s="81" t="s">
        <v>151</v>
      </c>
      <c r="G272" s="55" t="s">
        <v>338</v>
      </c>
      <c r="H272" s="55" t="s">
        <v>124</v>
      </c>
      <c r="I272" s="59">
        <v>21.8</v>
      </c>
      <c r="J272" s="60" t="s">
        <v>339</v>
      </c>
      <c r="K272" s="63" t="str">
        <f t="shared" si="29"/>
        <v>XGF-AD16AInput</v>
      </c>
      <c r="L272" s="59">
        <f t="shared" si="34"/>
        <v>84</v>
      </c>
      <c r="M272" s="59">
        <f t="shared" si="35"/>
        <v>83</v>
      </c>
      <c r="N272" s="59">
        <f t="shared" si="33"/>
        <v>1</v>
      </c>
      <c r="O272" s="60">
        <f t="shared" si="32"/>
        <v>272</v>
      </c>
      <c r="P272" s="65"/>
    </row>
    <row r="273" spans="3:22">
      <c r="C273" s="83" t="s">
        <v>59</v>
      </c>
      <c r="D273" s="75"/>
      <c r="E273" s="75"/>
      <c r="F273" s="81" t="s">
        <v>151</v>
      </c>
      <c r="G273" s="55" t="s">
        <v>340</v>
      </c>
      <c r="H273" s="55" t="s">
        <v>124</v>
      </c>
      <c r="I273" s="59">
        <v>21.9</v>
      </c>
      <c r="J273" s="60" t="s">
        <v>341</v>
      </c>
      <c r="K273" s="63" t="str">
        <f t="shared" si="29"/>
        <v>XGF-AD16AInput</v>
      </c>
      <c r="L273" s="59">
        <f t="shared" si="34"/>
        <v>84</v>
      </c>
      <c r="M273" s="59">
        <f t="shared" si="35"/>
        <v>83</v>
      </c>
      <c r="N273" s="59">
        <f t="shared" si="33"/>
        <v>1</v>
      </c>
      <c r="O273" s="60">
        <f t="shared" si="32"/>
        <v>273</v>
      </c>
      <c r="P273" s="65"/>
    </row>
    <row r="274" spans="3:22">
      <c r="C274" s="83" t="s">
        <v>59</v>
      </c>
      <c r="D274" s="75"/>
      <c r="E274" s="75"/>
      <c r="F274" s="81" t="s">
        <v>151</v>
      </c>
      <c r="G274" s="55" t="s">
        <v>342</v>
      </c>
      <c r="H274" s="55" t="s">
        <v>124</v>
      </c>
      <c r="I274" s="59" t="s">
        <v>343</v>
      </c>
      <c r="J274" s="60" t="s">
        <v>344</v>
      </c>
      <c r="K274" s="63" t="str">
        <f t="shared" si="29"/>
        <v>XGF-AD16AInput</v>
      </c>
      <c r="L274" s="59">
        <f t="shared" si="34"/>
        <v>84</v>
      </c>
      <c r="M274" s="59">
        <f t="shared" si="35"/>
        <v>83</v>
      </c>
      <c r="N274" s="59">
        <f t="shared" si="33"/>
        <v>1</v>
      </c>
      <c r="O274" s="60">
        <f t="shared" si="32"/>
        <v>274</v>
      </c>
      <c r="P274" s="65"/>
    </row>
    <row r="275" spans="3:22">
      <c r="C275" s="83" t="s">
        <v>59</v>
      </c>
      <c r="D275" s="75"/>
      <c r="E275" s="75"/>
      <c r="F275" s="81" t="s">
        <v>151</v>
      </c>
      <c r="G275" s="55" t="s">
        <v>345</v>
      </c>
      <c r="H275" s="55" t="s">
        <v>124</v>
      </c>
      <c r="I275" s="59" t="s">
        <v>346</v>
      </c>
      <c r="J275" s="60" t="s">
        <v>347</v>
      </c>
      <c r="K275" s="63" t="str">
        <f t="shared" si="29"/>
        <v>XGF-AD16AInput</v>
      </c>
      <c r="L275" s="59">
        <f t="shared" si="34"/>
        <v>84</v>
      </c>
      <c r="M275" s="59">
        <f t="shared" si="35"/>
        <v>83</v>
      </c>
      <c r="N275" s="59">
        <f t="shared" si="33"/>
        <v>1</v>
      </c>
      <c r="O275" s="60">
        <f t="shared" si="32"/>
        <v>275</v>
      </c>
      <c r="P275" s="65"/>
    </row>
    <row r="276" spans="3:22">
      <c r="C276" s="83" t="s">
        <v>59</v>
      </c>
      <c r="D276" s="75"/>
      <c r="E276" s="75"/>
      <c r="F276" s="81" t="s">
        <v>151</v>
      </c>
      <c r="G276" s="55" t="s">
        <v>348</v>
      </c>
      <c r="H276" s="55" t="s">
        <v>124</v>
      </c>
      <c r="I276" s="59" t="s">
        <v>349</v>
      </c>
      <c r="J276" s="60" t="s">
        <v>350</v>
      </c>
      <c r="K276" s="63" t="str">
        <f t="shared" si="29"/>
        <v>XGF-AD16AInput</v>
      </c>
      <c r="L276" s="59">
        <f t="shared" si="34"/>
        <v>84</v>
      </c>
      <c r="M276" s="59">
        <f t="shared" si="35"/>
        <v>83</v>
      </c>
      <c r="N276" s="59">
        <f t="shared" si="33"/>
        <v>1</v>
      </c>
      <c r="O276" s="60">
        <f t="shared" si="32"/>
        <v>276</v>
      </c>
      <c r="P276" s="65"/>
    </row>
    <row r="277" spans="3:22">
      <c r="C277" s="83" t="s">
        <v>59</v>
      </c>
      <c r="D277" s="75"/>
      <c r="E277" s="75"/>
      <c r="F277" s="81" t="s">
        <v>151</v>
      </c>
      <c r="G277" s="55" t="s">
        <v>351</v>
      </c>
      <c r="H277" s="55" t="s">
        <v>124</v>
      </c>
      <c r="I277" s="59" t="s">
        <v>352</v>
      </c>
      <c r="J277" s="60" t="s">
        <v>353</v>
      </c>
      <c r="K277" s="63" t="str">
        <f t="shared" ref="K277:K340" si="36">C277&amp;F277</f>
        <v>XGF-AD16AInput</v>
      </c>
      <c r="L277" s="59">
        <f t="shared" si="34"/>
        <v>84</v>
      </c>
      <c r="M277" s="59">
        <f t="shared" si="35"/>
        <v>83</v>
      </c>
      <c r="N277" s="59">
        <f t="shared" si="33"/>
        <v>1</v>
      </c>
      <c r="O277" s="60">
        <f t="shared" si="32"/>
        <v>277</v>
      </c>
      <c r="P277" s="65"/>
    </row>
    <row r="278" spans="3:22">
      <c r="C278" s="83" t="s">
        <v>59</v>
      </c>
      <c r="D278" s="75"/>
      <c r="E278" s="75"/>
      <c r="F278" s="81" t="s">
        <v>151</v>
      </c>
      <c r="G278" s="55" t="s">
        <v>354</v>
      </c>
      <c r="H278" s="55" t="s">
        <v>124</v>
      </c>
      <c r="I278" s="59" t="s">
        <v>355</v>
      </c>
      <c r="J278" s="60" t="s">
        <v>356</v>
      </c>
      <c r="K278" s="63" t="str">
        <f t="shared" si="36"/>
        <v>XGF-AD16AInput</v>
      </c>
      <c r="L278" s="59">
        <f t="shared" si="34"/>
        <v>84</v>
      </c>
      <c r="M278" s="59">
        <f t="shared" si="35"/>
        <v>83</v>
      </c>
      <c r="N278" s="59">
        <f t="shared" si="33"/>
        <v>1</v>
      </c>
      <c r="O278" s="60">
        <f t="shared" si="32"/>
        <v>278</v>
      </c>
      <c r="P278" s="65"/>
    </row>
    <row r="279" spans="3:22">
      <c r="C279" s="83" t="s">
        <v>59</v>
      </c>
      <c r="D279" s="75"/>
      <c r="E279" s="75"/>
      <c r="F279" s="81" t="s">
        <v>151</v>
      </c>
      <c r="G279" s="55" t="s">
        <v>357</v>
      </c>
      <c r="H279" s="55" t="s">
        <v>124</v>
      </c>
      <c r="I279" s="59" t="s">
        <v>358</v>
      </c>
      <c r="J279" s="60" t="s">
        <v>359</v>
      </c>
      <c r="K279" s="63" t="str">
        <f t="shared" si="36"/>
        <v>XGF-AD16AInput</v>
      </c>
      <c r="L279" s="59">
        <f t="shared" si="34"/>
        <v>84</v>
      </c>
      <c r="M279" s="59">
        <f t="shared" si="35"/>
        <v>83</v>
      </c>
      <c r="N279" s="59">
        <f t="shared" si="33"/>
        <v>1</v>
      </c>
      <c r="O279" s="60">
        <f t="shared" si="32"/>
        <v>279</v>
      </c>
      <c r="P279" s="65"/>
    </row>
    <row r="280" spans="3:22">
      <c r="C280" s="83" t="s">
        <v>59</v>
      </c>
      <c r="D280" s="75"/>
      <c r="E280" s="75"/>
      <c r="F280" s="81" t="s">
        <v>166</v>
      </c>
      <c r="G280" s="55" t="s">
        <v>502</v>
      </c>
      <c r="H280" s="55" t="s">
        <v>124</v>
      </c>
      <c r="I280" s="59">
        <v>0</v>
      </c>
      <c r="J280" s="60" t="s">
        <v>503</v>
      </c>
      <c r="K280" s="63"/>
      <c r="L280" s="59"/>
      <c r="M280" s="59"/>
      <c r="N280" s="59"/>
      <c r="O280" s="60">
        <f t="shared" si="32"/>
        <v>280</v>
      </c>
      <c r="P280" s="65"/>
    </row>
    <row r="281" spans="3:22">
      <c r="C281" s="83" t="s">
        <v>60</v>
      </c>
      <c r="D281" s="75">
        <v>22</v>
      </c>
      <c r="E281" s="75">
        <v>2</v>
      </c>
      <c r="F281" s="81" t="s">
        <v>151</v>
      </c>
      <c r="G281" s="55" t="s">
        <v>887</v>
      </c>
      <c r="H281" s="55" t="s">
        <v>124</v>
      </c>
      <c r="I281" s="59">
        <v>0</v>
      </c>
      <c r="J281" s="60" t="s">
        <v>888</v>
      </c>
      <c r="K281" s="63" t="str">
        <f t="shared" si="36"/>
        <v>XGF-AC4HInput</v>
      </c>
      <c r="L281" s="59">
        <f t="shared" ref="L281:L324" si="37">COUNTIF($C$2:$C$2062,C281)</f>
        <v>45</v>
      </c>
      <c r="M281" s="59">
        <f t="shared" ref="M281:M324" si="38">COUNTIF($K$2:$K$2062,K281)</f>
        <v>44</v>
      </c>
      <c r="N281" s="59">
        <f t="shared" si="33"/>
        <v>1</v>
      </c>
      <c r="O281" s="60">
        <f t="shared" si="32"/>
        <v>281</v>
      </c>
      <c r="P281" s="65" t="s">
        <v>3214</v>
      </c>
      <c r="Q281">
        <f>O281</f>
        <v>281</v>
      </c>
      <c r="R281" t="s">
        <v>3215</v>
      </c>
      <c r="S281">
        <v>325</v>
      </c>
      <c r="T281" t="str">
        <f>P281&amp;Q281&amp;R281&amp;S281</f>
        <v>All data map'!$F$281:$J$325</v>
      </c>
      <c r="V281" t="s">
        <v>3241</v>
      </c>
    </row>
    <row r="282" spans="3:22">
      <c r="C282" s="83" t="s">
        <v>60</v>
      </c>
      <c r="D282" s="75"/>
      <c r="E282" s="75"/>
      <c r="F282" s="81" t="s">
        <v>151</v>
      </c>
      <c r="G282" s="55" t="s">
        <v>889</v>
      </c>
      <c r="H282" s="55" t="s">
        <v>124</v>
      </c>
      <c r="I282" s="59" t="s">
        <v>126</v>
      </c>
      <c r="J282" s="60" t="s">
        <v>890</v>
      </c>
      <c r="K282" s="63" t="str">
        <f t="shared" si="36"/>
        <v>XGF-AC4HInput</v>
      </c>
      <c r="L282" s="59">
        <f t="shared" si="37"/>
        <v>45</v>
      </c>
      <c r="M282" s="59">
        <f t="shared" si="38"/>
        <v>44</v>
      </c>
      <c r="N282" s="59">
        <f t="shared" si="33"/>
        <v>1</v>
      </c>
      <c r="O282" s="60">
        <f t="shared" si="32"/>
        <v>282</v>
      </c>
      <c r="P282" s="65"/>
    </row>
    <row r="283" spans="3:22">
      <c r="C283" s="83" t="s">
        <v>60</v>
      </c>
      <c r="D283" s="75"/>
      <c r="E283" s="75"/>
      <c r="F283" s="81" t="s">
        <v>151</v>
      </c>
      <c r="G283" s="55" t="s">
        <v>891</v>
      </c>
      <c r="H283" s="55" t="s">
        <v>124</v>
      </c>
      <c r="I283" s="59">
        <v>1</v>
      </c>
      <c r="J283" s="60" t="s">
        <v>892</v>
      </c>
      <c r="K283" s="63" t="str">
        <f t="shared" si="36"/>
        <v>XGF-AC4HInput</v>
      </c>
      <c r="L283" s="59">
        <f t="shared" si="37"/>
        <v>45</v>
      </c>
      <c r="M283" s="59">
        <f t="shared" si="38"/>
        <v>44</v>
      </c>
      <c r="N283" s="59">
        <f t="shared" si="33"/>
        <v>1</v>
      </c>
      <c r="O283" s="60">
        <f t="shared" si="32"/>
        <v>283</v>
      </c>
      <c r="P283" s="65"/>
    </row>
    <row r="284" spans="3:22">
      <c r="C284" s="83" t="s">
        <v>60</v>
      </c>
      <c r="D284" s="75"/>
      <c r="E284" s="75"/>
      <c r="F284" s="81" t="s">
        <v>151</v>
      </c>
      <c r="G284" s="55" t="s">
        <v>893</v>
      </c>
      <c r="H284" s="55" t="s">
        <v>124</v>
      </c>
      <c r="I284" s="59">
        <v>1.1000000000000001</v>
      </c>
      <c r="J284" s="60" t="s">
        <v>894</v>
      </c>
      <c r="K284" s="63" t="str">
        <f t="shared" si="36"/>
        <v>XGF-AC4HInput</v>
      </c>
      <c r="L284" s="59">
        <f t="shared" si="37"/>
        <v>45</v>
      </c>
      <c r="M284" s="59">
        <f t="shared" si="38"/>
        <v>44</v>
      </c>
      <c r="N284" s="59">
        <f t="shared" si="33"/>
        <v>1</v>
      </c>
      <c r="O284" s="60">
        <f t="shared" si="32"/>
        <v>284</v>
      </c>
      <c r="P284" s="65"/>
    </row>
    <row r="285" spans="3:22">
      <c r="C285" s="83" t="s">
        <v>60</v>
      </c>
      <c r="D285" s="75"/>
      <c r="E285" s="75"/>
      <c r="F285" s="81" t="s">
        <v>151</v>
      </c>
      <c r="G285" s="55" t="s">
        <v>895</v>
      </c>
      <c r="H285" s="55" t="s">
        <v>124</v>
      </c>
      <c r="I285" s="59">
        <v>1.2</v>
      </c>
      <c r="J285" s="60" t="s">
        <v>896</v>
      </c>
      <c r="K285" s="63" t="str">
        <f t="shared" si="36"/>
        <v>XGF-AC4HInput</v>
      </c>
      <c r="L285" s="59">
        <f t="shared" si="37"/>
        <v>45</v>
      </c>
      <c r="M285" s="59">
        <f t="shared" si="38"/>
        <v>44</v>
      </c>
      <c r="N285" s="59">
        <f t="shared" si="33"/>
        <v>1</v>
      </c>
      <c r="O285" s="60">
        <f t="shared" si="32"/>
        <v>285</v>
      </c>
      <c r="P285" s="65"/>
    </row>
    <row r="286" spans="3:22">
      <c r="C286" s="83" t="s">
        <v>60</v>
      </c>
      <c r="D286" s="75"/>
      <c r="E286" s="75"/>
      <c r="F286" s="81" t="s">
        <v>151</v>
      </c>
      <c r="G286" s="55" t="s">
        <v>897</v>
      </c>
      <c r="H286" s="55" t="s">
        <v>124</v>
      </c>
      <c r="I286" s="59">
        <v>1.3</v>
      </c>
      <c r="J286" s="60" t="s">
        <v>898</v>
      </c>
      <c r="K286" s="63" t="str">
        <f t="shared" si="36"/>
        <v>XGF-AC4HInput</v>
      </c>
      <c r="L286" s="59">
        <f t="shared" si="37"/>
        <v>45</v>
      </c>
      <c r="M286" s="59">
        <f t="shared" si="38"/>
        <v>44</v>
      </c>
      <c r="N286" s="59">
        <f t="shared" si="33"/>
        <v>1</v>
      </c>
      <c r="O286" s="60">
        <f t="shared" si="32"/>
        <v>286</v>
      </c>
      <c r="P286" s="65"/>
    </row>
    <row r="287" spans="3:22">
      <c r="C287" s="83" t="s">
        <v>60</v>
      </c>
      <c r="D287" s="75"/>
      <c r="E287" s="75"/>
      <c r="F287" s="81" t="s">
        <v>151</v>
      </c>
      <c r="G287" s="55" t="s">
        <v>899</v>
      </c>
      <c r="H287" s="55" t="s">
        <v>139</v>
      </c>
      <c r="I287" s="59">
        <v>2</v>
      </c>
      <c r="J287" s="60" t="s">
        <v>900</v>
      </c>
      <c r="K287" s="63" t="str">
        <f t="shared" si="36"/>
        <v>XGF-AC4HInput</v>
      </c>
      <c r="L287" s="59">
        <f t="shared" si="37"/>
        <v>45</v>
      </c>
      <c r="M287" s="59">
        <f t="shared" si="38"/>
        <v>44</v>
      </c>
      <c r="N287" s="59">
        <f t="shared" si="33"/>
        <v>1</v>
      </c>
      <c r="O287" s="60">
        <f t="shared" si="32"/>
        <v>287</v>
      </c>
      <c r="P287" s="65"/>
    </row>
    <row r="288" spans="3:22">
      <c r="C288" s="83" t="s">
        <v>60</v>
      </c>
      <c r="D288" s="75"/>
      <c r="E288" s="75"/>
      <c r="F288" s="81" t="s">
        <v>151</v>
      </c>
      <c r="G288" s="55" t="s">
        <v>901</v>
      </c>
      <c r="H288" s="55" t="s">
        <v>139</v>
      </c>
      <c r="I288" s="59">
        <v>3</v>
      </c>
      <c r="J288" s="60" t="s">
        <v>902</v>
      </c>
      <c r="K288" s="63" t="str">
        <f t="shared" si="36"/>
        <v>XGF-AC4HInput</v>
      </c>
      <c r="L288" s="59">
        <f t="shared" si="37"/>
        <v>45</v>
      </c>
      <c r="M288" s="59">
        <f t="shared" si="38"/>
        <v>44</v>
      </c>
      <c r="N288" s="59">
        <f t="shared" si="33"/>
        <v>1</v>
      </c>
      <c r="O288" s="60">
        <f t="shared" si="32"/>
        <v>288</v>
      </c>
      <c r="P288" s="65"/>
    </row>
    <row r="289" spans="3:16">
      <c r="C289" s="83" t="s">
        <v>60</v>
      </c>
      <c r="D289" s="75"/>
      <c r="E289" s="75"/>
      <c r="F289" s="81" t="s">
        <v>151</v>
      </c>
      <c r="G289" s="55" t="s">
        <v>903</v>
      </c>
      <c r="H289" s="55" t="s">
        <v>139</v>
      </c>
      <c r="I289" s="59">
        <v>4</v>
      </c>
      <c r="J289" s="60" t="s">
        <v>904</v>
      </c>
      <c r="K289" s="63" t="str">
        <f t="shared" si="36"/>
        <v>XGF-AC4HInput</v>
      </c>
      <c r="L289" s="59">
        <f t="shared" si="37"/>
        <v>45</v>
      </c>
      <c r="M289" s="59">
        <f t="shared" si="38"/>
        <v>44</v>
      </c>
      <c r="N289" s="59">
        <f t="shared" si="33"/>
        <v>1</v>
      </c>
      <c r="O289" s="60">
        <f t="shared" si="32"/>
        <v>289</v>
      </c>
      <c r="P289" s="65"/>
    </row>
    <row r="290" spans="3:16">
      <c r="C290" s="83" t="s">
        <v>60</v>
      </c>
      <c r="D290" s="75"/>
      <c r="E290" s="75"/>
      <c r="F290" s="81" t="s">
        <v>151</v>
      </c>
      <c r="G290" s="55" t="s">
        <v>905</v>
      </c>
      <c r="H290" s="55" t="s">
        <v>139</v>
      </c>
      <c r="I290" s="59">
        <v>5</v>
      </c>
      <c r="J290" s="60" t="s">
        <v>906</v>
      </c>
      <c r="K290" s="63" t="str">
        <f t="shared" si="36"/>
        <v>XGF-AC4HInput</v>
      </c>
      <c r="L290" s="59">
        <f t="shared" si="37"/>
        <v>45</v>
      </c>
      <c r="M290" s="59">
        <f t="shared" si="38"/>
        <v>44</v>
      </c>
      <c r="N290" s="59">
        <f t="shared" si="33"/>
        <v>1</v>
      </c>
      <c r="O290" s="60">
        <f t="shared" si="32"/>
        <v>290</v>
      </c>
      <c r="P290" s="65"/>
    </row>
    <row r="291" spans="3:16">
      <c r="C291" s="83" t="s">
        <v>60</v>
      </c>
      <c r="D291" s="75"/>
      <c r="E291" s="75"/>
      <c r="F291" s="81" t="s">
        <v>151</v>
      </c>
      <c r="G291" s="62" t="s">
        <v>6</v>
      </c>
      <c r="H291" s="55" t="s">
        <v>139</v>
      </c>
      <c r="I291" s="59">
        <v>6</v>
      </c>
      <c r="J291" s="60" t="s">
        <v>140</v>
      </c>
      <c r="K291" s="63" t="str">
        <f t="shared" si="36"/>
        <v>XGF-AC4HInput</v>
      </c>
      <c r="L291" s="59">
        <f t="shared" si="37"/>
        <v>45</v>
      </c>
      <c r="M291" s="59">
        <f t="shared" si="38"/>
        <v>44</v>
      </c>
      <c r="N291" s="59">
        <f t="shared" si="33"/>
        <v>1</v>
      </c>
      <c r="O291" s="60">
        <f t="shared" si="32"/>
        <v>291</v>
      </c>
      <c r="P291" s="65"/>
    </row>
    <row r="292" spans="3:16">
      <c r="C292" s="83" t="s">
        <v>60</v>
      </c>
      <c r="D292" s="75"/>
      <c r="E292" s="75"/>
      <c r="F292" s="81" t="s">
        <v>151</v>
      </c>
      <c r="G292" s="62" t="s">
        <v>6</v>
      </c>
      <c r="H292" s="55" t="s">
        <v>139</v>
      </c>
      <c r="I292" s="59">
        <v>7</v>
      </c>
      <c r="J292" s="60" t="s">
        <v>140</v>
      </c>
      <c r="K292" s="63" t="str">
        <f t="shared" si="36"/>
        <v>XGF-AC4HInput</v>
      </c>
      <c r="L292" s="59">
        <f t="shared" si="37"/>
        <v>45</v>
      </c>
      <c r="M292" s="59">
        <f t="shared" si="38"/>
        <v>44</v>
      </c>
      <c r="N292" s="59">
        <f t="shared" si="33"/>
        <v>1</v>
      </c>
      <c r="O292" s="60">
        <f t="shared" si="32"/>
        <v>292</v>
      </c>
      <c r="P292" s="65"/>
    </row>
    <row r="293" spans="3:16">
      <c r="C293" s="83" t="s">
        <v>60</v>
      </c>
      <c r="D293" s="75"/>
      <c r="E293" s="75"/>
      <c r="F293" s="81" t="s">
        <v>151</v>
      </c>
      <c r="G293" s="55" t="s">
        <v>907</v>
      </c>
      <c r="H293" s="55" t="s">
        <v>124</v>
      </c>
      <c r="I293" s="59">
        <v>8</v>
      </c>
      <c r="J293" s="60" t="s">
        <v>908</v>
      </c>
      <c r="K293" s="63" t="str">
        <f t="shared" si="36"/>
        <v>XGF-AC4HInput</v>
      </c>
      <c r="L293" s="59">
        <f t="shared" si="37"/>
        <v>45</v>
      </c>
      <c r="M293" s="59">
        <f t="shared" si="38"/>
        <v>44</v>
      </c>
      <c r="N293" s="59">
        <f t="shared" si="33"/>
        <v>1</v>
      </c>
      <c r="O293" s="60">
        <f t="shared" si="32"/>
        <v>293</v>
      </c>
      <c r="P293" s="65"/>
    </row>
    <row r="294" spans="3:16">
      <c r="C294" s="83" t="s">
        <v>60</v>
      </c>
      <c r="D294" s="75"/>
      <c r="E294" s="75"/>
      <c r="F294" s="81" t="s">
        <v>151</v>
      </c>
      <c r="G294" s="55" t="s">
        <v>909</v>
      </c>
      <c r="H294" s="55" t="s">
        <v>124</v>
      </c>
      <c r="I294" s="59">
        <v>8.1</v>
      </c>
      <c r="J294" s="60" t="s">
        <v>910</v>
      </c>
      <c r="K294" s="63" t="str">
        <f t="shared" si="36"/>
        <v>XGF-AC4HInput</v>
      </c>
      <c r="L294" s="59">
        <f t="shared" si="37"/>
        <v>45</v>
      </c>
      <c r="M294" s="59">
        <f t="shared" si="38"/>
        <v>44</v>
      </c>
      <c r="N294" s="59">
        <f t="shared" si="33"/>
        <v>1</v>
      </c>
      <c r="O294" s="60">
        <f t="shared" si="32"/>
        <v>294</v>
      </c>
      <c r="P294" s="65"/>
    </row>
    <row r="295" spans="3:16">
      <c r="C295" s="83" t="s">
        <v>60</v>
      </c>
      <c r="D295" s="75"/>
      <c r="E295" s="75"/>
      <c r="F295" s="81" t="s">
        <v>151</v>
      </c>
      <c r="G295" s="55" t="s">
        <v>911</v>
      </c>
      <c r="H295" s="55" t="s">
        <v>124</v>
      </c>
      <c r="I295" s="59">
        <v>8.1999999999999993</v>
      </c>
      <c r="J295" s="60" t="s">
        <v>912</v>
      </c>
      <c r="K295" s="63" t="str">
        <f t="shared" si="36"/>
        <v>XGF-AC4HInput</v>
      </c>
      <c r="L295" s="59">
        <f t="shared" si="37"/>
        <v>45</v>
      </c>
      <c r="M295" s="59">
        <f t="shared" si="38"/>
        <v>44</v>
      </c>
      <c r="N295" s="59">
        <f t="shared" si="33"/>
        <v>1</v>
      </c>
      <c r="O295" s="60">
        <f t="shared" si="32"/>
        <v>295</v>
      </c>
      <c r="P295" s="65"/>
    </row>
    <row r="296" spans="3:16">
      <c r="C296" s="83" t="s">
        <v>60</v>
      </c>
      <c r="D296" s="75"/>
      <c r="E296" s="75"/>
      <c r="F296" s="81" t="s">
        <v>151</v>
      </c>
      <c r="G296" s="55" t="s">
        <v>913</v>
      </c>
      <c r="H296" s="55" t="s">
        <v>124</v>
      </c>
      <c r="I296" s="59">
        <v>8.3000000000000007</v>
      </c>
      <c r="J296" s="60" t="s">
        <v>914</v>
      </c>
      <c r="K296" s="63" t="str">
        <f t="shared" si="36"/>
        <v>XGF-AC4HInput</v>
      </c>
      <c r="L296" s="59">
        <f t="shared" si="37"/>
        <v>45</v>
      </c>
      <c r="M296" s="59">
        <f t="shared" si="38"/>
        <v>44</v>
      </c>
      <c r="N296" s="59">
        <f t="shared" si="33"/>
        <v>1</v>
      </c>
      <c r="O296" s="60">
        <f t="shared" si="32"/>
        <v>296</v>
      </c>
      <c r="P296" s="65"/>
    </row>
    <row r="297" spans="3:16">
      <c r="C297" s="83" t="s">
        <v>60</v>
      </c>
      <c r="D297" s="75"/>
      <c r="E297" s="75"/>
      <c r="F297" s="81" t="s">
        <v>151</v>
      </c>
      <c r="G297" s="55" t="s">
        <v>915</v>
      </c>
      <c r="H297" s="55" t="s">
        <v>124</v>
      </c>
      <c r="I297" s="59">
        <v>8.4</v>
      </c>
      <c r="J297" s="60" t="s">
        <v>916</v>
      </c>
      <c r="K297" s="63" t="str">
        <f t="shared" si="36"/>
        <v>XGF-AC4HInput</v>
      </c>
      <c r="L297" s="59">
        <f t="shared" si="37"/>
        <v>45</v>
      </c>
      <c r="M297" s="59">
        <f t="shared" si="38"/>
        <v>44</v>
      </c>
      <c r="N297" s="59">
        <f t="shared" si="33"/>
        <v>1</v>
      </c>
      <c r="O297" s="60">
        <f t="shared" si="32"/>
        <v>297</v>
      </c>
      <c r="P297" s="65"/>
    </row>
    <row r="298" spans="3:16">
      <c r="C298" s="83" t="s">
        <v>60</v>
      </c>
      <c r="D298" s="75"/>
      <c r="E298" s="75"/>
      <c r="F298" s="81" t="s">
        <v>151</v>
      </c>
      <c r="G298" s="55" t="s">
        <v>917</v>
      </c>
      <c r="H298" s="55" t="s">
        <v>124</v>
      </c>
      <c r="I298" s="59">
        <v>8.5</v>
      </c>
      <c r="J298" s="60" t="s">
        <v>918</v>
      </c>
      <c r="K298" s="63" t="str">
        <f t="shared" si="36"/>
        <v>XGF-AC4HInput</v>
      </c>
      <c r="L298" s="59">
        <f t="shared" si="37"/>
        <v>45</v>
      </c>
      <c r="M298" s="59">
        <f t="shared" si="38"/>
        <v>44</v>
      </c>
      <c r="N298" s="59">
        <f t="shared" si="33"/>
        <v>1</v>
      </c>
      <c r="O298" s="60">
        <f t="shared" si="32"/>
        <v>298</v>
      </c>
      <c r="P298" s="65"/>
    </row>
    <row r="299" spans="3:16">
      <c r="C299" s="83" t="s">
        <v>60</v>
      </c>
      <c r="D299" s="75"/>
      <c r="E299" s="75"/>
      <c r="F299" s="81" t="s">
        <v>151</v>
      </c>
      <c r="G299" s="55" t="s">
        <v>919</v>
      </c>
      <c r="H299" s="55" t="s">
        <v>124</v>
      </c>
      <c r="I299" s="59">
        <v>8.6</v>
      </c>
      <c r="J299" s="60" t="s">
        <v>920</v>
      </c>
      <c r="K299" s="63" t="str">
        <f t="shared" si="36"/>
        <v>XGF-AC4HInput</v>
      </c>
      <c r="L299" s="59">
        <f t="shared" si="37"/>
        <v>45</v>
      </c>
      <c r="M299" s="59">
        <f t="shared" si="38"/>
        <v>44</v>
      </c>
      <c r="N299" s="59">
        <f t="shared" si="33"/>
        <v>1</v>
      </c>
      <c r="O299" s="60">
        <f t="shared" si="32"/>
        <v>299</v>
      </c>
      <c r="P299" s="65"/>
    </row>
    <row r="300" spans="3:16">
      <c r="C300" s="83" t="s">
        <v>60</v>
      </c>
      <c r="D300" s="75"/>
      <c r="E300" s="75"/>
      <c r="F300" s="81" t="s">
        <v>151</v>
      </c>
      <c r="G300" s="55" t="s">
        <v>921</v>
      </c>
      <c r="H300" s="55" t="s">
        <v>124</v>
      </c>
      <c r="I300" s="59">
        <v>8.6999999999999993</v>
      </c>
      <c r="J300" s="60" t="s">
        <v>922</v>
      </c>
      <c r="K300" s="63" t="str">
        <f t="shared" si="36"/>
        <v>XGF-AC4HInput</v>
      </c>
      <c r="L300" s="59">
        <f t="shared" si="37"/>
        <v>45</v>
      </c>
      <c r="M300" s="59">
        <f t="shared" si="38"/>
        <v>44</v>
      </c>
      <c r="N300" s="59">
        <f t="shared" si="33"/>
        <v>1</v>
      </c>
      <c r="O300" s="60">
        <f t="shared" si="32"/>
        <v>300</v>
      </c>
      <c r="P300" s="65"/>
    </row>
    <row r="301" spans="3:16">
      <c r="C301" s="83" t="s">
        <v>60</v>
      </c>
      <c r="D301" s="75"/>
      <c r="E301" s="75"/>
      <c r="F301" s="81" t="s">
        <v>151</v>
      </c>
      <c r="G301" s="55" t="s">
        <v>923</v>
      </c>
      <c r="H301" s="55" t="s">
        <v>124</v>
      </c>
      <c r="I301" s="59">
        <v>8.8000000000000007</v>
      </c>
      <c r="J301" s="60" t="s">
        <v>924</v>
      </c>
      <c r="K301" s="63" t="str">
        <f t="shared" si="36"/>
        <v>XGF-AC4HInput</v>
      </c>
      <c r="L301" s="59">
        <f t="shared" si="37"/>
        <v>45</v>
      </c>
      <c r="M301" s="59">
        <f t="shared" si="38"/>
        <v>44</v>
      </c>
      <c r="N301" s="59">
        <f t="shared" si="33"/>
        <v>1</v>
      </c>
      <c r="O301" s="60">
        <f t="shared" si="32"/>
        <v>301</v>
      </c>
      <c r="P301" s="65"/>
    </row>
    <row r="302" spans="3:16">
      <c r="C302" s="83" t="s">
        <v>60</v>
      </c>
      <c r="D302" s="75"/>
      <c r="E302" s="75"/>
      <c r="F302" s="81" t="s">
        <v>151</v>
      </c>
      <c r="G302" s="55" t="s">
        <v>925</v>
      </c>
      <c r="H302" s="55" t="s">
        <v>124</v>
      </c>
      <c r="I302" s="59">
        <v>8.9</v>
      </c>
      <c r="J302" s="60" t="s">
        <v>926</v>
      </c>
      <c r="K302" s="63" t="str">
        <f t="shared" si="36"/>
        <v>XGF-AC4HInput</v>
      </c>
      <c r="L302" s="59">
        <f t="shared" si="37"/>
        <v>45</v>
      </c>
      <c r="M302" s="59">
        <f t="shared" si="38"/>
        <v>44</v>
      </c>
      <c r="N302" s="59">
        <f t="shared" si="33"/>
        <v>1</v>
      </c>
      <c r="O302" s="60">
        <f t="shared" si="32"/>
        <v>302</v>
      </c>
      <c r="P302" s="65"/>
    </row>
    <row r="303" spans="3:16">
      <c r="C303" s="83" t="s">
        <v>60</v>
      </c>
      <c r="D303" s="75"/>
      <c r="E303" s="75"/>
      <c r="F303" s="81" t="s">
        <v>151</v>
      </c>
      <c r="G303" s="55" t="s">
        <v>927</v>
      </c>
      <c r="H303" s="55" t="s">
        <v>124</v>
      </c>
      <c r="I303" s="59" t="s">
        <v>545</v>
      </c>
      <c r="J303" s="60" t="s">
        <v>928</v>
      </c>
      <c r="K303" s="63" t="str">
        <f t="shared" si="36"/>
        <v>XGF-AC4HInput</v>
      </c>
      <c r="L303" s="59">
        <f t="shared" si="37"/>
        <v>45</v>
      </c>
      <c r="M303" s="59">
        <f t="shared" si="38"/>
        <v>44</v>
      </c>
      <c r="N303" s="59">
        <f t="shared" si="33"/>
        <v>1</v>
      </c>
      <c r="O303" s="60">
        <f t="shared" si="32"/>
        <v>303</v>
      </c>
      <c r="P303" s="65"/>
    </row>
    <row r="304" spans="3:16">
      <c r="C304" s="83" t="s">
        <v>60</v>
      </c>
      <c r="D304" s="75"/>
      <c r="E304" s="75"/>
      <c r="F304" s="81" t="s">
        <v>151</v>
      </c>
      <c r="G304" s="55" t="s">
        <v>929</v>
      </c>
      <c r="H304" s="55" t="s">
        <v>124</v>
      </c>
      <c r="I304" s="59" t="s">
        <v>548</v>
      </c>
      <c r="J304" s="60" t="s">
        <v>930</v>
      </c>
      <c r="K304" s="63" t="str">
        <f t="shared" si="36"/>
        <v>XGF-AC4HInput</v>
      </c>
      <c r="L304" s="59">
        <f t="shared" si="37"/>
        <v>45</v>
      </c>
      <c r="M304" s="59">
        <f t="shared" si="38"/>
        <v>44</v>
      </c>
      <c r="N304" s="59">
        <f t="shared" si="33"/>
        <v>1</v>
      </c>
      <c r="O304" s="60">
        <f t="shared" si="32"/>
        <v>304</v>
      </c>
      <c r="P304" s="65"/>
    </row>
    <row r="305" spans="3:16">
      <c r="C305" s="83" t="s">
        <v>60</v>
      </c>
      <c r="D305" s="75"/>
      <c r="E305" s="75"/>
      <c r="F305" s="81" t="s">
        <v>151</v>
      </c>
      <c r="G305" s="55" t="s">
        <v>931</v>
      </c>
      <c r="H305" s="55" t="s">
        <v>124</v>
      </c>
      <c r="I305" s="59" t="s">
        <v>551</v>
      </c>
      <c r="J305" s="60" t="s">
        <v>932</v>
      </c>
      <c r="K305" s="63" t="str">
        <f t="shared" si="36"/>
        <v>XGF-AC4HInput</v>
      </c>
      <c r="L305" s="59">
        <f t="shared" si="37"/>
        <v>45</v>
      </c>
      <c r="M305" s="59">
        <f t="shared" si="38"/>
        <v>44</v>
      </c>
      <c r="N305" s="59">
        <f t="shared" si="33"/>
        <v>1</v>
      </c>
      <c r="O305" s="60">
        <f t="shared" si="32"/>
        <v>305</v>
      </c>
      <c r="P305" s="65"/>
    </row>
    <row r="306" spans="3:16">
      <c r="C306" s="83" t="s">
        <v>60</v>
      </c>
      <c r="D306" s="75"/>
      <c r="E306" s="75"/>
      <c r="F306" s="81" t="s">
        <v>151</v>
      </c>
      <c r="G306" s="55" t="s">
        <v>933</v>
      </c>
      <c r="H306" s="55" t="s">
        <v>124</v>
      </c>
      <c r="I306" s="59" t="s">
        <v>554</v>
      </c>
      <c r="J306" s="60" t="s">
        <v>934</v>
      </c>
      <c r="K306" s="63" t="str">
        <f t="shared" si="36"/>
        <v>XGF-AC4HInput</v>
      </c>
      <c r="L306" s="59">
        <f t="shared" si="37"/>
        <v>45</v>
      </c>
      <c r="M306" s="59">
        <f t="shared" si="38"/>
        <v>44</v>
      </c>
      <c r="N306" s="59">
        <f t="shared" si="33"/>
        <v>1</v>
      </c>
      <c r="O306" s="60">
        <f t="shared" si="32"/>
        <v>306</v>
      </c>
      <c r="P306" s="65"/>
    </row>
    <row r="307" spans="3:16">
      <c r="C307" s="83" t="s">
        <v>60</v>
      </c>
      <c r="D307" s="75"/>
      <c r="E307" s="75"/>
      <c r="F307" s="81" t="s">
        <v>151</v>
      </c>
      <c r="G307" s="55" t="s">
        <v>935</v>
      </c>
      <c r="H307" s="55" t="s">
        <v>124</v>
      </c>
      <c r="I307" s="59" t="s">
        <v>557</v>
      </c>
      <c r="J307" s="60" t="s">
        <v>936</v>
      </c>
      <c r="K307" s="63" t="str">
        <f t="shared" si="36"/>
        <v>XGF-AC4HInput</v>
      </c>
      <c r="L307" s="59">
        <f t="shared" si="37"/>
        <v>45</v>
      </c>
      <c r="M307" s="59">
        <f t="shared" si="38"/>
        <v>44</v>
      </c>
      <c r="N307" s="59">
        <f t="shared" si="33"/>
        <v>1</v>
      </c>
      <c r="O307" s="60">
        <f t="shared" si="32"/>
        <v>307</v>
      </c>
      <c r="P307" s="65"/>
    </row>
    <row r="308" spans="3:16">
      <c r="C308" s="83" t="s">
        <v>60</v>
      </c>
      <c r="D308" s="75"/>
      <c r="E308" s="75"/>
      <c r="F308" s="81" t="s">
        <v>151</v>
      </c>
      <c r="G308" s="55" t="s">
        <v>937</v>
      </c>
      <c r="H308" s="55" t="s">
        <v>124</v>
      </c>
      <c r="I308" s="59" t="s">
        <v>560</v>
      </c>
      <c r="J308" s="60" t="s">
        <v>938</v>
      </c>
      <c r="K308" s="63" t="str">
        <f t="shared" si="36"/>
        <v>XGF-AC4HInput</v>
      </c>
      <c r="L308" s="59">
        <f t="shared" si="37"/>
        <v>45</v>
      </c>
      <c r="M308" s="59">
        <f t="shared" si="38"/>
        <v>44</v>
      </c>
      <c r="N308" s="59">
        <f t="shared" si="33"/>
        <v>1</v>
      </c>
      <c r="O308" s="60">
        <f t="shared" si="32"/>
        <v>308</v>
      </c>
      <c r="P308" s="65"/>
    </row>
    <row r="309" spans="3:16">
      <c r="C309" s="83" t="s">
        <v>60</v>
      </c>
      <c r="D309" s="75"/>
      <c r="E309" s="75"/>
      <c r="F309" s="81" t="s">
        <v>151</v>
      </c>
      <c r="G309" s="55" t="s">
        <v>939</v>
      </c>
      <c r="H309" s="55" t="s">
        <v>124</v>
      </c>
      <c r="I309" s="59">
        <v>9</v>
      </c>
      <c r="J309" s="60" t="s">
        <v>940</v>
      </c>
      <c r="K309" s="63" t="str">
        <f t="shared" si="36"/>
        <v>XGF-AC4HInput</v>
      </c>
      <c r="L309" s="59">
        <f t="shared" si="37"/>
        <v>45</v>
      </c>
      <c r="M309" s="59">
        <f t="shared" si="38"/>
        <v>44</v>
      </c>
      <c r="N309" s="59">
        <f t="shared" si="33"/>
        <v>1</v>
      </c>
      <c r="O309" s="60">
        <f t="shared" si="32"/>
        <v>309</v>
      </c>
      <c r="P309" s="65"/>
    </row>
    <row r="310" spans="3:16">
      <c r="C310" s="83" t="s">
        <v>60</v>
      </c>
      <c r="D310" s="75"/>
      <c r="E310" s="75"/>
      <c r="F310" s="81" t="s">
        <v>151</v>
      </c>
      <c r="G310" s="55" t="s">
        <v>941</v>
      </c>
      <c r="H310" s="55" t="s">
        <v>124</v>
      </c>
      <c r="I310" s="59">
        <v>9.1</v>
      </c>
      <c r="J310" s="60" t="s">
        <v>942</v>
      </c>
      <c r="K310" s="63" t="str">
        <f t="shared" si="36"/>
        <v>XGF-AC4HInput</v>
      </c>
      <c r="L310" s="59">
        <f t="shared" si="37"/>
        <v>45</v>
      </c>
      <c r="M310" s="59">
        <f t="shared" si="38"/>
        <v>44</v>
      </c>
      <c r="N310" s="59">
        <f t="shared" si="33"/>
        <v>1</v>
      </c>
      <c r="O310" s="60">
        <f t="shared" si="32"/>
        <v>310</v>
      </c>
      <c r="P310" s="65"/>
    </row>
    <row r="311" spans="3:16">
      <c r="C311" s="83" t="s">
        <v>60</v>
      </c>
      <c r="D311" s="75"/>
      <c r="E311" s="75"/>
      <c r="F311" s="81" t="s">
        <v>151</v>
      </c>
      <c r="G311" s="55" t="s">
        <v>943</v>
      </c>
      <c r="H311" s="55" t="s">
        <v>124</v>
      </c>
      <c r="I311" s="59">
        <v>9.1999999999999993</v>
      </c>
      <c r="J311" s="60" t="s">
        <v>944</v>
      </c>
      <c r="K311" s="63" t="str">
        <f t="shared" si="36"/>
        <v>XGF-AC4HInput</v>
      </c>
      <c r="L311" s="59">
        <f t="shared" si="37"/>
        <v>45</v>
      </c>
      <c r="M311" s="59">
        <f t="shared" si="38"/>
        <v>44</v>
      </c>
      <c r="N311" s="59">
        <f t="shared" si="33"/>
        <v>1</v>
      </c>
      <c r="O311" s="60">
        <f t="shared" si="32"/>
        <v>311</v>
      </c>
      <c r="P311" s="65"/>
    </row>
    <row r="312" spans="3:16">
      <c r="C312" s="83" t="s">
        <v>60</v>
      </c>
      <c r="D312" s="75"/>
      <c r="E312" s="75"/>
      <c r="F312" s="81" t="s">
        <v>151</v>
      </c>
      <c r="G312" s="55" t="s">
        <v>945</v>
      </c>
      <c r="H312" s="55" t="s">
        <v>124</v>
      </c>
      <c r="I312" s="59">
        <v>9.3000000000000007</v>
      </c>
      <c r="J312" s="60" t="s">
        <v>946</v>
      </c>
      <c r="K312" s="63" t="str">
        <f t="shared" si="36"/>
        <v>XGF-AC4HInput</v>
      </c>
      <c r="L312" s="59">
        <f t="shared" si="37"/>
        <v>45</v>
      </c>
      <c r="M312" s="59">
        <f t="shared" si="38"/>
        <v>44</v>
      </c>
      <c r="N312" s="59">
        <f t="shared" si="33"/>
        <v>1</v>
      </c>
      <c r="O312" s="60">
        <f t="shared" si="32"/>
        <v>312</v>
      </c>
      <c r="P312" s="65"/>
    </row>
    <row r="313" spans="3:16">
      <c r="C313" s="83" t="s">
        <v>60</v>
      </c>
      <c r="D313" s="75"/>
      <c r="E313" s="75"/>
      <c r="F313" s="81" t="s">
        <v>151</v>
      </c>
      <c r="G313" s="55" t="s">
        <v>947</v>
      </c>
      <c r="H313" s="55" t="s">
        <v>124</v>
      </c>
      <c r="I313" s="59">
        <v>9.4</v>
      </c>
      <c r="J313" s="60" t="s">
        <v>948</v>
      </c>
      <c r="K313" s="63" t="str">
        <f t="shared" si="36"/>
        <v>XGF-AC4HInput</v>
      </c>
      <c r="L313" s="59">
        <f t="shared" si="37"/>
        <v>45</v>
      </c>
      <c r="M313" s="59">
        <f t="shared" si="38"/>
        <v>44</v>
      </c>
      <c r="N313" s="59">
        <f t="shared" si="33"/>
        <v>1</v>
      </c>
      <c r="O313" s="60">
        <f t="shared" si="32"/>
        <v>313</v>
      </c>
      <c r="P313" s="65"/>
    </row>
    <row r="314" spans="3:16">
      <c r="C314" s="83" t="s">
        <v>60</v>
      </c>
      <c r="D314" s="75"/>
      <c r="E314" s="75"/>
      <c r="F314" s="81" t="s">
        <v>151</v>
      </c>
      <c r="G314" s="55" t="s">
        <v>949</v>
      </c>
      <c r="H314" s="55" t="s">
        <v>124</v>
      </c>
      <c r="I314" s="59">
        <v>9.5</v>
      </c>
      <c r="J314" s="60" t="s">
        <v>950</v>
      </c>
      <c r="K314" s="63" t="str">
        <f t="shared" si="36"/>
        <v>XGF-AC4HInput</v>
      </c>
      <c r="L314" s="59">
        <f t="shared" si="37"/>
        <v>45</v>
      </c>
      <c r="M314" s="59">
        <f t="shared" si="38"/>
        <v>44</v>
      </c>
      <c r="N314" s="59">
        <f t="shared" si="33"/>
        <v>1</v>
      </c>
      <c r="O314" s="60">
        <f t="shared" si="32"/>
        <v>314</v>
      </c>
      <c r="P314" s="65"/>
    </row>
    <row r="315" spans="3:16">
      <c r="C315" s="83" t="s">
        <v>60</v>
      </c>
      <c r="D315" s="75"/>
      <c r="E315" s="75"/>
      <c r="F315" s="81" t="s">
        <v>151</v>
      </c>
      <c r="G315" s="55" t="s">
        <v>951</v>
      </c>
      <c r="H315" s="55" t="s">
        <v>124</v>
      </c>
      <c r="I315" s="59">
        <v>9.6</v>
      </c>
      <c r="J315" s="60" t="s">
        <v>952</v>
      </c>
      <c r="K315" s="63" t="str">
        <f t="shared" si="36"/>
        <v>XGF-AC4HInput</v>
      </c>
      <c r="L315" s="59">
        <f t="shared" si="37"/>
        <v>45</v>
      </c>
      <c r="M315" s="59">
        <f t="shared" si="38"/>
        <v>44</v>
      </c>
      <c r="N315" s="59">
        <f t="shared" si="33"/>
        <v>1</v>
      </c>
      <c r="O315" s="60">
        <f t="shared" si="32"/>
        <v>315</v>
      </c>
      <c r="P315" s="65"/>
    </row>
    <row r="316" spans="3:16">
      <c r="C316" s="83" t="s">
        <v>60</v>
      </c>
      <c r="D316" s="75"/>
      <c r="E316" s="75"/>
      <c r="F316" s="81" t="s">
        <v>151</v>
      </c>
      <c r="G316" s="55" t="s">
        <v>953</v>
      </c>
      <c r="H316" s="55" t="s">
        <v>124</v>
      </c>
      <c r="I316" s="59">
        <v>9.6999999999999993</v>
      </c>
      <c r="J316" s="60" t="s">
        <v>954</v>
      </c>
      <c r="K316" s="63" t="str">
        <f t="shared" si="36"/>
        <v>XGF-AC4HInput</v>
      </c>
      <c r="L316" s="59">
        <f t="shared" si="37"/>
        <v>45</v>
      </c>
      <c r="M316" s="59">
        <f t="shared" si="38"/>
        <v>44</v>
      </c>
      <c r="N316" s="59">
        <f t="shared" si="33"/>
        <v>1</v>
      </c>
      <c r="O316" s="60">
        <f t="shared" si="32"/>
        <v>316</v>
      </c>
      <c r="P316" s="65"/>
    </row>
    <row r="317" spans="3:16">
      <c r="C317" s="83" t="s">
        <v>60</v>
      </c>
      <c r="D317" s="75"/>
      <c r="E317" s="75"/>
      <c r="F317" s="81" t="s">
        <v>151</v>
      </c>
      <c r="G317" s="55" t="s">
        <v>955</v>
      </c>
      <c r="H317" s="55" t="s">
        <v>124</v>
      </c>
      <c r="I317" s="59">
        <v>10</v>
      </c>
      <c r="J317" s="60" t="s">
        <v>956</v>
      </c>
      <c r="K317" s="63" t="str">
        <f t="shared" si="36"/>
        <v>XGF-AC4HInput</v>
      </c>
      <c r="L317" s="59">
        <f t="shared" si="37"/>
        <v>45</v>
      </c>
      <c r="M317" s="59">
        <f t="shared" si="38"/>
        <v>44</v>
      </c>
      <c r="N317" s="59">
        <f t="shared" si="33"/>
        <v>1</v>
      </c>
      <c r="O317" s="60">
        <f t="shared" si="32"/>
        <v>317</v>
      </c>
      <c r="P317" s="65"/>
    </row>
    <row r="318" spans="3:16">
      <c r="C318" s="83" t="s">
        <v>60</v>
      </c>
      <c r="D318" s="75"/>
      <c r="E318" s="75"/>
      <c r="F318" s="81" t="s">
        <v>151</v>
      </c>
      <c r="G318" s="55" t="s">
        <v>957</v>
      </c>
      <c r="H318" s="55" t="s">
        <v>124</v>
      </c>
      <c r="I318" s="59">
        <v>10.1</v>
      </c>
      <c r="J318" s="60" t="s">
        <v>958</v>
      </c>
      <c r="K318" s="63" t="str">
        <f t="shared" si="36"/>
        <v>XGF-AC4HInput</v>
      </c>
      <c r="L318" s="59">
        <f t="shared" si="37"/>
        <v>45</v>
      </c>
      <c r="M318" s="59">
        <f t="shared" si="38"/>
        <v>44</v>
      </c>
      <c r="N318" s="59">
        <f t="shared" si="33"/>
        <v>1</v>
      </c>
      <c r="O318" s="60">
        <f t="shared" si="32"/>
        <v>318</v>
      </c>
      <c r="P318" s="65"/>
    </row>
    <row r="319" spans="3:16">
      <c r="C319" s="83" t="s">
        <v>60</v>
      </c>
      <c r="D319" s="75"/>
      <c r="E319" s="75"/>
      <c r="F319" s="81" t="s">
        <v>151</v>
      </c>
      <c r="G319" s="55" t="s">
        <v>959</v>
      </c>
      <c r="H319" s="55" t="s">
        <v>124</v>
      </c>
      <c r="I319" s="59">
        <v>10.199999999999999</v>
      </c>
      <c r="J319" s="60" t="s">
        <v>960</v>
      </c>
      <c r="K319" s="63" t="str">
        <f t="shared" si="36"/>
        <v>XGF-AC4HInput</v>
      </c>
      <c r="L319" s="59">
        <f t="shared" si="37"/>
        <v>45</v>
      </c>
      <c r="M319" s="59">
        <f t="shared" si="38"/>
        <v>44</v>
      </c>
      <c r="N319" s="59">
        <f t="shared" si="33"/>
        <v>1</v>
      </c>
      <c r="O319" s="60">
        <f t="shared" si="32"/>
        <v>319</v>
      </c>
      <c r="P319" s="65"/>
    </row>
    <row r="320" spans="3:16">
      <c r="C320" s="83" t="s">
        <v>60</v>
      </c>
      <c r="D320" s="75"/>
      <c r="E320" s="75"/>
      <c r="F320" s="81" t="s">
        <v>151</v>
      </c>
      <c r="G320" s="55" t="s">
        <v>961</v>
      </c>
      <c r="H320" s="55" t="s">
        <v>124</v>
      </c>
      <c r="I320" s="59">
        <v>10.3</v>
      </c>
      <c r="J320" s="60" t="s">
        <v>962</v>
      </c>
      <c r="K320" s="63" t="str">
        <f t="shared" si="36"/>
        <v>XGF-AC4HInput</v>
      </c>
      <c r="L320" s="59">
        <f t="shared" si="37"/>
        <v>45</v>
      </c>
      <c r="M320" s="59">
        <f t="shared" si="38"/>
        <v>44</v>
      </c>
      <c r="N320" s="59">
        <f t="shared" si="33"/>
        <v>1</v>
      </c>
      <c r="O320" s="60">
        <f t="shared" si="32"/>
        <v>320</v>
      </c>
      <c r="P320" s="65"/>
    </row>
    <row r="321" spans="3:22">
      <c r="C321" s="83" t="s">
        <v>60</v>
      </c>
      <c r="D321" s="75"/>
      <c r="E321" s="75"/>
      <c r="F321" s="81" t="s">
        <v>151</v>
      </c>
      <c r="G321" s="55" t="s">
        <v>963</v>
      </c>
      <c r="H321" s="55" t="s">
        <v>124</v>
      </c>
      <c r="I321" s="59">
        <v>10.8</v>
      </c>
      <c r="J321" s="60" t="s">
        <v>964</v>
      </c>
      <c r="K321" s="63" t="str">
        <f t="shared" si="36"/>
        <v>XGF-AC4HInput</v>
      </c>
      <c r="L321" s="59">
        <f t="shared" si="37"/>
        <v>45</v>
      </c>
      <c r="M321" s="59">
        <f t="shared" si="38"/>
        <v>44</v>
      </c>
      <c r="N321" s="59">
        <f t="shared" si="33"/>
        <v>1</v>
      </c>
      <c r="O321" s="60">
        <f t="shared" si="32"/>
        <v>321</v>
      </c>
      <c r="P321" s="65"/>
    </row>
    <row r="322" spans="3:22">
      <c r="C322" s="83" t="s">
        <v>60</v>
      </c>
      <c r="D322" s="75"/>
      <c r="E322" s="75"/>
      <c r="F322" s="81" t="s">
        <v>151</v>
      </c>
      <c r="G322" s="55" t="s">
        <v>965</v>
      </c>
      <c r="H322" s="55" t="s">
        <v>124</v>
      </c>
      <c r="I322" s="59">
        <v>10.9</v>
      </c>
      <c r="J322" s="60" t="s">
        <v>966</v>
      </c>
      <c r="K322" s="63" t="str">
        <f t="shared" si="36"/>
        <v>XGF-AC4HInput</v>
      </c>
      <c r="L322" s="59">
        <f t="shared" si="37"/>
        <v>45</v>
      </c>
      <c r="M322" s="59">
        <f t="shared" si="38"/>
        <v>44</v>
      </c>
      <c r="N322" s="59">
        <f t="shared" si="33"/>
        <v>1</v>
      </c>
      <c r="O322" s="60">
        <f t="shared" ref="O322:O385" si="39">ROW(C322)</f>
        <v>322</v>
      </c>
      <c r="P322" s="65"/>
    </row>
    <row r="323" spans="3:22">
      <c r="C323" s="83" t="s">
        <v>60</v>
      </c>
      <c r="D323" s="75"/>
      <c r="E323" s="75"/>
      <c r="F323" s="81" t="s">
        <v>151</v>
      </c>
      <c r="G323" s="55" t="s">
        <v>967</v>
      </c>
      <c r="H323" s="55" t="s">
        <v>124</v>
      </c>
      <c r="I323" s="59" t="s">
        <v>968</v>
      </c>
      <c r="J323" s="60" t="s">
        <v>969</v>
      </c>
      <c r="K323" s="63" t="str">
        <f t="shared" si="36"/>
        <v>XGF-AC4HInput</v>
      </c>
      <c r="L323" s="59">
        <f t="shared" si="37"/>
        <v>45</v>
      </c>
      <c r="M323" s="59">
        <f t="shared" si="38"/>
        <v>44</v>
      </c>
      <c r="N323" s="59">
        <f t="shared" ref="N323:N375" si="40">L323-M323</f>
        <v>1</v>
      </c>
      <c r="O323" s="60">
        <f t="shared" si="39"/>
        <v>323</v>
      </c>
      <c r="P323" s="65"/>
    </row>
    <row r="324" spans="3:22">
      <c r="C324" s="83" t="s">
        <v>60</v>
      </c>
      <c r="D324" s="75"/>
      <c r="E324" s="75"/>
      <c r="F324" s="81" t="s">
        <v>151</v>
      </c>
      <c r="G324" s="55" t="s">
        <v>970</v>
      </c>
      <c r="H324" s="55" t="s">
        <v>124</v>
      </c>
      <c r="I324" s="59" t="s">
        <v>971</v>
      </c>
      <c r="J324" s="60" t="s">
        <v>972</v>
      </c>
      <c r="K324" s="63" t="str">
        <f t="shared" si="36"/>
        <v>XGF-AC4HInput</v>
      </c>
      <c r="L324" s="59">
        <f t="shared" si="37"/>
        <v>45</v>
      </c>
      <c r="M324" s="59">
        <f t="shared" si="38"/>
        <v>44</v>
      </c>
      <c r="N324" s="59">
        <f t="shared" si="40"/>
        <v>1</v>
      </c>
      <c r="O324" s="60">
        <f t="shared" si="39"/>
        <v>324</v>
      </c>
      <c r="P324" s="65"/>
    </row>
    <row r="325" spans="3:22">
      <c r="C325" s="83" t="s">
        <v>60</v>
      </c>
      <c r="D325" s="75"/>
      <c r="E325" s="75"/>
      <c r="F325" s="81" t="s">
        <v>166</v>
      </c>
      <c r="G325" s="55" t="s">
        <v>973</v>
      </c>
      <c r="H325" s="55" t="s">
        <v>124</v>
      </c>
      <c r="I325" s="59">
        <v>0</v>
      </c>
      <c r="J325" s="60" t="s">
        <v>974</v>
      </c>
      <c r="K325" s="63"/>
      <c r="L325" s="59"/>
      <c r="M325" s="59"/>
      <c r="N325" s="59"/>
      <c r="O325" s="60">
        <f t="shared" si="39"/>
        <v>325</v>
      </c>
      <c r="P325" s="65"/>
    </row>
    <row r="326" spans="3:22">
      <c r="C326" s="83" t="s">
        <v>61</v>
      </c>
      <c r="D326" s="75">
        <v>22</v>
      </c>
      <c r="E326" s="75">
        <v>2</v>
      </c>
      <c r="F326" s="81" t="s">
        <v>151</v>
      </c>
      <c r="G326" s="55" t="s">
        <v>588</v>
      </c>
      <c r="H326" s="55" t="s">
        <v>124</v>
      </c>
      <c r="I326" s="59">
        <v>0</v>
      </c>
      <c r="J326" s="60" t="s">
        <v>589</v>
      </c>
      <c r="K326" s="63" t="str">
        <f t="shared" si="36"/>
        <v>XGF-AW4SInput</v>
      </c>
      <c r="L326" s="59">
        <f t="shared" ref="L326:L365" si="41">COUNTIF($C$2:$C$2062,C326)</f>
        <v>41</v>
      </c>
      <c r="M326" s="59">
        <f t="shared" ref="M326:M365" si="42">COUNTIF($K$2:$K$2062,K326)</f>
        <v>40</v>
      </c>
      <c r="N326" s="59">
        <f t="shared" si="40"/>
        <v>1</v>
      </c>
      <c r="O326" s="60">
        <f t="shared" si="39"/>
        <v>326</v>
      </c>
      <c r="P326" s="65" t="s">
        <v>3214</v>
      </c>
      <c r="Q326">
        <f>O326</f>
        <v>326</v>
      </c>
      <c r="R326" t="s">
        <v>3215</v>
      </c>
      <c r="S326">
        <v>367</v>
      </c>
      <c r="T326" t="str">
        <f>P326&amp;Q326&amp;R326&amp;S326</f>
        <v>All data map'!$F$326:$J$367</v>
      </c>
      <c r="V326" t="s">
        <v>3242</v>
      </c>
    </row>
    <row r="327" spans="3:22">
      <c r="C327" s="83" t="s">
        <v>61</v>
      </c>
      <c r="D327" s="75"/>
      <c r="E327" s="75"/>
      <c r="F327" s="81" t="s">
        <v>151</v>
      </c>
      <c r="G327" s="55" t="s">
        <v>590</v>
      </c>
      <c r="H327" s="55" t="s">
        <v>124</v>
      </c>
      <c r="I327" s="59" t="s">
        <v>126</v>
      </c>
      <c r="J327" s="60" t="s">
        <v>591</v>
      </c>
      <c r="K327" s="63" t="str">
        <f t="shared" si="36"/>
        <v>XGF-AW4SInput</v>
      </c>
      <c r="L327" s="59">
        <f t="shared" si="41"/>
        <v>41</v>
      </c>
      <c r="M327" s="59">
        <f t="shared" si="42"/>
        <v>40</v>
      </c>
      <c r="N327" s="59">
        <f t="shared" si="40"/>
        <v>1</v>
      </c>
      <c r="O327" s="60">
        <f t="shared" si="39"/>
        <v>327</v>
      </c>
      <c r="P327" s="65"/>
    </row>
    <row r="328" spans="3:22">
      <c r="C328" s="83" t="s">
        <v>61</v>
      </c>
      <c r="D328" s="75"/>
      <c r="E328" s="75"/>
      <c r="F328" s="81" t="s">
        <v>151</v>
      </c>
      <c r="G328" s="55" t="s">
        <v>592</v>
      </c>
      <c r="H328" s="55" t="s">
        <v>124</v>
      </c>
      <c r="I328" s="59">
        <v>1</v>
      </c>
      <c r="J328" s="60" t="s">
        <v>593</v>
      </c>
      <c r="K328" s="63" t="str">
        <f t="shared" si="36"/>
        <v>XGF-AW4SInput</v>
      </c>
      <c r="L328" s="59">
        <f t="shared" si="41"/>
        <v>41</v>
      </c>
      <c r="M328" s="59">
        <f t="shared" si="42"/>
        <v>40</v>
      </c>
      <c r="N328" s="59">
        <f t="shared" si="40"/>
        <v>1</v>
      </c>
      <c r="O328" s="60">
        <f t="shared" si="39"/>
        <v>328</v>
      </c>
      <c r="P328" s="65"/>
    </row>
    <row r="329" spans="3:22">
      <c r="C329" s="83" t="s">
        <v>61</v>
      </c>
      <c r="D329" s="75"/>
      <c r="E329" s="75"/>
      <c r="F329" s="81" t="s">
        <v>151</v>
      </c>
      <c r="G329" s="55" t="s">
        <v>594</v>
      </c>
      <c r="H329" s="55" t="s">
        <v>124</v>
      </c>
      <c r="I329" s="59">
        <v>1.1000000000000001</v>
      </c>
      <c r="J329" s="60" t="s">
        <v>595</v>
      </c>
      <c r="K329" s="63" t="str">
        <f t="shared" si="36"/>
        <v>XGF-AW4SInput</v>
      </c>
      <c r="L329" s="59">
        <f t="shared" si="41"/>
        <v>41</v>
      </c>
      <c r="M329" s="59">
        <f t="shared" si="42"/>
        <v>40</v>
      </c>
      <c r="N329" s="59">
        <f t="shared" si="40"/>
        <v>1</v>
      </c>
      <c r="O329" s="60">
        <f t="shared" si="39"/>
        <v>329</v>
      </c>
      <c r="P329" s="65"/>
    </row>
    <row r="330" spans="3:22">
      <c r="C330" s="83" t="s">
        <v>61</v>
      </c>
      <c r="D330" s="75"/>
      <c r="E330" s="75"/>
      <c r="F330" s="81" t="s">
        <v>151</v>
      </c>
      <c r="G330" s="55" t="s">
        <v>596</v>
      </c>
      <c r="H330" s="55" t="s">
        <v>124</v>
      </c>
      <c r="I330" s="59">
        <v>1.2</v>
      </c>
      <c r="J330" s="60" t="s">
        <v>597</v>
      </c>
      <c r="K330" s="63" t="str">
        <f t="shared" si="36"/>
        <v>XGF-AW4SInput</v>
      </c>
      <c r="L330" s="59">
        <f t="shared" si="41"/>
        <v>41</v>
      </c>
      <c r="M330" s="59">
        <f t="shared" si="42"/>
        <v>40</v>
      </c>
      <c r="N330" s="59">
        <f t="shared" si="40"/>
        <v>1</v>
      </c>
      <c r="O330" s="60">
        <f t="shared" si="39"/>
        <v>330</v>
      </c>
      <c r="P330" s="65"/>
    </row>
    <row r="331" spans="3:22">
      <c r="C331" s="83" t="s">
        <v>61</v>
      </c>
      <c r="D331" s="75"/>
      <c r="E331" s="75"/>
      <c r="F331" s="81" t="s">
        <v>151</v>
      </c>
      <c r="G331" s="55" t="s">
        <v>598</v>
      </c>
      <c r="H331" s="55" t="s">
        <v>124</v>
      </c>
      <c r="I331" s="59">
        <v>1.3</v>
      </c>
      <c r="J331" s="60" t="s">
        <v>599</v>
      </c>
      <c r="K331" s="63" t="str">
        <f t="shared" si="36"/>
        <v>XGF-AW4SInput</v>
      </c>
      <c r="L331" s="59">
        <f t="shared" si="41"/>
        <v>41</v>
      </c>
      <c r="M331" s="59">
        <f t="shared" si="42"/>
        <v>40</v>
      </c>
      <c r="N331" s="59">
        <f t="shared" si="40"/>
        <v>1</v>
      </c>
      <c r="O331" s="60">
        <f t="shared" si="39"/>
        <v>331</v>
      </c>
      <c r="P331" s="65"/>
    </row>
    <row r="332" spans="3:22">
      <c r="C332" s="83" t="s">
        <v>61</v>
      </c>
      <c r="D332" s="75"/>
      <c r="E332" s="75"/>
      <c r="F332" s="81" t="s">
        <v>151</v>
      </c>
      <c r="G332" s="55" t="s">
        <v>600</v>
      </c>
      <c r="H332" s="55" t="s">
        <v>139</v>
      </c>
      <c r="I332" s="59">
        <v>2</v>
      </c>
      <c r="J332" s="60" t="s">
        <v>601</v>
      </c>
      <c r="K332" s="63" t="str">
        <f t="shared" si="36"/>
        <v>XGF-AW4SInput</v>
      </c>
      <c r="L332" s="59">
        <f t="shared" si="41"/>
        <v>41</v>
      </c>
      <c r="M332" s="59">
        <f t="shared" si="42"/>
        <v>40</v>
      </c>
      <c r="N332" s="59">
        <f t="shared" si="40"/>
        <v>1</v>
      </c>
      <c r="O332" s="60">
        <f t="shared" si="39"/>
        <v>332</v>
      </c>
      <c r="P332" s="65"/>
    </row>
    <row r="333" spans="3:22">
      <c r="C333" s="83" t="s">
        <v>61</v>
      </c>
      <c r="D333" s="75"/>
      <c r="E333" s="75"/>
      <c r="F333" s="81" t="s">
        <v>151</v>
      </c>
      <c r="G333" s="55" t="s">
        <v>602</v>
      </c>
      <c r="H333" s="55" t="s">
        <v>139</v>
      </c>
      <c r="I333" s="59">
        <v>3</v>
      </c>
      <c r="J333" s="60" t="s">
        <v>603</v>
      </c>
      <c r="K333" s="63" t="str">
        <f t="shared" si="36"/>
        <v>XGF-AW4SInput</v>
      </c>
      <c r="L333" s="59">
        <f t="shared" si="41"/>
        <v>41</v>
      </c>
      <c r="M333" s="59">
        <f t="shared" si="42"/>
        <v>40</v>
      </c>
      <c r="N333" s="59">
        <f t="shared" si="40"/>
        <v>1</v>
      </c>
      <c r="O333" s="60">
        <f t="shared" si="39"/>
        <v>333</v>
      </c>
      <c r="P333" s="65"/>
    </row>
    <row r="334" spans="3:22">
      <c r="C334" s="83" t="s">
        <v>61</v>
      </c>
      <c r="D334" s="75"/>
      <c r="E334" s="75"/>
      <c r="F334" s="81" t="s">
        <v>151</v>
      </c>
      <c r="G334" s="55" t="s">
        <v>604</v>
      </c>
      <c r="H334" s="55" t="s">
        <v>139</v>
      </c>
      <c r="I334" s="59">
        <v>4</v>
      </c>
      <c r="J334" s="60" t="s">
        <v>605</v>
      </c>
      <c r="K334" s="63" t="str">
        <f t="shared" si="36"/>
        <v>XGF-AW4SInput</v>
      </c>
      <c r="L334" s="59">
        <f t="shared" si="41"/>
        <v>41</v>
      </c>
      <c r="M334" s="59">
        <f t="shared" si="42"/>
        <v>40</v>
      </c>
      <c r="N334" s="59">
        <f t="shared" si="40"/>
        <v>1</v>
      </c>
      <c r="O334" s="60">
        <f t="shared" si="39"/>
        <v>334</v>
      </c>
      <c r="P334" s="65"/>
    </row>
    <row r="335" spans="3:22">
      <c r="C335" s="83" t="s">
        <v>61</v>
      </c>
      <c r="D335" s="75"/>
      <c r="E335" s="75"/>
      <c r="F335" s="81" t="s">
        <v>151</v>
      </c>
      <c r="G335" s="55" t="s">
        <v>606</v>
      </c>
      <c r="H335" s="55" t="s">
        <v>139</v>
      </c>
      <c r="I335" s="59">
        <v>5</v>
      </c>
      <c r="J335" s="60" t="s">
        <v>607</v>
      </c>
      <c r="K335" s="63" t="str">
        <f t="shared" si="36"/>
        <v>XGF-AW4SInput</v>
      </c>
      <c r="L335" s="59">
        <f t="shared" si="41"/>
        <v>41</v>
      </c>
      <c r="M335" s="59">
        <f t="shared" si="42"/>
        <v>40</v>
      </c>
      <c r="N335" s="59">
        <f t="shared" si="40"/>
        <v>1</v>
      </c>
      <c r="O335" s="60">
        <f t="shared" si="39"/>
        <v>335</v>
      </c>
      <c r="P335" s="65"/>
    </row>
    <row r="336" spans="3:22">
      <c r="C336" s="83" t="s">
        <v>61</v>
      </c>
      <c r="D336" s="75"/>
      <c r="E336" s="75"/>
      <c r="F336" s="81" t="s">
        <v>151</v>
      </c>
      <c r="G336" s="62" t="s">
        <v>6</v>
      </c>
      <c r="H336" s="55" t="s">
        <v>139</v>
      </c>
      <c r="I336" s="59">
        <v>6</v>
      </c>
      <c r="J336" s="60" t="s">
        <v>140</v>
      </c>
      <c r="K336" s="63" t="str">
        <f t="shared" si="36"/>
        <v>XGF-AW4SInput</v>
      </c>
      <c r="L336" s="59">
        <f t="shared" si="41"/>
        <v>41</v>
      </c>
      <c r="M336" s="59">
        <f t="shared" si="42"/>
        <v>40</v>
      </c>
      <c r="N336" s="59">
        <f t="shared" si="40"/>
        <v>1</v>
      </c>
      <c r="O336" s="60">
        <f t="shared" si="39"/>
        <v>336</v>
      </c>
      <c r="P336" s="65"/>
    </row>
    <row r="337" spans="3:16">
      <c r="C337" s="83" t="s">
        <v>61</v>
      </c>
      <c r="D337" s="75"/>
      <c r="E337" s="75"/>
      <c r="F337" s="81" t="s">
        <v>151</v>
      </c>
      <c r="G337" s="62" t="s">
        <v>6</v>
      </c>
      <c r="H337" s="55" t="s">
        <v>139</v>
      </c>
      <c r="I337" s="59">
        <v>7</v>
      </c>
      <c r="J337" s="60" t="s">
        <v>140</v>
      </c>
      <c r="K337" s="63" t="str">
        <f t="shared" si="36"/>
        <v>XGF-AW4SInput</v>
      </c>
      <c r="L337" s="59">
        <f t="shared" si="41"/>
        <v>41</v>
      </c>
      <c r="M337" s="59">
        <f t="shared" si="42"/>
        <v>40</v>
      </c>
      <c r="N337" s="59">
        <f t="shared" si="40"/>
        <v>1</v>
      </c>
      <c r="O337" s="60">
        <f t="shared" si="39"/>
        <v>337</v>
      </c>
      <c r="P337" s="65"/>
    </row>
    <row r="338" spans="3:16">
      <c r="C338" s="83" t="s">
        <v>61</v>
      </c>
      <c r="D338" s="75"/>
      <c r="E338" s="75"/>
      <c r="F338" s="81" t="s">
        <v>151</v>
      </c>
      <c r="G338" s="55" t="s">
        <v>608</v>
      </c>
      <c r="H338" s="55" t="s">
        <v>124</v>
      </c>
      <c r="I338" s="59">
        <v>8</v>
      </c>
      <c r="J338" s="60" t="s">
        <v>609</v>
      </c>
      <c r="K338" s="63" t="str">
        <f t="shared" si="36"/>
        <v>XGF-AW4SInput</v>
      </c>
      <c r="L338" s="59">
        <f t="shared" si="41"/>
        <v>41</v>
      </c>
      <c r="M338" s="59">
        <f t="shared" si="42"/>
        <v>40</v>
      </c>
      <c r="N338" s="59">
        <f t="shared" si="40"/>
        <v>1</v>
      </c>
      <c r="O338" s="60">
        <f t="shared" si="39"/>
        <v>338</v>
      </c>
      <c r="P338" s="65"/>
    </row>
    <row r="339" spans="3:16">
      <c r="C339" s="83" t="s">
        <v>61</v>
      </c>
      <c r="D339" s="75"/>
      <c r="E339" s="75"/>
      <c r="F339" s="81" t="s">
        <v>151</v>
      </c>
      <c r="G339" s="55" t="s">
        <v>610</v>
      </c>
      <c r="H339" s="55" t="s">
        <v>124</v>
      </c>
      <c r="I339" s="59">
        <v>8.1</v>
      </c>
      <c r="J339" s="60" t="s">
        <v>611</v>
      </c>
      <c r="K339" s="63" t="str">
        <f t="shared" si="36"/>
        <v>XGF-AW4SInput</v>
      </c>
      <c r="L339" s="59">
        <f t="shared" si="41"/>
        <v>41</v>
      </c>
      <c r="M339" s="59">
        <f t="shared" si="42"/>
        <v>40</v>
      </c>
      <c r="N339" s="59">
        <f t="shared" si="40"/>
        <v>1</v>
      </c>
      <c r="O339" s="60">
        <f t="shared" si="39"/>
        <v>339</v>
      </c>
      <c r="P339" s="65"/>
    </row>
    <row r="340" spans="3:16">
      <c r="C340" s="83" t="s">
        <v>61</v>
      </c>
      <c r="D340" s="75"/>
      <c r="E340" s="75"/>
      <c r="F340" s="81" t="s">
        <v>151</v>
      </c>
      <c r="G340" s="55" t="s">
        <v>612</v>
      </c>
      <c r="H340" s="55" t="s">
        <v>124</v>
      </c>
      <c r="I340" s="59">
        <v>8.1999999999999993</v>
      </c>
      <c r="J340" s="60" t="s">
        <v>613</v>
      </c>
      <c r="K340" s="63" t="str">
        <f t="shared" si="36"/>
        <v>XGF-AW4SInput</v>
      </c>
      <c r="L340" s="59">
        <f t="shared" si="41"/>
        <v>41</v>
      </c>
      <c r="M340" s="59">
        <f t="shared" si="42"/>
        <v>40</v>
      </c>
      <c r="N340" s="59">
        <f t="shared" si="40"/>
        <v>1</v>
      </c>
      <c r="O340" s="60">
        <f t="shared" si="39"/>
        <v>340</v>
      </c>
      <c r="P340" s="65"/>
    </row>
    <row r="341" spans="3:16">
      <c r="C341" s="83" t="s">
        <v>61</v>
      </c>
      <c r="D341" s="75"/>
      <c r="E341" s="75"/>
      <c r="F341" s="81" t="s">
        <v>151</v>
      </c>
      <c r="G341" s="55" t="s">
        <v>614</v>
      </c>
      <c r="H341" s="55" t="s">
        <v>124</v>
      </c>
      <c r="I341" s="59">
        <v>8.3000000000000007</v>
      </c>
      <c r="J341" s="60" t="s">
        <v>615</v>
      </c>
      <c r="K341" s="63" t="str">
        <f t="shared" ref="K341:K404" si="43">C341&amp;F341</f>
        <v>XGF-AW4SInput</v>
      </c>
      <c r="L341" s="59">
        <f t="shared" si="41"/>
        <v>41</v>
      </c>
      <c r="M341" s="59">
        <f t="shared" si="42"/>
        <v>40</v>
      </c>
      <c r="N341" s="59">
        <f t="shared" si="40"/>
        <v>1</v>
      </c>
      <c r="O341" s="60">
        <f t="shared" si="39"/>
        <v>341</v>
      </c>
      <c r="P341" s="65"/>
    </row>
    <row r="342" spans="3:16">
      <c r="C342" s="83" t="s">
        <v>61</v>
      </c>
      <c r="D342" s="75"/>
      <c r="E342" s="75"/>
      <c r="F342" s="81" t="s">
        <v>151</v>
      </c>
      <c r="G342" s="55" t="s">
        <v>616</v>
      </c>
      <c r="H342" s="55" t="s">
        <v>124</v>
      </c>
      <c r="I342" s="59">
        <v>8.4</v>
      </c>
      <c r="J342" s="60" t="s">
        <v>617</v>
      </c>
      <c r="K342" s="63" t="str">
        <f t="shared" si="43"/>
        <v>XGF-AW4SInput</v>
      </c>
      <c r="L342" s="59">
        <f t="shared" si="41"/>
        <v>41</v>
      </c>
      <c r="M342" s="59">
        <f t="shared" si="42"/>
        <v>40</v>
      </c>
      <c r="N342" s="59">
        <f t="shared" si="40"/>
        <v>1</v>
      </c>
      <c r="O342" s="60">
        <f t="shared" si="39"/>
        <v>342</v>
      </c>
      <c r="P342" s="65"/>
    </row>
    <row r="343" spans="3:16">
      <c r="C343" s="83" t="s">
        <v>61</v>
      </c>
      <c r="D343" s="75"/>
      <c r="E343" s="75"/>
      <c r="F343" s="81" t="s">
        <v>151</v>
      </c>
      <c r="G343" s="55" t="s">
        <v>618</v>
      </c>
      <c r="H343" s="55" t="s">
        <v>124</v>
      </c>
      <c r="I343" s="59">
        <v>8.5</v>
      </c>
      <c r="J343" s="60" t="s">
        <v>619</v>
      </c>
      <c r="K343" s="63" t="str">
        <f t="shared" si="43"/>
        <v>XGF-AW4SInput</v>
      </c>
      <c r="L343" s="59">
        <f t="shared" si="41"/>
        <v>41</v>
      </c>
      <c r="M343" s="59">
        <f t="shared" si="42"/>
        <v>40</v>
      </c>
      <c r="N343" s="59">
        <f t="shared" si="40"/>
        <v>1</v>
      </c>
      <c r="O343" s="60">
        <f t="shared" si="39"/>
        <v>343</v>
      </c>
      <c r="P343" s="65"/>
    </row>
    <row r="344" spans="3:16">
      <c r="C344" s="83" t="s">
        <v>61</v>
      </c>
      <c r="D344" s="75"/>
      <c r="E344" s="75"/>
      <c r="F344" s="81" t="s">
        <v>151</v>
      </c>
      <c r="G344" s="55" t="s">
        <v>620</v>
      </c>
      <c r="H344" s="55" t="s">
        <v>124</v>
      </c>
      <c r="I344" s="59">
        <v>8.6</v>
      </c>
      <c r="J344" s="60" t="s">
        <v>621</v>
      </c>
      <c r="K344" s="63" t="str">
        <f t="shared" si="43"/>
        <v>XGF-AW4SInput</v>
      </c>
      <c r="L344" s="59">
        <f t="shared" si="41"/>
        <v>41</v>
      </c>
      <c r="M344" s="59">
        <f t="shared" si="42"/>
        <v>40</v>
      </c>
      <c r="N344" s="59">
        <f t="shared" si="40"/>
        <v>1</v>
      </c>
      <c r="O344" s="60">
        <f t="shared" si="39"/>
        <v>344</v>
      </c>
      <c r="P344" s="65"/>
    </row>
    <row r="345" spans="3:16">
      <c r="C345" s="83" t="s">
        <v>61</v>
      </c>
      <c r="D345" s="75"/>
      <c r="E345" s="75"/>
      <c r="F345" s="81" t="s">
        <v>151</v>
      </c>
      <c r="G345" s="55" t="s">
        <v>622</v>
      </c>
      <c r="H345" s="55" t="s">
        <v>124</v>
      </c>
      <c r="I345" s="59">
        <v>8.6999999999999993</v>
      </c>
      <c r="J345" s="60" t="s">
        <v>623</v>
      </c>
      <c r="K345" s="63" t="str">
        <f t="shared" si="43"/>
        <v>XGF-AW4SInput</v>
      </c>
      <c r="L345" s="59">
        <f t="shared" si="41"/>
        <v>41</v>
      </c>
      <c r="M345" s="59">
        <f t="shared" si="42"/>
        <v>40</v>
      </c>
      <c r="N345" s="59">
        <f t="shared" si="40"/>
        <v>1</v>
      </c>
      <c r="O345" s="60">
        <f t="shared" si="39"/>
        <v>345</v>
      </c>
      <c r="P345" s="65"/>
    </row>
    <row r="346" spans="3:16">
      <c r="C346" s="83" t="s">
        <v>61</v>
      </c>
      <c r="D346" s="75"/>
      <c r="E346" s="75"/>
      <c r="F346" s="81" t="s">
        <v>151</v>
      </c>
      <c r="G346" s="55" t="s">
        <v>624</v>
      </c>
      <c r="H346" s="55" t="s">
        <v>124</v>
      </c>
      <c r="I346" s="59">
        <v>8.8000000000000007</v>
      </c>
      <c r="J346" s="60" t="s">
        <v>625</v>
      </c>
      <c r="K346" s="63" t="str">
        <f t="shared" si="43"/>
        <v>XGF-AW4SInput</v>
      </c>
      <c r="L346" s="59">
        <f t="shared" si="41"/>
        <v>41</v>
      </c>
      <c r="M346" s="59">
        <f t="shared" si="42"/>
        <v>40</v>
      </c>
      <c r="N346" s="59">
        <f t="shared" si="40"/>
        <v>1</v>
      </c>
      <c r="O346" s="60">
        <f t="shared" si="39"/>
        <v>346</v>
      </c>
      <c r="P346" s="65"/>
    </row>
    <row r="347" spans="3:16">
      <c r="C347" s="83" t="s">
        <v>61</v>
      </c>
      <c r="D347" s="75"/>
      <c r="E347" s="75"/>
      <c r="F347" s="81" t="s">
        <v>151</v>
      </c>
      <c r="G347" s="55" t="s">
        <v>626</v>
      </c>
      <c r="H347" s="55" t="s">
        <v>124</v>
      </c>
      <c r="I347" s="59">
        <v>8.9</v>
      </c>
      <c r="J347" s="60" t="s">
        <v>627</v>
      </c>
      <c r="K347" s="63" t="str">
        <f t="shared" si="43"/>
        <v>XGF-AW4SInput</v>
      </c>
      <c r="L347" s="59">
        <f t="shared" si="41"/>
        <v>41</v>
      </c>
      <c r="M347" s="59">
        <f t="shared" si="42"/>
        <v>40</v>
      </c>
      <c r="N347" s="59">
        <f t="shared" si="40"/>
        <v>1</v>
      </c>
      <c r="O347" s="60">
        <f t="shared" si="39"/>
        <v>347</v>
      </c>
      <c r="P347" s="65"/>
    </row>
    <row r="348" spans="3:16">
      <c r="C348" s="83" t="s">
        <v>61</v>
      </c>
      <c r="D348" s="75"/>
      <c r="E348" s="75"/>
      <c r="F348" s="81" t="s">
        <v>151</v>
      </c>
      <c r="G348" s="55" t="s">
        <v>628</v>
      </c>
      <c r="H348" s="55" t="s">
        <v>124</v>
      </c>
      <c r="I348" s="59" t="s">
        <v>545</v>
      </c>
      <c r="J348" s="60" t="s">
        <v>629</v>
      </c>
      <c r="K348" s="63" t="str">
        <f t="shared" si="43"/>
        <v>XGF-AW4SInput</v>
      </c>
      <c r="L348" s="59">
        <f t="shared" si="41"/>
        <v>41</v>
      </c>
      <c r="M348" s="59">
        <f t="shared" si="42"/>
        <v>40</v>
      </c>
      <c r="N348" s="59">
        <f t="shared" si="40"/>
        <v>1</v>
      </c>
      <c r="O348" s="60">
        <f t="shared" si="39"/>
        <v>348</v>
      </c>
      <c r="P348" s="65"/>
    </row>
    <row r="349" spans="3:16">
      <c r="C349" s="83" t="s">
        <v>61</v>
      </c>
      <c r="D349" s="75"/>
      <c r="E349" s="75"/>
      <c r="F349" s="81" t="s">
        <v>151</v>
      </c>
      <c r="G349" s="55" t="s">
        <v>630</v>
      </c>
      <c r="H349" s="55" t="s">
        <v>124</v>
      </c>
      <c r="I349" s="59" t="s">
        <v>548</v>
      </c>
      <c r="J349" s="60" t="s">
        <v>631</v>
      </c>
      <c r="K349" s="63" t="str">
        <f t="shared" si="43"/>
        <v>XGF-AW4SInput</v>
      </c>
      <c r="L349" s="59">
        <f t="shared" si="41"/>
        <v>41</v>
      </c>
      <c r="M349" s="59">
        <f t="shared" si="42"/>
        <v>40</v>
      </c>
      <c r="N349" s="59">
        <f t="shared" si="40"/>
        <v>1</v>
      </c>
      <c r="O349" s="60">
        <f t="shared" si="39"/>
        <v>349</v>
      </c>
      <c r="P349" s="65"/>
    </row>
    <row r="350" spans="3:16">
      <c r="C350" s="83" t="s">
        <v>61</v>
      </c>
      <c r="D350" s="75"/>
      <c r="E350" s="75"/>
      <c r="F350" s="81" t="s">
        <v>151</v>
      </c>
      <c r="G350" s="55" t="s">
        <v>632</v>
      </c>
      <c r="H350" s="55" t="s">
        <v>124</v>
      </c>
      <c r="I350" s="59" t="s">
        <v>551</v>
      </c>
      <c r="J350" s="60" t="s">
        <v>633</v>
      </c>
      <c r="K350" s="63" t="str">
        <f t="shared" si="43"/>
        <v>XGF-AW4SInput</v>
      </c>
      <c r="L350" s="59">
        <f t="shared" si="41"/>
        <v>41</v>
      </c>
      <c r="M350" s="59">
        <f t="shared" si="42"/>
        <v>40</v>
      </c>
      <c r="N350" s="59">
        <f t="shared" si="40"/>
        <v>1</v>
      </c>
      <c r="O350" s="60">
        <f t="shared" si="39"/>
        <v>350</v>
      </c>
      <c r="P350" s="65"/>
    </row>
    <row r="351" spans="3:16">
      <c r="C351" s="83" t="s">
        <v>61</v>
      </c>
      <c r="D351" s="75"/>
      <c r="E351" s="75"/>
      <c r="F351" s="81" t="s">
        <v>151</v>
      </c>
      <c r="G351" s="55" t="s">
        <v>634</v>
      </c>
      <c r="H351" s="55" t="s">
        <v>124</v>
      </c>
      <c r="I351" s="59" t="s">
        <v>554</v>
      </c>
      <c r="J351" s="60" t="s">
        <v>635</v>
      </c>
      <c r="K351" s="63" t="str">
        <f t="shared" si="43"/>
        <v>XGF-AW4SInput</v>
      </c>
      <c r="L351" s="59">
        <f t="shared" si="41"/>
        <v>41</v>
      </c>
      <c r="M351" s="59">
        <f t="shared" si="42"/>
        <v>40</v>
      </c>
      <c r="N351" s="59">
        <f t="shared" si="40"/>
        <v>1</v>
      </c>
      <c r="O351" s="60">
        <f t="shared" si="39"/>
        <v>351</v>
      </c>
      <c r="P351" s="65"/>
    </row>
    <row r="352" spans="3:16">
      <c r="C352" s="83" t="s">
        <v>61</v>
      </c>
      <c r="D352" s="75"/>
      <c r="E352" s="75"/>
      <c r="F352" s="81" t="s">
        <v>151</v>
      </c>
      <c r="G352" s="55" t="s">
        <v>636</v>
      </c>
      <c r="H352" s="55" t="s">
        <v>124</v>
      </c>
      <c r="I352" s="59" t="s">
        <v>557</v>
      </c>
      <c r="J352" s="60" t="s">
        <v>637</v>
      </c>
      <c r="K352" s="63" t="str">
        <f t="shared" si="43"/>
        <v>XGF-AW4SInput</v>
      </c>
      <c r="L352" s="59">
        <f t="shared" si="41"/>
        <v>41</v>
      </c>
      <c r="M352" s="59">
        <f t="shared" si="42"/>
        <v>40</v>
      </c>
      <c r="N352" s="59">
        <f t="shared" si="40"/>
        <v>1</v>
      </c>
      <c r="O352" s="60">
        <f t="shared" si="39"/>
        <v>352</v>
      </c>
      <c r="P352" s="65"/>
    </row>
    <row r="353" spans="3:22">
      <c r="C353" s="83" t="s">
        <v>61</v>
      </c>
      <c r="D353" s="75"/>
      <c r="E353" s="75"/>
      <c r="F353" s="81" t="s">
        <v>151</v>
      </c>
      <c r="G353" s="55" t="s">
        <v>638</v>
      </c>
      <c r="H353" s="55" t="s">
        <v>124</v>
      </c>
      <c r="I353" s="59" t="s">
        <v>560</v>
      </c>
      <c r="J353" s="60" t="s">
        <v>639</v>
      </c>
      <c r="K353" s="63" t="str">
        <f t="shared" si="43"/>
        <v>XGF-AW4SInput</v>
      </c>
      <c r="L353" s="59">
        <f t="shared" si="41"/>
        <v>41</v>
      </c>
      <c r="M353" s="59">
        <f t="shared" si="42"/>
        <v>40</v>
      </c>
      <c r="N353" s="59">
        <f t="shared" si="40"/>
        <v>1</v>
      </c>
      <c r="O353" s="60">
        <f t="shared" si="39"/>
        <v>353</v>
      </c>
      <c r="P353" s="65"/>
    </row>
    <row r="354" spans="3:22">
      <c r="C354" s="83" t="s">
        <v>61</v>
      </c>
      <c r="D354" s="75"/>
      <c r="E354" s="75"/>
      <c r="F354" s="81" t="s">
        <v>151</v>
      </c>
      <c r="G354" s="55" t="s">
        <v>640</v>
      </c>
      <c r="H354" s="55" t="s">
        <v>124</v>
      </c>
      <c r="I354" s="59">
        <v>9</v>
      </c>
      <c r="J354" s="60" t="s">
        <v>641</v>
      </c>
      <c r="K354" s="63" t="str">
        <f t="shared" si="43"/>
        <v>XGF-AW4SInput</v>
      </c>
      <c r="L354" s="59">
        <f t="shared" si="41"/>
        <v>41</v>
      </c>
      <c r="M354" s="59">
        <f t="shared" si="42"/>
        <v>40</v>
      </c>
      <c r="N354" s="59">
        <f t="shared" si="40"/>
        <v>1</v>
      </c>
      <c r="O354" s="60">
        <f t="shared" si="39"/>
        <v>354</v>
      </c>
      <c r="P354" s="65"/>
    </row>
    <row r="355" spans="3:22">
      <c r="C355" s="83" t="s">
        <v>61</v>
      </c>
      <c r="D355" s="75"/>
      <c r="E355" s="75"/>
      <c r="F355" s="81" t="s">
        <v>151</v>
      </c>
      <c r="G355" s="55" t="s">
        <v>642</v>
      </c>
      <c r="H355" s="55" t="s">
        <v>124</v>
      </c>
      <c r="I355" s="59">
        <v>9.1</v>
      </c>
      <c r="J355" s="60" t="s">
        <v>643</v>
      </c>
      <c r="K355" s="63" t="str">
        <f t="shared" si="43"/>
        <v>XGF-AW4SInput</v>
      </c>
      <c r="L355" s="59">
        <f t="shared" si="41"/>
        <v>41</v>
      </c>
      <c r="M355" s="59">
        <f t="shared" si="42"/>
        <v>40</v>
      </c>
      <c r="N355" s="59">
        <f t="shared" si="40"/>
        <v>1</v>
      </c>
      <c r="O355" s="60">
        <f t="shared" si="39"/>
        <v>355</v>
      </c>
      <c r="P355" s="65"/>
    </row>
    <row r="356" spans="3:22">
      <c r="C356" s="83" t="s">
        <v>61</v>
      </c>
      <c r="D356" s="75"/>
      <c r="E356" s="75"/>
      <c r="F356" s="81" t="s">
        <v>151</v>
      </c>
      <c r="G356" s="55" t="s">
        <v>644</v>
      </c>
      <c r="H356" s="55" t="s">
        <v>124</v>
      </c>
      <c r="I356" s="59">
        <v>9.1999999999999993</v>
      </c>
      <c r="J356" s="60" t="s">
        <v>645</v>
      </c>
      <c r="K356" s="63" t="str">
        <f t="shared" si="43"/>
        <v>XGF-AW4SInput</v>
      </c>
      <c r="L356" s="59">
        <f t="shared" si="41"/>
        <v>41</v>
      </c>
      <c r="M356" s="59">
        <f t="shared" si="42"/>
        <v>40</v>
      </c>
      <c r="N356" s="59">
        <f t="shared" si="40"/>
        <v>1</v>
      </c>
      <c r="O356" s="60">
        <f t="shared" si="39"/>
        <v>356</v>
      </c>
      <c r="P356" s="65"/>
    </row>
    <row r="357" spans="3:22">
      <c r="C357" s="83" t="s">
        <v>61</v>
      </c>
      <c r="D357" s="75"/>
      <c r="E357" s="75"/>
      <c r="F357" s="81" t="s">
        <v>151</v>
      </c>
      <c r="G357" s="55" t="s">
        <v>646</v>
      </c>
      <c r="H357" s="55" t="s">
        <v>124</v>
      </c>
      <c r="I357" s="59">
        <v>9.3000000000000007</v>
      </c>
      <c r="J357" s="60" t="s">
        <v>647</v>
      </c>
      <c r="K357" s="63" t="str">
        <f t="shared" si="43"/>
        <v>XGF-AW4SInput</v>
      </c>
      <c r="L357" s="59">
        <f t="shared" si="41"/>
        <v>41</v>
      </c>
      <c r="M357" s="59">
        <f t="shared" si="42"/>
        <v>40</v>
      </c>
      <c r="N357" s="59">
        <f t="shared" si="40"/>
        <v>1</v>
      </c>
      <c r="O357" s="60">
        <f t="shared" si="39"/>
        <v>357</v>
      </c>
      <c r="P357" s="65"/>
    </row>
    <row r="358" spans="3:22">
      <c r="C358" s="83" t="s">
        <v>61</v>
      </c>
      <c r="D358" s="75"/>
      <c r="E358" s="75"/>
      <c r="F358" s="81" t="s">
        <v>151</v>
      </c>
      <c r="G358" s="55" t="s">
        <v>648</v>
      </c>
      <c r="H358" s="55" t="s">
        <v>124</v>
      </c>
      <c r="I358" s="59">
        <v>9.4</v>
      </c>
      <c r="J358" s="60" t="s">
        <v>649</v>
      </c>
      <c r="K358" s="63" t="str">
        <f t="shared" si="43"/>
        <v>XGF-AW4SInput</v>
      </c>
      <c r="L358" s="59">
        <f t="shared" si="41"/>
        <v>41</v>
      </c>
      <c r="M358" s="59">
        <f t="shared" si="42"/>
        <v>40</v>
      </c>
      <c r="N358" s="59">
        <f t="shared" si="40"/>
        <v>1</v>
      </c>
      <c r="O358" s="60">
        <f t="shared" si="39"/>
        <v>358</v>
      </c>
      <c r="P358" s="65"/>
    </row>
    <row r="359" spans="3:22">
      <c r="C359" s="83" t="s">
        <v>61</v>
      </c>
      <c r="D359" s="75"/>
      <c r="E359" s="75"/>
      <c r="F359" s="81" t="s">
        <v>151</v>
      </c>
      <c r="G359" s="55" t="s">
        <v>650</v>
      </c>
      <c r="H359" s="55" t="s">
        <v>124</v>
      </c>
      <c r="I359" s="59">
        <v>9.5</v>
      </c>
      <c r="J359" s="60" t="s">
        <v>651</v>
      </c>
      <c r="K359" s="63" t="str">
        <f t="shared" si="43"/>
        <v>XGF-AW4SInput</v>
      </c>
      <c r="L359" s="59">
        <f t="shared" si="41"/>
        <v>41</v>
      </c>
      <c r="M359" s="59">
        <f t="shared" si="42"/>
        <v>40</v>
      </c>
      <c r="N359" s="59">
        <f t="shared" si="40"/>
        <v>1</v>
      </c>
      <c r="O359" s="60">
        <f t="shared" si="39"/>
        <v>359</v>
      </c>
      <c r="P359" s="65"/>
    </row>
    <row r="360" spans="3:22">
      <c r="C360" s="83" t="s">
        <v>61</v>
      </c>
      <c r="D360" s="75"/>
      <c r="E360" s="75"/>
      <c r="F360" s="81" t="s">
        <v>151</v>
      </c>
      <c r="G360" s="55" t="s">
        <v>652</v>
      </c>
      <c r="H360" s="55" t="s">
        <v>124</v>
      </c>
      <c r="I360" s="59">
        <v>9.6</v>
      </c>
      <c r="J360" s="60" t="s">
        <v>653</v>
      </c>
      <c r="K360" s="63" t="str">
        <f t="shared" si="43"/>
        <v>XGF-AW4SInput</v>
      </c>
      <c r="L360" s="59">
        <f t="shared" si="41"/>
        <v>41</v>
      </c>
      <c r="M360" s="59">
        <f t="shared" si="42"/>
        <v>40</v>
      </c>
      <c r="N360" s="59">
        <f t="shared" si="40"/>
        <v>1</v>
      </c>
      <c r="O360" s="60">
        <f t="shared" si="39"/>
        <v>360</v>
      </c>
      <c r="P360" s="65"/>
    </row>
    <row r="361" spans="3:22">
      <c r="C361" s="83" t="s">
        <v>61</v>
      </c>
      <c r="D361" s="75"/>
      <c r="E361" s="75"/>
      <c r="F361" s="81" t="s">
        <v>151</v>
      </c>
      <c r="G361" s="55" t="s">
        <v>654</v>
      </c>
      <c r="H361" s="55" t="s">
        <v>124</v>
      </c>
      <c r="I361" s="59">
        <v>9.6999999999999993</v>
      </c>
      <c r="J361" s="60" t="s">
        <v>655</v>
      </c>
      <c r="K361" s="63" t="str">
        <f t="shared" si="43"/>
        <v>XGF-AW4SInput</v>
      </c>
      <c r="L361" s="59">
        <f t="shared" si="41"/>
        <v>41</v>
      </c>
      <c r="M361" s="59">
        <f t="shared" si="42"/>
        <v>40</v>
      </c>
      <c r="N361" s="59">
        <f t="shared" si="40"/>
        <v>1</v>
      </c>
      <c r="O361" s="60">
        <f t="shared" si="39"/>
        <v>361</v>
      </c>
      <c r="P361" s="65"/>
    </row>
    <row r="362" spans="3:22">
      <c r="C362" s="83" t="s">
        <v>61</v>
      </c>
      <c r="D362" s="75"/>
      <c r="E362" s="75"/>
      <c r="F362" s="81" t="s">
        <v>151</v>
      </c>
      <c r="G362" s="55" t="s">
        <v>656</v>
      </c>
      <c r="H362" s="55" t="s">
        <v>124</v>
      </c>
      <c r="I362" s="59">
        <v>10</v>
      </c>
      <c r="J362" s="60" t="s">
        <v>657</v>
      </c>
      <c r="K362" s="63" t="str">
        <f t="shared" si="43"/>
        <v>XGF-AW4SInput</v>
      </c>
      <c r="L362" s="59">
        <f t="shared" si="41"/>
        <v>41</v>
      </c>
      <c r="M362" s="59">
        <f t="shared" si="42"/>
        <v>40</v>
      </c>
      <c r="N362" s="59">
        <f t="shared" si="40"/>
        <v>1</v>
      </c>
      <c r="O362" s="60">
        <f t="shared" si="39"/>
        <v>362</v>
      </c>
      <c r="P362" s="65"/>
    </row>
    <row r="363" spans="3:22">
      <c r="C363" s="83" t="s">
        <v>61</v>
      </c>
      <c r="D363" s="75"/>
      <c r="E363" s="75"/>
      <c r="F363" s="81" t="s">
        <v>151</v>
      </c>
      <c r="G363" s="55" t="s">
        <v>658</v>
      </c>
      <c r="H363" s="55" t="s">
        <v>124</v>
      </c>
      <c r="I363" s="59">
        <v>10.1</v>
      </c>
      <c r="J363" s="60" t="s">
        <v>659</v>
      </c>
      <c r="K363" s="63" t="str">
        <f t="shared" si="43"/>
        <v>XGF-AW4SInput</v>
      </c>
      <c r="L363" s="59">
        <f t="shared" si="41"/>
        <v>41</v>
      </c>
      <c r="M363" s="59">
        <f t="shared" si="42"/>
        <v>40</v>
      </c>
      <c r="N363" s="59">
        <f t="shared" si="40"/>
        <v>1</v>
      </c>
      <c r="O363" s="60">
        <f t="shared" si="39"/>
        <v>363</v>
      </c>
      <c r="P363" s="65"/>
    </row>
    <row r="364" spans="3:22">
      <c r="C364" s="83" t="s">
        <v>61</v>
      </c>
      <c r="D364" s="75"/>
      <c r="E364" s="75"/>
      <c r="F364" s="81" t="s">
        <v>151</v>
      </c>
      <c r="G364" s="55" t="s">
        <v>660</v>
      </c>
      <c r="H364" s="55" t="s">
        <v>124</v>
      </c>
      <c r="I364" s="59">
        <v>10.199999999999999</v>
      </c>
      <c r="J364" s="60" t="s">
        <v>661</v>
      </c>
      <c r="K364" s="63" t="str">
        <f t="shared" si="43"/>
        <v>XGF-AW4SInput</v>
      </c>
      <c r="L364" s="59">
        <f t="shared" si="41"/>
        <v>41</v>
      </c>
      <c r="M364" s="59">
        <f t="shared" si="42"/>
        <v>40</v>
      </c>
      <c r="N364" s="59">
        <f t="shared" si="40"/>
        <v>1</v>
      </c>
      <c r="O364" s="60">
        <f t="shared" si="39"/>
        <v>364</v>
      </c>
      <c r="P364" s="65"/>
    </row>
    <row r="365" spans="3:22">
      <c r="C365" s="83" t="s">
        <v>61</v>
      </c>
      <c r="D365" s="75"/>
      <c r="E365" s="75"/>
      <c r="F365" s="81" t="s">
        <v>151</v>
      </c>
      <c r="G365" s="55" t="s">
        <v>662</v>
      </c>
      <c r="H365" s="55" t="s">
        <v>124</v>
      </c>
      <c r="I365" s="59">
        <v>10.3</v>
      </c>
      <c r="J365" s="60" t="s">
        <v>663</v>
      </c>
      <c r="K365" s="63" t="str">
        <f t="shared" si="43"/>
        <v>XGF-AW4SInput</v>
      </c>
      <c r="L365" s="59">
        <f t="shared" si="41"/>
        <v>41</v>
      </c>
      <c r="M365" s="59">
        <f t="shared" si="42"/>
        <v>40</v>
      </c>
      <c r="N365" s="59">
        <f t="shared" si="40"/>
        <v>1</v>
      </c>
      <c r="O365" s="60">
        <f t="shared" si="39"/>
        <v>365</v>
      </c>
      <c r="P365" s="65"/>
    </row>
    <row r="366" spans="3:22">
      <c r="C366" s="83" t="s">
        <v>61</v>
      </c>
      <c r="D366" s="75"/>
      <c r="E366" s="75"/>
      <c r="F366" s="81" t="s">
        <v>166</v>
      </c>
      <c r="G366" s="55" t="s">
        <v>664</v>
      </c>
      <c r="H366" s="55" t="s">
        <v>124</v>
      </c>
      <c r="I366" s="59">
        <v>0</v>
      </c>
      <c r="J366" s="60" t="s">
        <v>665</v>
      </c>
      <c r="K366" s="63"/>
      <c r="L366" s="59"/>
      <c r="M366" s="59"/>
      <c r="N366" s="59"/>
      <c r="O366" s="60">
        <f t="shared" si="39"/>
        <v>366</v>
      </c>
      <c r="P366" s="65"/>
    </row>
    <row r="367" spans="3:22">
      <c r="C367" s="83" t="s">
        <v>62</v>
      </c>
      <c r="D367" s="75">
        <v>4</v>
      </c>
      <c r="E367" s="75">
        <v>20</v>
      </c>
      <c r="F367" s="81" t="s">
        <v>151</v>
      </c>
      <c r="G367" s="55" t="s">
        <v>666</v>
      </c>
      <c r="H367" s="55" t="s">
        <v>124</v>
      </c>
      <c r="I367" s="59">
        <v>0</v>
      </c>
      <c r="J367" s="60" t="s">
        <v>667</v>
      </c>
      <c r="K367" s="63" t="str">
        <f t="shared" si="43"/>
        <v>XGF-DV4AInput</v>
      </c>
      <c r="L367" s="59">
        <f t="shared" ref="L367:L375" si="44">COUNTIF($C$2:$C$2062,C367)</f>
        <v>22</v>
      </c>
      <c r="M367" s="59">
        <f t="shared" ref="M367:M375" si="45">COUNTIF($K$2:$K$2062,K367)</f>
        <v>9</v>
      </c>
      <c r="N367" s="59">
        <f t="shared" si="40"/>
        <v>13</v>
      </c>
      <c r="O367" s="60">
        <f t="shared" si="39"/>
        <v>367</v>
      </c>
      <c r="P367" s="65" t="s">
        <v>3214</v>
      </c>
      <c r="Q367">
        <f>O367</f>
        <v>367</v>
      </c>
      <c r="R367" t="s">
        <v>3215</v>
      </c>
      <c r="S367">
        <v>389</v>
      </c>
      <c r="T367" t="str">
        <f>P367&amp;Q367&amp;R367&amp;S367</f>
        <v>All data map'!$F$367:$J$389</v>
      </c>
      <c r="V367" t="s">
        <v>3243</v>
      </c>
    </row>
    <row r="368" spans="3:22">
      <c r="C368" s="83" t="s">
        <v>62</v>
      </c>
      <c r="D368" s="75"/>
      <c r="E368" s="75"/>
      <c r="F368" s="81" t="s">
        <v>151</v>
      </c>
      <c r="G368" s="55" t="s">
        <v>668</v>
      </c>
      <c r="H368" s="55" t="s">
        <v>124</v>
      </c>
      <c r="I368" s="59">
        <v>0.1</v>
      </c>
      <c r="J368" s="60" t="s">
        <v>669</v>
      </c>
      <c r="K368" s="63" t="str">
        <f t="shared" si="43"/>
        <v>XGF-DV4AInput</v>
      </c>
      <c r="L368" s="59">
        <f t="shared" si="44"/>
        <v>22</v>
      </c>
      <c r="M368" s="59">
        <f t="shared" si="45"/>
        <v>9</v>
      </c>
      <c r="N368" s="59">
        <f t="shared" si="40"/>
        <v>13</v>
      </c>
      <c r="O368" s="60">
        <f t="shared" si="39"/>
        <v>368</v>
      </c>
      <c r="P368" s="65"/>
    </row>
    <row r="369" spans="3:16">
      <c r="C369" s="83" t="s">
        <v>62</v>
      </c>
      <c r="D369" s="75"/>
      <c r="E369" s="75"/>
      <c r="F369" s="81" t="s">
        <v>151</v>
      </c>
      <c r="G369" s="55" t="s">
        <v>670</v>
      </c>
      <c r="H369" s="55" t="s">
        <v>124</v>
      </c>
      <c r="I369" s="59">
        <v>0.2</v>
      </c>
      <c r="J369" s="60" t="s">
        <v>671</v>
      </c>
      <c r="K369" s="63" t="str">
        <f t="shared" si="43"/>
        <v>XGF-DV4AInput</v>
      </c>
      <c r="L369" s="59">
        <f t="shared" si="44"/>
        <v>22</v>
      </c>
      <c r="M369" s="59">
        <f t="shared" si="45"/>
        <v>9</v>
      </c>
      <c r="N369" s="59">
        <f t="shared" si="40"/>
        <v>13</v>
      </c>
      <c r="O369" s="60">
        <f t="shared" si="39"/>
        <v>369</v>
      </c>
      <c r="P369" s="65"/>
    </row>
    <row r="370" spans="3:16">
      <c r="C370" s="83" t="s">
        <v>62</v>
      </c>
      <c r="D370" s="75"/>
      <c r="E370" s="75"/>
      <c r="F370" s="81" t="s">
        <v>151</v>
      </c>
      <c r="G370" s="55" t="s">
        <v>672</v>
      </c>
      <c r="H370" s="55" t="s">
        <v>124</v>
      </c>
      <c r="I370" s="59">
        <v>0.3</v>
      </c>
      <c r="J370" s="60" t="s">
        <v>673</v>
      </c>
      <c r="K370" s="63" t="str">
        <f t="shared" si="43"/>
        <v>XGF-DV4AInput</v>
      </c>
      <c r="L370" s="59">
        <f t="shared" si="44"/>
        <v>22</v>
      </c>
      <c r="M370" s="59">
        <f t="shared" si="45"/>
        <v>9</v>
      </c>
      <c r="N370" s="59">
        <f t="shared" si="40"/>
        <v>13</v>
      </c>
      <c r="O370" s="60">
        <f t="shared" si="39"/>
        <v>370</v>
      </c>
      <c r="P370" s="65"/>
    </row>
    <row r="371" spans="3:16">
      <c r="C371" s="83" t="s">
        <v>62</v>
      </c>
      <c r="D371" s="75"/>
      <c r="E371" s="75"/>
      <c r="F371" s="81" t="s">
        <v>151</v>
      </c>
      <c r="G371" s="55" t="s">
        <v>674</v>
      </c>
      <c r="H371" s="55" t="s">
        <v>124</v>
      </c>
      <c r="I371" s="59" t="s">
        <v>126</v>
      </c>
      <c r="J371" s="60" t="s">
        <v>675</v>
      </c>
      <c r="K371" s="63" t="str">
        <f t="shared" si="43"/>
        <v>XGF-DV4AInput</v>
      </c>
      <c r="L371" s="59">
        <f t="shared" si="44"/>
        <v>22</v>
      </c>
      <c r="M371" s="59">
        <f t="shared" si="45"/>
        <v>9</v>
      </c>
      <c r="N371" s="59">
        <f t="shared" si="40"/>
        <v>13</v>
      </c>
      <c r="O371" s="60">
        <f t="shared" si="39"/>
        <v>371</v>
      </c>
      <c r="P371" s="65"/>
    </row>
    <row r="372" spans="3:16">
      <c r="C372" s="83" t="s">
        <v>62</v>
      </c>
      <c r="D372" s="75"/>
      <c r="E372" s="75"/>
      <c r="F372" s="81" t="s">
        <v>151</v>
      </c>
      <c r="G372" s="55" t="s">
        <v>676</v>
      </c>
      <c r="H372" s="55" t="s">
        <v>124</v>
      </c>
      <c r="I372" s="59">
        <v>1</v>
      </c>
      <c r="J372" s="60" t="s">
        <v>677</v>
      </c>
      <c r="K372" s="63" t="str">
        <f t="shared" si="43"/>
        <v>XGF-DV4AInput</v>
      </c>
      <c r="L372" s="59">
        <f t="shared" si="44"/>
        <v>22</v>
      </c>
      <c r="M372" s="59">
        <f t="shared" si="45"/>
        <v>9</v>
      </c>
      <c r="N372" s="59">
        <f t="shared" si="40"/>
        <v>13</v>
      </c>
      <c r="O372" s="60">
        <f t="shared" si="39"/>
        <v>372</v>
      </c>
      <c r="P372" s="65"/>
    </row>
    <row r="373" spans="3:16">
      <c r="C373" s="83" t="s">
        <v>62</v>
      </c>
      <c r="D373" s="75"/>
      <c r="E373" s="75"/>
      <c r="F373" s="81" t="s">
        <v>151</v>
      </c>
      <c r="G373" s="55" t="s">
        <v>678</v>
      </c>
      <c r="H373" s="55" t="s">
        <v>124</v>
      </c>
      <c r="I373" s="59">
        <v>1.1000000000000001</v>
      </c>
      <c r="J373" s="60" t="s">
        <v>679</v>
      </c>
      <c r="K373" s="63" t="str">
        <f t="shared" si="43"/>
        <v>XGF-DV4AInput</v>
      </c>
      <c r="L373" s="59">
        <f t="shared" si="44"/>
        <v>22</v>
      </c>
      <c r="M373" s="59">
        <f t="shared" si="45"/>
        <v>9</v>
      </c>
      <c r="N373" s="59">
        <f t="shared" si="40"/>
        <v>13</v>
      </c>
      <c r="O373" s="60">
        <f t="shared" si="39"/>
        <v>373</v>
      </c>
      <c r="P373" s="65"/>
    </row>
    <row r="374" spans="3:16">
      <c r="C374" s="83" t="s">
        <v>62</v>
      </c>
      <c r="D374" s="75"/>
      <c r="E374" s="75"/>
      <c r="F374" s="81" t="s">
        <v>151</v>
      </c>
      <c r="G374" s="55" t="s">
        <v>680</v>
      </c>
      <c r="H374" s="55" t="s">
        <v>124</v>
      </c>
      <c r="I374" s="59">
        <v>1.2</v>
      </c>
      <c r="J374" s="60" t="s">
        <v>681</v>
      </c>
      <c r="K374" s="63" t="str">
        <f t="shared" si="43"/>
        <v>XGF-DV4AInput</v>
      </c>
      <c r="L374" s="59">
        <f t="shared" si="44"/>
        <v>22</v>
      </c>
      <c r="M374" s="59">
        <f t="shared" si="45"/>
        <v>9</v>
      </c>
      <c r="N374" s="59">
        <f t="shared" si="40"/>
        <v>13</v>
      </c>
      <c r="O374" s="60">
        <f t="shared" si="39"/>
        <v>374</v>
      </c>
      <c r="P374" s="65"/>
    </row>
    <row r="375" spans="3:16">
      <c r="C375" s="83" t="s">
        <v>62</v>
      </c>
      <c r="D375" s="75"/>
      <c r="E375" s="75"/>
      <c r="F375" s="81" t="s">
        <v>151</v>
      </c>
      <c r="G375" s="55" t="s">
        <v>682</v>
      </c>
      <c r="H375" s="55" t="s">
        <v>124</v>
      </c>
      <c r="I375" s="59">
        <v>1.3</v>
      </c>
      <c r="J375" s="60" t="s">
        <v>683</v>
      </c>
      <c r="K375" s="63" t="str">
        <f t="shared" si="43"/>
        <v>XGF-DV4AInput</v>
      </c>
      <c r="L375" s="59">
        <f t="shared" si="44"/>
        <v>22</v>
      </c>
      <c r="M375" s="59">
        <f t="shared" si="45"/>
        <v>9</v>
      </c>
      <c r="N375" s="59">
        <f t="shared" si="40"/>
        <v>13</v>
      </c>
      <c r="O375" s="60">
        <f t="shared" si="39"/>
        <v>375</v>
      </c>
      <c r="P375" s="65"/>
    </row>
    <row r="376" spans="3:16">
      <c r="C376" s="83" t="s">
        <v>62</v>
      </c>
      <c r="D376" s="75"/>
      <c r="E376" s="75"/>
      <c r="F376" s="81" t="s">
        <v>166</v>
      </c>
      <c r="G376" s="55" t="s">
        <v>684</v>
      </c>
      <c r="H376" s="55" t="s">
        <v>124</v>
      </c>
      <c r="I376" s="59">
        <v>0</v>
      </c>
      <c r="J376" s="60" t="s">
        <v>685</v>
      </c>
      <c r="K376" s="63"/>
      <c r="L376" s="59"/>
      <c r="M376" s="59"/>
      <c r="N376" s="59"/>
      <c r="O376" s="60">
        <f t="shared" si="39"/>
        <v>376</v>
      </c>
      <c r="P376" s="65"/>
    </row>
    <row r="377" spans="3:16">
      <c r="C377" s="83" t="s">
        <v>62</v>
      </c>
      <c r="D377" s="75"/>
      <c r="E377" s="75"/>
      <c r="F377" s="81" t="s">
        <v>166</v>
      </c>
      <c r="G377" s="55" t="s">
        <v>686</v>
      </c>
      <c r="H377" s="55" t="s">
        <v>124</v>
      </c>
      <c r="I377" s="59">
        <v>0.1</v>
      </c>
      <c r="J377" s="60" t="s">
        <v>687</v>
      </c>
      <c r="K377" s="63"/>
      <c r="L377" s="59"/>
      <c r="M377" s="59"/>
      <c r="N377" s="59"/>
      <c r="O377" s="60">
        <f t="shared" si="39"/>
        <v>377</v>
      </c>
      <c r="P377" s="65"/>
    </row>
    <row r="378" spans="3:16">
      <c r="C378" s="83" t="s">
        <v>62</v>
      </c>
      <c r="D378" s="75"/>
      <c r="E378" s="75"/>
      <c r="F378" s="81" t="s">
        <v>166</v>
      </c>
      <c r="G378" s="55" t="s">
        <v>688</v>
      </c>
      <c r="H378" s="55" t="s">
        <v>124</v>
      </c>
      <c r="I378" s="59">
        <v>0.2</v>
      </c>
      <c r="J378" s="60" t="s">
        <v>689</v>
      </c>
      <c r="K378" s="63"/>
      <c r="L378" s="59"/>
      <c r="M378" s="59"/>
      <c r="N378" s="59"/>
      <c r="O378" s="60">
        <f t="shared" si="39"/>
        <v>378</v>
      </c>
      <c r="P378" s="65"/>
    </row>
    <row r="379" spans="3:16">
      <c r="C379" s="83" t="s">
        <v>62</v>
      </c>
      <c r="D379" s="75"/>
      <c r="E379" s="75"/>
      <c r="F379" s="81" t="s">
        <v>166</v>
      </c>
      <c r="G379" s="55" t="s">
        <v>690</v>
      </c>
      <c r="H379" s="55" t="s">
        <v>124</v>
      </c>
      <c r="I379" s="59">
        <v>0.3</v>
      </c>
      <c r="J379" s="60" t="s">
        <v>691</v>
      </c>
      <c r="K379" s="63"/>
      <c r="L379" s="59"/>
      <c r="M379" s="59"/>
      <c r="N379" s="59"/>
      <c r="O379" s="60">
        <f t="shared" si="39"/>
        <v>379</v>
      </c>
      <c r="P379" s="65"/>
    </row>
    <row r="380" spans="3:16">
      <c r="C380" s="83" t="s">
        <v>62</v>
      </c>
      <c r="D380" s="75"/>
      <c r="E380" s="75"/>
      <c r="F380" s="81" t="s">
        <v>166</v>
      </c>
      <c r="G380" s="55" t="s">
        <v>692</v>
      </c>
      <c r="H380" s="55" t="s">
        <v>139</v>
      </c>
      <c r="I380" s="59">
        <v>1</v>
      </c>
      <c r="J380" s="60" t="s">
        <v>693</v>
      </c>
      <c r="K380" s="63"/>
      <c r="L380" s="59"/>
      <c r="M380" s="59"/>
      <c r="N380" s="59"/>
      <c r="O380" s="60">
        <f t="shared" si="39"/>
        <v>380</v>
      </c>
      <c r="P380" s="65"/>
    </row>
    <row r="381" spans="3:16">
      <c r="C381" s="83" t="s">
        <v>62</v>
      </c>
      <c r="D381" s="75"/>
      <c r="E381" s="75"/>
      <c r="F381" s="81" t="s">
        <v>166</v>
      </c>
      <c r="G381" s="55" t="s">
        <v>694</v>
      </c>
      <c r="H381" s="55" t="s">
        <v>139</v>
      </c>
      <c r="I381" s="59">
        <v>2</v>
      </c>
      <c r="J381" s="60" t="s">
        <v>695</v>
      </c>
      <c r="K381" s="63"/>
      <c r="L381" s="59"/>
      <c r="M381" s="59"/>
      <c r="N381" s="59"/>
      <c r="O381" s="60">
        <f t="shared" si="39"/>
        <v>381</v>
      </c>
      <c r="P381" s="65"/>
    </row>
    <row r="382" spans="3:16">
      <c r="C382" s="83" t="s">
        <v>62</v>
      </c>
      <c r="D382" s="75"/>
      <c r="E382" s="75"/>
      <c r="F382" s="81" t="s">
        <v>166</v>
      </c>
      <c r="G382" s="55" t="s">
        <v>696</v>
      </c>
      <c r="H382" s="55" t="s">
        <v>139</v>
      </c>
      <c r="I382" s="59">
        <v>3</v>
      </c>
      <c r="J382" s="60" t="s">
        <v>697</v>
      </c>
      <c r="K382" s="63"/>
      <c r="L382" s="59"/>
      <c r="M382" s="59"/>
      <c r="N382" s="59"/>
      <c r="O382" s="60">
        <f t="shared" si="39"/>
        <v>382</v>
      </c>
      <c r="P382" s="65"/>
    </row>
    <row r="383" spans="3:16">
      <c r="C383" s="83" t="s">
        <v>62</v>
      </c>
      <c r="D383" s="75"/>
      <c r="E383" s="75"/>
      <c r="F383" s="81" t="s">
        <v>166</v>
      </c>
      <c r="G383" s="55" t="s">
        <v>698</v>
      </c>
      <c r="H383" s="55" t="s">
        <v>139</v>
      </c>
      <c r="I383" s="59">
        <v>4</v>
      </c>
      <c r="J383" s="60" t="s">
        <v>699</v>
      </c>
      <c r="K383" s="63"/>
      <c r="L383" s="59"/>
      <c r="M383" s="59"/>
      <c r="N383" s="59"/>
      <c r="O383" s="60">
        <f t="shared" si="39"/>
        <v>383</v>
      </c>
      <c r="P383" s="65"/>
    </row>
    <row r="384" spans="3:16">
      <c r="C384" s="83" t="s">
        <v>62</v>
      </c>
      <c r="D384" s="75"/>
      <c r="E384" s="75"/>
      <c r="F384" s="81" t="s">
        <v>166</v>
      </c>
      <c r="G384" s="62" t="s">
        <v>6</v>
      </c>
      <c r="H384" s="55" t="s">
        <v>139</v>
      </c>
      <c r="I384" s="59">
        <v>5</v>
      </c>
      <c r="J384" s="60" t="s">
        <v>140</v>
      </c>
      <c r="K384" s="63"/>
      <c r="L384" s="59"/>
      <c r="M384" s="59"/>
      <c r="N384" s="59"/>
      <c r="O384" s="60">
        <f t="shared" si="39"/>
        <v>384</v>
      </c>
      <c r="P384" s="65"/>
    </row>
    <row r="385" spans="3:22">
      <c r="C385" s="83" t="s">
        <v>62</v>
      </c>
      <c r="D385" s="75"/>
      <c r="E385" s="75"/>
      <c r="F385" s="81" t="s">
        <v>166</v>
      </c>
      <c r="G385" s="62" t="s">
        <v>6</v>
      </c>
      <c r="H385" s="55" t="s">
        <v>139</v>
      </c>
      <c r="I385" s="59">
        <v>6</v>
      </c>
      <c r="J385" s="60" t="s">
        <v>140</v>
      </c>
      <c r="K385" s="63"/>
      <c r="L385" s="59"/>
      <c r="M385" s="59"/>
      <c r="N385" s="59"/>
      <c r="O385" s="60">
        <f t="shared" si="39"/>
        <v>385</v>
      </c>
      <c r="P385" s="65"/>
    </row>
    <row r="386" spans="3:22">
      <c r="C386" s="83" t="s">
        <v>62</v>
      </c>
      <c r="D386" s="75"/>
      <c r="E386" s="75"/>
      <c r="F386" s="81" t="s">
        <v>166</v>
      </c>
      <c r="G386" s="62" t="s">
        <v>6</v>
      </c>
      <c r="H386" s="55" t="s">
        <v>139</v>
      </c>
      <c r="I386" s="59">
        <v>7</v>
      </c>
      <c r="J386" s="60" t="s">
        <v>140</v>
      </c>
      <c r="K386" s="63"/>
      <c r="L386" s="59"/>
      <c r="M386" s="59"/>
      <c r="N386" s="59"/>
      <c r="O386" s="60">
        <f t="shared" ref="O386:O449" si="46">ROW(C386)</f>
        <v>386</v>
      </c>
      <c r="P386" s="65"/>
    </row>
    <row r="387" spans="3:22">
      <c r="C387" s="83" t="s">
        <v>62</v>
      </c>
      <c r="D387" s="75"/>
      <c r="E387" s="75"/>
      <c r="F387" s="81" t="s">
        <v>166</v>
      </c>
      <c r="G387" s="62" t="s">
        <v>6</v>
      </c>
      <c r="H387" s="55" t="s">
        <v>139</v>
      </c>
      <c r="I387" s="59">
        <v>8</v>
      </c>
      <c r="J387" s="60" t="s">
        <v>140</v>
      </c>
      <c r="K387" s="63"/>
      <c r="L387" s="59"/>
      <c r="M387" s="59"/>
      <c r="N387" s="59"/>
      <c r="O387" s="60">
        <f t="shared" si="46"/>
        <v>387</v>
      </c>
      <c r="P387" s="65"/>
    </row>
    <row r="388" spans="3:22">
      <c r="C388" s="83" t="s">
        <v>62</v>
      </c>
      <c r="D388" s="75"/>
      <c r="E388" s="75"/>
      <c r="F388" s="81" t="s">
        <v>166</v>
      </c>
      <c r="G388" s="62" t="s">
        <v>6</v>
      </c>
      <c r="H388" s="55" t="s">
        <v>139</v>
      </c>
      <c r="I388" s="59">
        <v>9</v>
      </c>
      <c r="J388" s="60" t="s">
        <v>140</v>
      </c>
      <c r="K388" s="63"/>
      <c r="L388" s="59"/>
      <c r="M388" s="59"/>
      <c r="N388" s="59"/>
      <c r="O388" s="60">
        <f t="shared" si="46"/>
        <v>388</v>
      </c>
      <c r="P388" s="65"/>
    </row>
    <row r="389" spans="3:22">
      <c r="C389" s="83" t="s">
        <v>63</v>
      </c>
      <c r="D389" s="75">
        <v>4</v>
      </c>
      <c r="E389" s="75">
        <v>20</v>
      </c>
      <c r="F389" s="81" t="s">
        <v>151</v>
      </c>
      <c r="G389" s="55" t="s">
        <v>717</v>
      </c>
      <c r="H389" s="55" t="s">
        <v>124</v>
      </c>
      <c r="I389" s="59">
        <v>0</v>
      </c>
      <c r="J389" s="60" t="s">
        <v>667</v>
      </c>
      <c r="K389" s="63" t="str">
        <f t="shared" si="43"/>
        <v>XGF-DV8AInput</v>
      </c>
      <c r="L389" s="59">
        <f t="shared" ref="L389:L405" si="47">COUNTIF($C$2:$C$2062,C389)</f>
        <v>34</v>
      </c>
      <c r="M389" s="59">
        <f t="shared" ref="M389:M405" si="48">COUNTIF($K$2:$K$2062,K389)</f>
        <v>17</v>
      </c>
      <c r="N389" s="59">
        <f t="shared" ref="N389:N450" si="49">L389-M389</f>
        <v>17</v>
      </c>
      <c r="O389" s="60">
        <f t="shared" si="46"/>
        <v>389</v>
      </c>
      <c r="P389" s="65" t="s">
        <v>3214</v>
      </c>
      <c r="Q389">
        <f>O389</f>
        <v>389</v>
      </c>
      <c r="R389" t="s">
        <v>3215</v>
      </c>
      <c r="S389">
        <v>423</v>
      </c>
      <c r="T389" t="str">
        <f>P389&amp;Q389&amp;R389&amp;S389</f>
        <v>All data map'!$F$389:$J$423</v>
      </c>
      <c r="V389" t="s">
        <v>3244</v>
      </c>
    </row>
    <row r="390" spans="3:22">
      <c r="C390" s="83" t="s">
        <v>63</v>
      </c>
      <c r="D390" s="75"/>
      <c r="E390" s="75"/>
      <c r="F390" s="81" t="s">
        <v>151</v>
      </c>
      <c r="G390" s="55" t="s">
        <v>718</v>
      </c>
      <c r="H390" s="55" t="s">
        <v>124</v>
      </c>
      <c r="I390" s="59">
        <v>0.1</v>
      </c>
      <c r="J390" s="60" t="s">
        <v>669</v>
      </c>
      <c r="K390" s="63" t="str">
        <f t="shared" si="43"/>
        <v>XGF-DV8AInput</v>
      </c>
      <c r="L390" s="59">
        <f t="shared" si="47"/>
        <v>34</v>
      </c>
      <c r="M390" s="59">
        <f t="shared" si="48"/>
        <v>17</v>
      </c>
      <c r="N390" s="59">
        <f t="shared" si="49"/>
        <v>17</v>
      </c>
      <c r="O390" s="60">
        <f t="shared" si="46"/>
        <v>390</v>
      </c>
      <c r="P390" s="65"/>
    </row>
    <row r="391" spans="3:22">
      <c r="C391" s="83" t="s">
        <v>63</v>
      </c>
      <c r="D391" s="75"/>
      <c r="E391" s="75"/>
      <c r="F391" s="81" t="s">
        <v>151</v>
      </c>
      <c r="G391" s="55" t="s">
        <v>719</v>
      </c>
      <c r="H391" s="55" t="s">
        <v>124</v>
      </c>
      <c r="I391" s="59">
        <v>0.2</v>
      </c>
      <c r="J391" s="60" t="s">
        <v>671</v>
      </c>
      <c r="K391" s="63" t="str">
        <f t="shared" si="43"/>
        <v>XGF-DV8AInput</v>
      </c>
      <c r="L391" s="59">
        <f t="shared" si="47"/>
        <v>34</v>
      </c>
      <c r="M391" s="59">
        <f t="shared" si="48"/>
        <v>17</v>
      </c>
      <c r="N391" s="59">
        <f t="shared" si="49"/>
        <v>17</v>
      </c>
      <c r="O391" s="60">
        <f t="shared" si="46"/>
        <v>391</v>
      </c>
      <c r="P391" s="65"/>
    </row>
    <row r="392" spans="3:22">
      <c r="C392" s="83" t="s">
        <v>63</v>
      </c>
      <c r="D392" s="75"/>
      <c r="E392" s="75"/>
      <c r="F392" s="81" t="s">
        <v>151</v>
      </c>
      <c r="G392" s="55" t="s">
        <v>720</v>
      </c>
      <c r="H392" s="55" t="s">
        <v>124</v>
      </c>
      <c r="I392" s="59">
        <v>0.3</v>
      </c>
      <c r="J392" s="60" t="s">
        <v>673</v>
      </c>
      <c r="K392" s="63" t="str">
        <f t="shared" si="43"/>
        <v>XGF-DV8AInput</v>
      </c>
      <c r="L392" s="59">
        <f t="shared" si="47"/>
        <v>34</v>
      </c>
      <c r="M392" s="59">
        <f t="shared" si="48"/>
        <v>17</v>
      </c>
      <c r="N392" s="59">
        <f t="shared" si="49"/>
        <v>17</v>
      </c>
      <c r="O392" s="60">
        <f t="shared" si="46"/>
        <v>392</v>
      </c>
      <c r="P392" s="65"/>
    </row>
    <row r="393" spans="3:22">
      <c r="C393" s="83" t="s">
        <v>63</v>
      </c>
      <c r="D393" s="75"/>
      <c r="E393" s="75"/>
      <c r="F393" s="81" t="s">
        <v>151</v>
      </c>
      <c r="G393" s="55" t="s">
        <v>721</v>
      </c>
      <c r="H393" s="55" t="s">
        <v>124</v>
      </c>
      <c r="I393" s="59">
        <v>0.4</v>
      </c>
      <c r="J393" s="60" t="s">
        <v>722</v>
      </c>
      <c r="K393" s="63" t="str">
        <f t="shared" si="43"/>
        <v>XGF-DV8AInput</v>
      </c>
      <c r="L393" s="59">
        <f t="shared" si="47"/>
        <v>34</v>
      </c>
      <c r="M393" s="59">
        <f t="shared" si="48"/>
        <v>17</v>
      </c>
      <c r="N393" s="59">
        <f t="shared" si="49"/>
        <v>17</v>
      </c>
      <c r="O393" s="60">
        <f t="shared" si="46"/>
        <v>393</v>
      </c>
      <c r="P393" s="65"/>
    </row>
    <row r="394" spans="3:22">
      <c r="C394" s="83" t="s">
        <v>63</v>
      </c>
      <c r="D394" s="75"/>
      <c r="E394" s="75"/>
      <c r="F394" s="81" t="s">
        <v>151</v>
      </c>
      <c r="G394" s="55" t="s">
        <v>723</v>
      </c>
      <c r="H394" s="55" t="s">
        <v>124</v>
      </c>
      <c r="I394" s="59">
        <v>0.5</v>
      </c>
      <c r="J394" s="60" t="s">
        <v>724</v>
      </c>
      <c r="K394" s="63" t="str">
        <f t="shared" si="43"/>
        <v>XGF-DV8AInput</v>
      </c>
      <c r="L394" s="59">
        <f t="shared" si="47"/>
        <v>34</v>
      </c>
      <c r="M394" s="59">
        <f t="shared" si="48"/>
        <v>17</v>
      </c>
      <c r="N394" s="59">
        <f t="shared" si="49"/>
        <v>17</v>
      </c>
      <c r="O394" s="60">
        <f t="shared" si="46"/>
        <v>394</v>
      </c>
      <c r="P394" s="65"/>
    </row>
    <row r="395" spans="3:22">
      <c r="C395" s="83" t="s">
        <v>63</v>
      </c>
      <c r="D395" s="75"/>
      <c r="E395" s="75"/>
      <c r="F395" s="81" t="s">
        <v>151</v>
      </c>
      <c r="G395" s="55" t="s">
        <v>725</v>
      </c>
      <c r="H395" s="55" t="s">
        <v>124</v>
      </c>
      <c r="I395" s="59">
        <v>0.6</v>
      </c>
      <c r="J395" s="60" t="s">
        <v>726</v>
      </c>
      <c r="K395" s="63" t="str">
        <f t="shared" si="43"/>
        <v>XGF-DV8AInput</v>
      </c>
      <c r="L395" s="59">
        <f t="shared" si="47"/>
        <v>34</v>
      </c>
      <c r="M395" s="59">
        <f t="shared" si="48"/>
        <v>17</v>
      </c>
      <c r="N395" s="59">
        <f t="shared" si="49"/>
        <v>17</v>
      </c>
      <c r="O395" s="60">
        <f t="shared" si="46"/>
        <v>395</v>
      </c>
      <c r="P395" s="65"/>
    </row>
    <row r="396" spans="3:22">
      <c r="C396" s="83" t="s">
        <v>63</v>
      </c>
      <c r="D396" s="75"/>
      <c r="E396" s="75"/>
      <c r="F396" s="81" t="s">
        <v>151</v>
      </c>
      <c r="G396" s="55" t="s">
        <v>727</v>
      </c>
      <c r="H396" s="55" t="s">
        <v>124</v>
      </c>
      <c r="I396" s="59">
        <v>0.7</v>
      </c>
      <c r="J396" s="60" t="s">
        <v>728</v>
      </c>
      <c r="K396" s="63" t="str">
        <f t="shared" si="43"/>
        <v>XGF-DV8AInput</v>
      </c>
      <c r="L396" s="59">
        <f t="shared" si="47"/>
        <v>34</v>
      </c>
      <c r="M396" s="59">
        <f t="shared" si="48"/>
        <v>17</v>
      </c>
      <c r="N396" s="59">
        <f t="shared" si="49"/>
        <v>17</v>
      </c>
      <c r="O396" s="60">
        <f t="shared" si="46"/>
        <v>396</v>
      </c>
      <c r="P396" s="65"/>
    </row>
    <row r="397" spans="3:22">
      <c r="C397" s="83" t="s">
        <v>63</v>
      </c>
      <c r="D397" s="75"/>
      <c r="E397" s="75"/>
      <c r="F397" s="81" t="s">
        <v>151</v>
      </c>
      <c r="G397" s="55" t="s">
        <v>729</v>
      </c>
      <c r="H397" s="55" t="s">
        <v>124</v>
      </c>
      <c r="I397" s="59" t="s">
        <v>126</v>
      </c>
      <c r="J397" s="60" t="s">
        <v>675</v>
      </c>
      <c r="K397" s="63" t="str">
        <f t="shared" si="43"/>
        <v>XGF-DV8AInput</v>
      </c>
      <c r="L397" s="59">
        <f t="shared" si="47"/>
        <v>34</v>
      </c>
      <c r="M397" s="59">
        <f t="shared" si="48"/>
        <v>17</v>
      </c>
      <c r="N397" s="59">
        <f t="shared" si="49"/>
        <v>17</v>
      </c>
      <c r="O397" s="60">
        <f t="shared" si="46"/>
        <v>397</v>
      </c>
      <c r="P397" s="65"/>
    </row>
    <row r="398" spans="3:22">
      <c r="C398" s="83" t="s">
        <v>63</v>
      </c>
      <c r="D398" s="75"/>
      <c r="E398" s="75"/>
      <c r="F398" s="81" t="s">
        <v>151</v>
      </c>
      <c r="G398" s="55" t="s">
        <v>730</v>
      </c>
      <c r="H398" s="55" t="s">
        <v>124</v>
      </c>
      <c r="I398" s="59">
        <v>1</v>
      </c>
      <c r="J398" s="60" t="s">
        <v>677</v>
      </c>
      <c r="K398" s="63" t="str">
        <f t="shared" si="43"/>
        <v>XGF-DV8AInput</v>
      </c>
      <c r="L398" s="59">
        <f t="shared" si="47"/>
        <v>34</v>
      </c>
      <c r="M398" s="59">
        <f t="shared" si="48"/>
        <v>17</v>
      </c>
      <c r="N398" s="59">
        <f t="shared" si="49"/>
        <v>17</v>
      </c>
      <c r="O398" s="60">
        <f t="shared" si="46"/>
        <v>398</v>
      </c>
      <c r="P398" s="65"/>
    </row>
    <row r="399" spans="3:22">
      <c r="C399" s="83" t="s">
        <v>63</v>
      </c>
      <c r="D399" s="75"/>
      <c r="E399" s="75"/>
      <c r="F399" s="81" t="s">
        <v>151</v>
      </c>
      <c r="G399" s="55" t="s">
        <v>731</v>
      </c>
      <c r="H399" s="55" t="s">
        <v>124</v>
      </c>
      <c r="I399" s="59">
        <v>1.1000000000000001</v>
      </c>
      <c r="J399" s="60" t="s">
        <v>679</v>
      </c>
      <c r="K399" s="63" t="str">
        <f t="shared" si="43"/>
        <v>XGF-DV8AInput</v>
      </c>
      <c r="L399" s="59">
        <f t="shared" si="47"/>
        <v>34</v>
      </c>
      <c r="M399" s="59">
        <f t="shared" si="48"/>
        <v>17</v>
      </c>
      <c r="N399" s="59">
        <f t="shared" si="49"/>
        <v>17</v>
      </c>
      <c r="O399" s="60">
        <f t="shared" si="46"/>
        <v>399</v>
      </c>
      <c r="P399" s="65"/>
    </row>
    <row r="400" spans="3:22">
      <c r="C400" s="83" t="s">
        <v>63</v>
      </c>
      <c r="D400" s="75"/>
      <c r="E400" s="75"/>
      <c r="F400" s="81" t="s">
        <v>151</v>
      </c>
      <c r="G400" s="55" t="s">
        <v>732</v>
      </c>
      <c r="H400" s="55" t="s">
        <v>124</v>
      </c>
      <c r="I400" s="59">
        <v>1.2</v>
      </c>
      <c r="J400" s="60" t="s">
        <v>681</v>
      </c>
      <c r="K400" s="63" t="str">
        <f t="shared" si="43"/>
        <v>XGF-DV8AInput</v>
      </c>
      <c r="L400" s="59">
        <f t="shared" si="47"/>
        <v>34</v>
      </c>
      <c r="M400" s="59">
        <f t="shared" si="48"/>
        <v>17</v>
      </c>
      <c r="N400" s="59">
        <f t="shared" si="49"/>
        <v>17</v>
      </c>
      <c r="O400" s="60">
        <f t="shared" si="46"/>
        <v>400</v>
      </c>
      <c r="P400" s="65"/>
    </row>
    <row r="401" spans="3:16">
      <c r="C401" s="83" t="s">
        <v>63</v>
      </c>
      <c r="D401" s="75"/>
      <c r="E401" s="75"/>
      <c r="F401" s="81" t="s">
        <v>151</v>
      </c>
      <c r="G401" s="55" t="s">
        <v>733</v>
      </c>
      <c r="H401" s="55" t="s">
        <v>124</v>
      </c>
      <c r="I401" s="59">
        <v>1.3</v>
      </c>
      <c r="J401" s="60" t="s">
        <v>683</v>
      </c>
      <c r="K401" s="63" t="str">
        <f t="shared" si="43"/>
        <v>XGF-DV8AInput</v>
      </c>
      <c r="L401" s="59">
        <f t="shared" si="47"/>
        <v>34</v>
      </c>
      <c r="M401" s="59">
        <f t="shared" si="48"/>
        <v>17</v>
      </c>
      <c r="N401" s="59">
        <f t="shared" si="49"/>
        <v>17</v>
      </c>
      <c r="O401" s="60">
        <f t="shared" si="46"/>
        <v>401</v>
      </c>
      <c r="P401" s="65"/>
    </row>
    <row r="402" spans="3:16">
      <c r="C402" s="83" t="s">
        <v>63</v>
      </c>
      <c r="D402" s="75"/>
      <c r="E402" s="75"/>
      <c r="F402" s="81" t="s">
        <v>151</v>
      </c>
      <c r="G402" s="55" t="s">
        <v>734</v>
      </c>
      <c r="H402" s="55" t="s">
        <v>124</v>
      </c>
      <c r="I402" s="59">
        <v>1.4</v>
      </c>
      <c r="J402" s="60" t="s">
        <v>735</v>
      </c>
      <c r="K402" s="63" t="str">
        <f t="shared" si="43"/>
        <v>XGF-DV8AInput</v>
      </c>
      <c r="L402" s="59">
        <f t="shared" si="47"/>
        <v>34</v>
      </c>
      <c r="M402" s="59">
        <f t="shared" si="48"/>
        <v>17</v>
      </c>
      <c r="N402" s="59">
        <f t="shared" si="49"/>
        <v>17</v>
      </c>
      <c r="O402" s="60">
        <f t="shared" si="46"/>
        <v>402</v>
      </c>
      <c r="P402" s="65"/>
    </row>
    <row r="403" spans="3:16">
      <c r="C403" s="83" t="s">
        <v>63</v>
      </c>
      <c r="D403" s="75"/>
      <c r="E403" s="75"/>
      <c r="F403" s="81" t="s">
        <v>151</v>
      </c>
      <c r="G403" s="55" t="s">
        <v>736</v>
      </c>
      <c r="H403" s="55" t="s">
        <v>124</v>
      </c>
      <c r="I403" s="59">
        <v>1.5</v>
      </c>
      <c r="J403" s="60" t="s">
        <v>737</v>
      </c>
      <c r="K403" s="63" t="str">
        <f t="shared" si="43"/>
        <v>XGF-DV8AInput</v>
      </c>
      <c r="L403" s="59">
        <f t="shared" si="47"/>
        <v>34</v>
      </c>
      <c r="M403" s="59">
        <f t="shared" si="48"/>
        <v>17</v>
      </c>
      <c r="N403" s="59">
        <f t="shared" si="49"/>
        <v>17</v>
      </c>
      <c r="O403" s="60">
        <f t="shared" si="46"/>
        <v>403</v>
      </c>
      <c r="P403" s="65"/>
    </row>
    <row r="404" spans="3:16">
      <c r="C404" s="83" t="s">
        <v>63</v>
      </c>
      <c r="D404" s="75"/>
      <c r="E404" s="75"/>
      <c r="F404" s="81" t="s">
        <v>151</v>
      </c>
      <c r="G404" s="55" t="s">
        <v>738</v>
      </c>
      <c r="H404" s="55" t="s">
        <v>124</v>
      </c>
      <c r="I404" s="59">
        <v>1.6</v>
      </c>
      <c r="J404" s="60" t="s">
        <v>739</v>
      </c>
      <c r="K404" s="63" t="str">
        <f t="shared" si="43"/>
        <v>XGF-DV8AInput</v>
      </c>
      <c r="L404" s="59">
        <f t="shared" si="47"/>
        <v>34</v>
      </c>
      <c r="M404" s="59">
        <f t="shared" si="48"/>
        <v>17</v>
      </c>
      <c r="N404" s="59">
        <f t="shared" si="49"/>
        <v>17</v>
      </c>
      <c r="O404" s="60">
        <f t="shared" si="46"/>
        <v>404</v>
      </c>
      <c r="P404" s="65"/>
    </row>
    <row r="405" spans="3:16">
      <c r="C405" s="83" t="s">
        <v>63</v>
      </c>
      <c r="D405" s="75"/>
      <c r="E405" s="75"/>
      <c r="F405" s="81" t="s">
        <v>151</v>
      </c>
      <c r="G405" s="55" t="s">
        <v>740</v>
      </c>
      <c r="H405" s="55" t="s">
        <v>124</v>
      </c>
      <c r="I405" s="59">
        <v>1.7</v>
      </c>
      <c r="J405" s="60" t="s">
        <v>741</v>
      </c>
      <c r="K405" s="63" t="str">
        <f>C405&amp;F405</f>
        <v>XGF-DV8AInput</v>
      </c>
      <c r="L405" s="59">
        <f t="shared" si="47"/>
        <v>34</v>
      </c>
      <c r="M405" s="59">
        <f t="shared" si="48"/>
        <v>17</v>
      </c>
      <c r="N405" s="59">
        <f t="shared" si="49"/>
        <v>17</v>
      </c>
      <c r="O405" s="60">
        <f t="shared" si="46"/>
        <v>405</v>
      </c>
      <c r="P405" s="65"/>
    </row>
    <row r="406" spans="3:16">
      <c r="C406" s="83" t="s">
        <v>63</v>
      </c>
      <c r="D406" s="75"/>
      <c r="E406" s="75"/>
      <c r="F406" s="81" t="s">
        <v>166</v>
      </c>
      <c r="G406" s="55" t="s">
        <v>742</v>
      </c>
      <c r="H406" s="55" t="s">
        <v>124</v>
      </c>
      <c r="I406" s="59">
        <v>0</v>
      </c>
      <c r="J406" s="60" t="s">
        <v>685</v>
      </c>
      <c r="K406" s="63"/>
      <c r="L406" s="59"/>
      <c r="M406" s="59"/>
      <c r="N406" s="59"/>
      <c r="O406" s="60">
        <f t="shared" si="46"/>
        <v>406</v>
      </c>
      <c r="P406" s="65"/>
    </row>
    <row r="407" spans="3:16">
      <c r="C407" s="83" t="s">
        <v>63</v>
      </c>
      <c r="D407" s="75"/>
      <c r="E407" s="75"/>
      <c r="F407" s="81" t="s">
        <v>166</v>
      </c>
      <c r="G407" s="55" t="s">
        <v>743</v>
      </c>
      <c r="H407" s="55" t="s">
        <v>124</v>
      </c>
      <c r="I407" s="59">
        <v>0.1</v>
      </c>
      <c r="J407" s="60" t="s">
        <v>687</v>
      </c>
      <c r="K407" s="63"/>
      <c r="L407" s="59"/>
      <c r="M407" s="59"/>
      <c r="N407" s="59"/>
      <c r="O407" s="60">
        <f t="shared" si="46"/>
        <v>407</v>
      </c>
      <c r="P407" s="65"/>
    </row>
    <row r="408" spans="3:16">
      <c r="C408" s="83" t="s">
        <v>63</v>
      </c>
      <c r="D408" s="75"/>
      <c r="E408" s="75"/>
      <c r="F408" s="81" t="s">
        <v>166</v>
      </c>
      <c r="G408" s="55" t="s">
        <v>744</v>
      </c>
      <c r="H408" s="55" t="s">
        <v>124</v>
      </c>
      <c r="I408" s="59">
        <v>0.2</v>
      </c>
      <c r="J408" s="60" t="s">
        <v>689</v>
      </c>
      <c r="K408" s="63"/>
      <c r="L408" s="59"/>
      <c r="M408" s="59"/>
      <c r="N408" s="59"/>
      <c r="O408" s="60">
        <f t="shared" si="46"/>
        <v>408</v>
      </c>
      <c r="P408" s="65"/>
    </row>
    <row r="409" spans="3:16">
      <c r="C409" s="83" t="s">
        <v>63</v>
      </c>
      <c r="D409" s="75"/>
      <c r="E409" s="75"/>
      <c r="F409" s="81" t="s">
        <v>166</v>
      </c>
      <c r="G409" s="55" t="s">
        <v>745</v>
      </c>
      <c r="H409" s="55" t="s">
        <v>124</v>
      </c>
      <c r="I409" s="59">
        <v>0.3</v>
      </c>
      <c r="J409" s="60" t="s">
        <v>691</v>
      </c>
      <c r="K409" s="63"/>
      <c r="L409" s="59"/>
      <c r="M409" s="59"/>
      <c r="N409" s="59"/>
      <c r="O409" s="60">
        <f t="shared" si="46"/>
        <v>409</v>
      </c>
      <c r="P409" s="65"/>
    </row>
    <row r="410" spans="3:16">
      <c r="C410" s="83" t="s">
        <v>63</v>
      </c>
      <c r="D410" s="75"/>
      <c r="E410" s="75"/>
      <c r="F410" s="81" t="s">
        <v>166</v>
      </c>
      <c r="G410" s="55" t="s">
        <v>746</v>
      </c>
      <c r="H410" s="55" t="s">
        <v>124</v>
      </c>
      <c r="I410" s="59">
        <v>0.4</v>
      </c>
      <c r="J410" s="60" t="s">
        <v>747</v>
      </c>
      <c r="K410" s="63"/>
      <c r="L410" s="59"/>
      <c r="M410" s="59"/>
      <c r="N410" s="59"/>
      <c r="O410" s="60">
        <f t="shared" si="46"/>
        <v>410</v>
      </c>
      <c r="P410" s="65"/>
    </row>
    <row r="411" spans="3:16">
      <c r="C411" s="83" t="s">
        <v>63</v>
      </c>
      <c r="D411" s="75"/>
      <c r="E411" s="75"/>
      <c r="F411" s="81" t="s">
        <v>166</v>
      </c>
      <c r="G411" s="55" t="s">
        <v>748</v>
      </c>
      <c r="H411" s="55" t="s">
        <v>124</v>
      </c>
      <c r="I411" s="59">
        <v>0.5</v>
      </c>
      <c r="J411" s="60" t="s">
        <v>749</v>
      </c>
      <c r="K411" s="63"/>
      <c r="L411" s="59"/>
      <c r="M411" s="59"/>
      <c r="N411" s="59"/>
      <c r="O411" s="60">
        <f t="shared" si="46"/>
        <v>411</v>
      </c>
      <c r="P411" s="65"/>
    </row>
    <row r="412" spans="3:16">
      <c r="C412" s="83" t="s">
        <v>63</v>
      </c>
      <c r="D412" s="75"/>
      <c r="E412" s="75"/>
      <c r="F412" s="81" t="s">
        <v>166</v>
      </c>
      <c r="G412" s="55" t="s">
        <v>750</v>
      </c>
      <c r="H412" s="55" t="s">
        <v>124</v>
      </c>
      <c r="I412" s="59">
        <v>0.6</v>
      </c>
      <c r="J412" s="60" t="s">
        <v>751</v>
      </c>
      <c r="K412" s="63"/>
      <c r="L412" s="59"/>
      <c r="M412" s="59"/>
      <c r="N412" s="59"/>
      <c r="O412" s="60">
        <f t="shared" si="46"/>
        <v>412</v>
      </c>
      <c r="P412" s="65"/>
    </row>
    <row r="413" spans="3:16">
      <c r="C413" s="83" t="s">
        <v>63</v>
      </c>
      <c r="D413" s="75"/>
      <c r="E413" s="75"/>
      <c r="F413" s="81" t="s">
        <v>166</v>
      </c>
      <c r="G413" s="55" t="s">
        <v>752</v>
      </c>
      <c r="H413" s="55" t="s">
        <v>124</v>
      </c>
      <c r="I413" s="59">
        <v>0.7</v>
      </c>
      <c r="J413" s="60" t="s">
        <v>753</v>
      </c>
      <c r="K413" s="63"/>
      <c r="L413" s="59"/>
      <c r="M413" s="59"/>
      <c r="N413" s="59"/>
      <c r="O413" s="60">
        <f t="shared" si="46"/>
        <v>413</v>
      </c>
      <c r="P413" s="65"/>
    </row>
    <row r="414" spans="3:16">
      <c r="C414" s="83" t="s">
        <v>63</v>
      </c>
      <c r="D414" s="75"/>
      <c r="E414" s="75"/>
      <c r="F414" s="81" t="s">
        <v>166</v>
      </c>
      <c r="G414" s="55" t="s">
        <v>754</v>
      </c>
      <c r="H414" s="55" t="s">
        <v>139</v>
      </c>
      <c r="I414" s="59">
        <v>1</v>
      </c>
      <c r="J414" s="60" t="s">
        <v>693</v>
      </c>
      <c r="K414" s="63"/>
      <c r="L414" s="59"/>
      <c r="M414" s="59"/>
      <c r="N414" s="59"/>
      <c r="O414" s="60">
        <f t="shared" si="46"/>
        <v>414</v>
      </c>
      <c r="P414" s="65"/>
    </row>
    <row r="415" spans="3:16">
      <c r="C415" s="83" t="s">
        <v>63</v>
      </c>
      <c r="D415" s="75"/>
      <c r="E415" s="75"/>
      <c r="F415" s="81" t="s">
        <v>166</v>
      </c>
      <c r="G415" s="55" t="s">
        <v>755</v>
      </c>
      <c r="H415" s="55" t="s">
        <v>139</v>
      </c>
      <c r="I415" s="59">
        <v>2</v>
      </c>
      <c r="J415" s="60" t="s">
        <v>695</v>
      </c>
      <c r="K415" s="63"/>
      <c r="L415" s="59"/>
      <c r="M415" s="59"/>
      <c r="N415" s="59"/>
      <c r="O415" s="60">
        <f t="shared" si="46"/>
        <v>415</v>
      </c>
      <c r="P415" s="65"/>
    </row>
    <row r="416" spans="3:16">
      <c r="C416" s="83" t="s">
        <v>63</v>
      </c>
      <c r="D416" s="75"/>
      <c r="E416" s="75"/>
      <c r="F416" s="81" t="s">
        <v>166</v>
      </c>
      <c r="G416" s="55" t="s">
        <v>756</v>
      </c>
      <c r="H416" s="55" t="s">
        <v>139</v>
      </c>
      <c r="I416" s="59">
        <v>3</v>
      </c>
      <c r="J416" s="60" t="s">
        <v>697</v>
      </c>
      <c r="K416" s="63"/>
      <c r="L416" s="59"/>
      <c r="M416" s="59"/>
      <c r="N416" s="59"/>
      <c r="O416" s="60">
        <f t="shared" si="46"/>
        <v>416</v>
      </c>
      <c r="P416" s="65"/>
    </row>
    <row r="417" spans="3:22">
      <c r="C417" s="83" t="s">
        <v>63</v>
      </c>
      <c r="D417" s="75"/>
      <c r="E417" s="75"/>
      <c r="F417" s="81" t="s">
        <v>166</v>
      </c>
      <c r="G417" s="55" t="s">
        <v>757</v>
      </c>
      <c r="H417" s="55" t="s">
        <v>139</v>
      </c>
      <c r="I417" s="59">
        <v>4</v>
      </c>
      <c r="J417" s="60" t="s">
        <v>699</v>
      </c>
      <c r="K417" s="63"/>
      <c r="L417" s="59"/>
      <c r="M417" s="59"/>
      <c r="N417" s="59"/>
      <c r="O417" s="60">
        <f t="shared" si="46"/>
        <v>417</v>
      </c>
      <c r="P417" s="65"/>
    </row>
    <row r="418" spans="3:22">
      <c r="C418" s="83" t="s">
        <v>63</v>
      </c>
      <c r="D418" s="75"/>
      <c r="E418" s="75"/>
      <c r="F418" s="81" t="s">
        <v>166</v>
      </c>
      <c r="G418" s="55" t="s">
        <v>758</v>
      </c>
      <c r="H418" s="55" t="s">
        <v>139</v>
      </c>
      <c r="I418" s="59">
        <v>5</v>
      </c>
      <c r="J418" s="60" t="s">
        <v>759</v>
      </c>
      <c r="K418" s="63"/>
      <c r="L418" s="59"/>
      <c r="M418" s="59"/>
      <c r="N418" s="59"/>
      <c r="O418" s="60">
        <f t="shared" si="46"/>
        <v>418</v>
      </c>
      <c r="P418" s="65"/>
    </row>
    <row r="419" spans="3:22">
      <c r="C419" s="83" t="s">
        <v>63</v>
      </c>
      <c r="D419" s="75"/>
      <c r="E419" s="75"/>
      <c r="F419" s="81" t="s">
        <v>166</v>
      </c>
      <c r="G419" s="55" t="s">
        <v>760</v>
      </c>
      <c r="H419" s="55" t="s">
        <v>139</v>
      </c>
      <c r="I419" s="59">
        <v>6</v>
      </c>
      <c r="J419" s="60" t="s">
        <v>761</v>
      </c>
      <c r="K419" s="63"/>
      <c r="L419" s="59"/>
      <c r="M419" s="59"/>
      <c r="N419" s="59"/>
      <c r="O419" s="60">
        <f t="shared" si="46"/>
        <v>419</v>
      </c>
      <c r="P419" s="65"/>
    </row>
    <row r="420" spans="3:22">
      <c r="C420" s="83" t="s">
        <v>63</v>
      </c>
      <c r="D420" s="75"/>
      <c r="E420" s="75"/>
      <c r="F420" s="81" t="s">
        <v>166</v>
      </c>
      <c r="G420" s="55" t="s">
        <v>762</v>
      </c>
      <c r="H420" s="55" t="s">
        <v>139</v>
      </c>
      <c r="I420" s="59">
        <v>7</v>
      </c>
      <c r="J420" s="60" t="s">
        <v>763</v>
      </c>
      <c r="K420" s="63"/>
      <c r="L420" s="59"/>
      <c r="M420" s="59"/>
      <c r="N420" s="59"/>
      <c r="O420" s="60">
        <f t="shared" si="46"/>
        <v>420</v>
      </c>
      <c r="P420" s="65"/>
    </row>
    <row r="421" spans="3:22">
      <c r="C421" s="83" t="s">
        <v>63</v>
      </c>
      <c r="D421" s="75"/>
      <c r="E421" s="75"/>
      <c r="F421" s="81" t="s">
        <v>166</v>
      </c>
      <c r="G421" s="55" t="s">
        <v>764</v>
      </c>
      <c r="H421" s="55" t="s">
        <v>139</v>
      </c>
      <c r="I421" s="59">
        <v>8</v>
      </c>
      <c r="J421" s="60" t="s">
        <v>765</v>
      </c>
      <c r="K421" s="63"/>
      <c r="L421" s="59"/>
      <c r="M421" s="59"/>
      <c r="N421" s="59"/>
      <c r="O421" s="60">
        <f t="shared" si="46"/>
        <v>421</v>
      </c>
      <c r="P421" s="65"/>
    </row>
    <row r="422" spans="3:22">
      <c r="C422" s="83" t="s">
        <v>63</v>
      </c>
      <c r="D422" s="75"/>
      <c r="E422" s="75"/>
      <c r="F422" s="81" t="s">
        <v>166</v>
      </c>
      <c r="G422" s="62" t="s">
        <v>6</v>
      </c>
      <c r="H422" s="55" t="s">
        <v>139</v>
      </c>
      <c r="I422" s="59">
        <v>9</v>
      </c>
      <c r="J422" s="60" t="s">
        <v>140</v>
      </c>
      <c r="K422" s="63"/>
      <c r="L422" s="59"/>
      <c r="M422" s="59"/>
      <c r="N422" s="59"/>
      <c r="O422" s="60">
        <f t="shared" si="46"/>
        <v>422</v>
      </c>
      <c r="P422" s="65"/>
    </row>
    <row r="423" spans="3:22">
      <c r="C423" s="83" t="s">
        <v>64</v>
      </c>
      <c r="D423" s="75">
        <v>4</v>
      </c>
      <c r="E423" s="75">
        <v>20</v>
      </c>
      <c r="F423" s="81" t="s">
        <v>151</v>
      </c>
      <c r="G423" s="55" t="s">
        <v>700</v>
      </c>
      <c r="H423" s="55" t="s">
        <v>124</v>
      </c>
      <c r="I423" s="59">
        <v>0</v>
      </c>
      <c r="J423" s="60" t="s">
        <v>667</v>
      </c>
      <c r="K423" s="63" t="str">
        <f t="shared" ref="K423:K431" si="50">C423&amp;F423</f>
        <v>XGF-DC4AInput</v>
      </c>
      <c r="L423" s="59">
        <f t="shared" ref="L423:L431" si="51">COUNTIF($C$2:$C$2062,C423)</f>
        <v>22</v>
      </c>
      <c r="M423" s="59">
        <f t="shared" ref="M423:M431" si="52">COUNTIF($K$2:$K$2062,K423)</f>
        <v>9</v>
      </c>
      <c r="N423" s="59">
        <f t="shared" si="49"/>
        <v>13</v>
      </c>
      <c r="O423" s="60">
        <f t="shared" si="46"/>
        <v>423</v>
      </c>
      <c r="P423" s="65" t="s">
        <v>3214</v>
      </c>
      <c r="Q423">
        <f>O423</f>
        <v>423</v>
      </c>
      <c r="R423" t="s">
        <v>3215</v>
      </c>
      <c r="S423">
        <v>445</v>
      </c>
      <c r="T423" t="str">
        <f>P423&amp;Q423&amp;R423&amp;S423</f>
        <v>All data map'!$F$423:$J$445</v>
      </c>
      <c r="V423" t="s">
        <v>3245</v>
      </c>
    </row>
    <row r="424" spans="3:22">
      <c r="C424" s="83" t="s">
        <v>64</v>
      </c>
      <c r="D424" s="75"/>
      <c r="E424" s="75"/>
      <c r="F424" s="81" t="s">
        <v>151</v>
      </c>
      <c r="G424" s="55" t="s">
        <v>701</v>
      </c>
      <c r="H424" s="55" t="s">
        <v>124</v>
      </c>
      <c r="I424" s="59">
        <v>0.1</v>
      </c>
      <c r="J424" s="60" t="s">
        <v>669</v>
      </c>
      <c r="K424" s="63" t="str">
        <f t="shared" si="50"/>
        <v>XGF-DC4AInput</v>
      </c>
      <c r="L424" s="59">
        <f t="shared" si="51"/>
        <v>22</v>
      </c>
      <c r="M424" s="59">
        <f t="shared" si="52"/>
        <v>9</v>
      </c>
      <c r="N424" s="59">
        <f t="shared" si="49"/>
        <v>13</v>
      </c>
      <c r="O424" s="60">
        <f t="shared" si="46"/>
        <v>424</v>
      </c>
      <c r="P424" s="65"/>
    </row>
    <row r="425" spans="3:22">
      <c r="C425" s="83" t="s">
        <v>64</v>
      </c>
      <c r="D425" s="75"/>
      <c r="E425" s="75"/>
      <c r="F425" s="81" t="s">
        <v>151</v>
      </c>
      <c r="G425" s="55" t="s">
        <v>702</v>
      </c>
      <c r="H425" s="55" t="s">
        <v>124</v>
      </c>
      <c r="I425" s="59">
        <v>0.2</v>
      </c>
      <c r="J425" s="60" t="s">
        <v>671</v>
      </c>
      <c r="K425" s="63" t="str">
        <f t="shared" si="50"/>
        <v>XGF-DC4AInput</v>
      </c>
      <c r="L425" s="59">
        <f t="shared" si="51"/>
        <v>22</v>
      </c>
      <c r="M425" s="59">
        <f t="shared" si="52"/>
        <v>9</v>
      </c>
      <c r="N425" s="59">
        <f t="shared" si="49"/>
        <v>13</v>
      </c>
      <c r="O425" s="60">
        <f t="shared" si="46"/>
        <v>425</v>
      </c>
      <c r="P425" s="65"/>
    </row>
    <row r="426" spans="3:22">
      <c r="C426" s="83" t="s">
        <v>64</v>
      </c>
      <c r="D426" s="75"/>
      <c r="E426" s="75"/>
      <c r="F426" s="81" t="s">
        <v>151</v>
      </c>
      <c r="G426" s="55" t="s">
        <v>703</v>
      </c>
      <c r="H426" s="55" t="s">
        <v>124</v>
      </c>
      <c r="I426" s="59">
        <v>0.3</v>
      </c>
      <c r="J426" s="60" t="s">
        <v>673</v>
      </c>
      <c r="K426" s="63" t="str">
        <f t="shared" si="50"/>
        <v>XGF-DC4AInput</v>
      </c>
      <c r="L426" s="59">
        <f t="shared" si="51"/>
        <v>22</v>
      </c>
      <c r="M426" s="59">
        <f t="shared" si="52"/>
        <v>9</v>
      </c>
      <c r="N426" s="59">
        <f t="shared" si="49"/>
        <v>13</v>
      </c>
      <c r="O426" s="60">
        <f t="shared" si="46"/>
        <v>426</v>
      </c>
      <c r="P426" s="65"/>
    </row>
    <row r="427" spans="3:22">
      <c r="C427" s="83" t="s">
        <v>64</v>
      </c>
      <c r="D427" s="75"/>
      <c r="E427" s="75"/>
      <c r="F427" s="81" t="s">
        <v>151</v>
      </c>
      <c r="G427" s="55" t="s">
        <v>704</v>
      </c>
      <c r="H427" s="55" t="s">
        <v>124</v>
      </c>
      <c r="I427" s="59" t="s">
        <v>126</v>
      </c>
      <c r="J427" s="60" t="s">
        <v>675</v>
      </c>
      <c r="K427" s="63" t="str">
        <f t="shared" si="50"/>
        <v>XGF-DC4AInput</v>
      </c>
      <c r="L427" s="59">
        <f t="shared" si="51"/>
        <v>22</v>
      </c>
      <c r="M427" s="59">
        <f t="shared" si="52"/>
        <v>9</v>
      </c>
      <c r="N427" s="59">
        <f t="shared" si="49"/>
        <v>13</v>
      </c>
      <c r="O427" s="60">
        <f t="shared" si="46"/>
        <v>427</v>
      </c>
      <c r="P427" s="65"/>
    </row>
    <row r="428" spans="3:22">
      <c r="C428" s="83" t="s">
        <v>64</v>
      </c>
      <c r="D428" s="75"/>
      <c r="E428" s="75"/>
      <c r="F428" s="81" t="s">
        <v>151</v>
      </c>
      <c r="G428" s="55" t="s">
        <v>705</v>
      </c>
      <c r="H428" s="55" t="s">
        <v>124</v>
      </c>
      <c r="I428" s="59">
        <v>1</v>
      </c>
      <c r="J428" s="60" t="s">
        <v>677</v>
      </c>
      <c r="K428" s="63" t="str">
        <f t="shared" si="50"/>
        <v>XGF-DC4AInput</v>
      </c>
      <c r="L428" s="59">
        <f t="shared" si="51"/>
        <v>22</v>
      </c>
      <c r="M428" s="59">
        <f t="shared" si="52"/>
        <v>9</v>
      </c>
      <c r="N428" s="59">
        <f t="shared" si="49"/>
        <v>13</v>
      </c>
      <c r="O428" s="60">
        <f t="shared" si="46"/>
        <v>428</v>
      </c>
      <c r="P428" s="65"/>
    </row>
    <row r="429" spans="3:22">
      <c r="C429" s="83" t="s">
        <v>64</v>
      </c>
      <c r="D429" s="75"/>
      <c r="E429" s="75"/>
      <c r="F429" s="81" t="s">
        <v>151</v>
      </c>
      <c r="G429" s="55" t="s">
        <v>706</v>
      </c>
      <c r="H429" s="55" t="s">
        <v>124</v>
      </c>
      <c r="I429" s="59">
        <v>1.1000000000000001</v>
      </c>
      <c r="J429" s="60" t="s">
        <v>679</v>
      </c>
      <c r="K429" s="63" t="str">
        <f t="shared" si="50"/>
        <v>XGF-DC4AInput</v>
      </c>
      <c r="L429" s="59">
        <f t="shared" si="51"/>
        <v>22</v>
      </c>
      <c r="M429" s="59">
        <f t="shared" si="52"/>
        <v>9</v>
      </c>
      <c r="N429" s="59">
        <f t="shared" si="49"/>
        <v>13</v>
      </c>
      <c r="O429" s="60">
        <f t="shared" si="46"/>
        <v>429</v>
      </c>
      <c r="P429" s="65"/>
    </row>
    <row r="430" spans="3:22">
      <c r="C430" s="83" t="s">
        <v>64</v>
      </c>
      <c r="D430" s="75"/>
      <c r="E430" s="75"/>
      <c r="F430" s="81" t="s">
        <v>151</v>
      </c>
      <c r="G430" s="55" t="s">
        <v>707</v>
      </c>
      <c r="H430" s="55" t="s">
        <v>124</v>
      </c>
      <c r="I430" s="59">
        <v>1.2</v>
      </c>
      <c r="J430" s="60" t="s">
        <v>681</v>
      </c>
      <c r="K430" s="63" t="str">
        <f t="shared" si="50"/>
        <v>XGF-DC4AInput</v>
      </c>
      <c r="L430" s="59">
        <f t="shared" si="51"/>
        <v>22</v>
      </c>
      <c r="M430" s="59">
        <f t="shared" si="52"/>
        <v>9</v>
      </c>
      <c r="N430" s="59">
        <f t="shared" si="49"/>
        <v>13</v>
      </c>
      <c r="O430" s="60">
        <f t="shared" si="46"/>
        <v>430</v>
      </c>
      <c r="P430" s="65"/>
    </row>
    <row r="431" spans="3:22">
      <c r="C431" s="83" t="s">
        <v>64</v>
      </c>
      <c r="D431" s="75"/>
      <c r="E431" s="75"/>
      <c r="F431" s="81" t="s">
        <v>151</v>
      </c>
      <c r="G431" s="55" t="s">
        <v>708</v>
      </c>
      <c r="H431" s="55" t="s">
        <v>124</v>
      </c>
      <c r="I431" s="59">
        <v>1.3</v>
      </c>
      <c r="J431" s="60" t="s">
        <v>683</v>
      </c>
      <c r="K431" s="63" t="str">
        <f t="shared" si="50"/>
        <v>XGF-DC4AInput</v>
      </c>
      <c r="L431" s="59">
        <f t="shared" si="51"/>
        <v>22</v>
      </c>
      <c r="M431" s="59">
        <f t="shared" si="52"/>
        <v>9</v>
      </c>
      <c r="N431" s="59">
        <f t="shared" si="49"/>
        <v>13</v>
      </c>
      <c r="O431" s="60">
        <f t="shared" si="46"/>
        <v>431</v>
      </c>
      <c r="P431" s="65"/>
    </row>
    <row r="432" spans="3:22">
      <c r="C432" s="83" t="s">
        <v>64</v>
      </c>
      <c r="D432" s="75"/>
      <c r="E432" s="75"/>
      <c r="F432" s="81" t="s">
        <v>166</v>
      </c>
      <c r="G432" s="55" t="s">
        <v>709</v>
      </c>
      <c r="H432" s="55" t="s">
        <v>124</v>
      </c>
      <c r="I432" s="59">
        <v>0</v>
      </c>
      <c r="J432" s="60" t="s">
        <v>685</v>
      </c>
      <c r="K432" s="63"/>
      <c r="L432" s="59"/>
      <c r="M432" s="59"/>
      <c r="N432" s="59"/>
      <c r="O432" s="60">
        <f t="shared" si="46"/>
        <v>432</v>
      </c>
      <c r="P432" s="65"/>
    </row>
    <row r="433" spans="3:22">
      <c r="C433" s="83" t="s">
        <v>64</v>
      </c>
      <c r="D433" s="75"/>
      <c r="E433" s="75"/>
      <c r="F433" s="81" t="s">
        <v>166</v>
      </c>
      <c r="G433" s="55" t="s">
        <v>710</v>
      </c>
      <c r="H433" s="55" t="s">
        <v>124</v>
      </c>
      <c r="I433" s="59">
        <v>0.1</v>
      </c>
      <c r="J433" s="60" t="s">
        <v>687</v>
      </c>
      <c r="K433" s="63"/>
      <c r="L433" s="59"/>
      <c r="M433" s="59"/>
      <c r="N433" s="59"/>
      <c r="O433" s="60">
        <f t="shared" si="46"/>
        <v>433</v>
      </c>
      <c r="P433" s="65"/>
    </row>
    <row r="434" spans="3:22">
      <c r="C434" s="83" t="s">
        <v>64</v>
      </c>
      <c r="D434" s="75"/>
      <c r="E434" s="75"/>
      <c r="F434" s="81" t="s">
        <v>166</v>
      </c>
      <c r="G434" s="55" t="s">
        <v>711</v>
      </c>
      <c r="H434" s="55" t="s">
        <v>124</v>
      </c>
      <c r="I434" s="59">
        <v>0.2</v>
      </c>
      <c r="J434" s="60" t="s">
        <v>689</v>
      </c>
      <c r="K434" s="63"/>
      <c r="L434" s="59"/>
      <c r="M434" s="59"/>
      <c r="N434" s="59"/>
      <c r="O434" s="60">
        <f t="shared" si="46"/>
        <v>434</v>
      </c>
      <c r="P434" s="65"/>
    </row>
    <row r="435" spans="3:22">
      <c r="C435" s="83" t="s">
        <v>64</v>
      </c>
      <c r="D435" s="75"/>
      <c r="E435" s="75"/>
      <c r="F435" s="81" t="s">
        <v>166</v>
      </c>
      <c r="G435" s="55" t="s">
        <v>712</v>
      </c>
      <c r="H435" s="55" t="s">
        <v>124</v>
      </c>
      <c r="I435" s="59">
        <v>0.3</v>
      </c>
      <c r="J435" s="60" t="s">
        <v>691</v>
      </c>
      <c r="K435" s="63"/>
      <c r="L435" s="59"/>
      <c r="M435" s="59"/>
      <c r="N435" s="59"/>
      <c r="O435" s="60">
        <f t="shared" si="46"/>
        <v>435</v>
      </c>
      <c r="P435" s="65"/>
    </row>
    <row r="436" spans="3:22">
      <c r="C436" s="83" t="s">
        <v>64</v>
      </c>
      <c r="D436" s="75"/>
      <c r="E436" s="75"/>
      <c r="F436" s="81" t="s">
        <v>166</v>
      </c>
      <c r="G436" s="55" t="s">
        <v>713</v>
      </c>
      <c r="H436" s="55" t="s">
        <v>139</v>
      </c>
      <c r="I436" s="59">
        <v>1</v>
      </c>
      <c r="J436" s="60" t="s">
        <v>693</v>
      </c>
      <c r="K436" s="63"/>
      <c r="L436" s="59"/>
      <c r="M436" s="59"/>
      <c r="N436" s="59"/>
      <c r="O436" s="60">
        <f t="shared" si="46"/>
        <v>436</v>
      </c>
      <c r="P436" s="65"/>
    </row>
    <row r="437" spans="3:22">
      <c r="C437" s="83" t="s">
        <v>64</v>
      </c>
      <c r="D437" s="75"/>
      <c r="E437" s="75"/>
      <c r="F437" s="81" t="s">
        <v>166</v>
      </c>
      <c r="G437" s="55" t="s">
        <v>714</v>
      </c>
      <c r="H437" s="55" t="s">
        <v>139</v>
      </c>
      <c r="I437" s="59">
        <v>2</v>
      </c>
      <c r="J437" s="60" t="s">
        <v>695</v>
      </c>
      <c r="K437" s="63"/>
      <c r="L437" s="59"/>
      <c r="M437" s="59"/>
      <c r="N437" s="59"/>
      <c r="O437" s="60">
        <f t="shared" si="46"/>
        <v>437</v>
      </c>
      <c r="P437" s="65"/>
    </row>
    <row r="438" spans="3:22">
      <c r="C438" s="83" t="s">
        <v>64</v>
      </c>
      <c r="D438" s="75"/>
      <c r="E438" s="75"/>
      <c r="F438" s="81" t="s">
        <v>166</v>
      </c>
      <c r="G438" s="55" t="s">
        <v>715</v>
      </c>
      <c r="H438" s="55" t="s">
        <v>139</v>
      </c>
      <c r="I438" s="59">
        <v>3</v>
      </c>
      <c r="J438" s="60" t="s">
        <v>697</v>
      </c>
      <c r="K438" s="63"/>
      <c r="L438" s="59"/>
      <c r="M438" s="59"/>
      <c r="N438" s="59"/>
      <c r="O438" s="60">
        <f t="shared" si="46"/>
        <v>438</v>
      </c>
      <c r="P438" s="65"/>
    </row>
    <row r="439" spans="3:22">
      <c r="C439" s="83" t="s">
        <v>64</v>
      </c>
      <c r="D439" s="75"/>
      <c r="E439" s="75"/>
      <c r="F439" s="81" t="s">
        <v>166</v>
      </c>
      <c r="G439" s="55" t="s">
        <v>716</v>
      </c>
      <c r="H439" s="55" t="s">
        <v>139</v>
      </c>
      <c r="I439" s="59">
        <v>4</v>
      </c>
      <c r="J439" s="60" t="s">
        <v>699</v>
      </c>
      <c r="K439" s="63"/>
      <c r="L439" s="59"/>
      <c r="M439" s="59"/>
      <c r="N439" s="59"/>
      <c r="O439" s="60">
        <f t="shared" si="46"/>
        <v>439</v>
      </c>
      <c r="P439" s="65"/>
    </row>
    <row r="440" spans="3:22">
      <c r="C440" s="83" t="s">
        <v>64</v>
      </c>
      <c r="D440" s="75"/>
      <c r="E440" s="75"/>
      <c r="F440" s="81" t="s">
        <v>166</v>
      </c>
      <c r="G440" s="62" t="s">
        <v>6</v>
      </c>
      <c r="H440" s="55" t="s">
        <v>139</v>
      </c>
      <c r="I440" s="59">
        <v>5</v>
      </c>
      <c r="J440" s="60" t="s">
        <v>140</v>
      </c>
      <c r="K440" s="63"/>
      <c r="L440" s="59"/>
      <c r="M440" s="59"/>
      <c r="N440" s="59"/>
      <c r="O440" s="60">
        <f t="shared" si="46"/>
        <v>440</v>
      </c>
      <c r="P440" s="65"/>
    </row>
    <row r="441" spans="3:22">
      <c r="C441" s="83" t="s">
        <v>64</v>
      </c>
      <c r="D441" s="75"/>
      <c r="E441" s="75"/>
      <c r="F441" s="81" t="s">
        <v>166</v>
      </c>
      <c r="G441" s="62" t="s">
        <v>6</v>
      </c>
      <c r="H441" s="55" t="s">
        <v>139</v>
      </c>
      <c r="I441" s="59">
        <v>6</v>
      </c>
      <c r="J441" s="60" t="s">
        <v>140</v>
      </c>
      <c r="K441" s="63"/>
      <c r="L441" s="59"/>
      <c r="M441" s="59"/>
      <c r="N441" s="59"/>
      <c r="O441" s="60">
        <f t="shared" si="46"/>
        <v>441</v>
      </c>
      <c r="P441" s="65"/>
    </row>
    <row r="442" spans="3:22">
      <c r="C442" s="83" t="s">
        <v>64</v>
      </c>
      <c r="D442" s="75"/>
      <c r="E442" s="75"/>
      <c r="F442" s="81" t="s">
        <v>166</v>
      </c>
      <c r="G442" s="62" t="s">
        <v>6</v>
      </c>
      <c r="H442" s="55" t="s">
        <v>139</v>
      </c>
      <c r="I442" s="59">
        <v>7</v>
      </c>
      <c r="J442" s="60" t="s">
        <v>140</v>
      </c>
      <c r="K442" s="63"/>
      <c r="L442" s="59"/>
      <c r="M442" s="59"/>
      <c r="N442" s="59"/>
      <c r="O442" s="60">
        <f t="shared" si="46"/>
        <v>442</v>
      </c>
      <c r="P442" s="65"/>
    </row>
    <row r="443" spans="3:22">
      <c r="C443" s="83" t="s">
        <v>64</v>
      </c>
      <c r="D443" s="75"/>
      <c r="E443" s="75"/>
      <c r="F443" s="81" t="s">
        <v>166</v>
      </c>
      <c r="G443" s="62" t="s">
        <v>6</v>
      </c>
      <c r="H443" s="55" t="s">
        <v>139</v>
      </c>
      <c r="I443" s="59">
        <v>8</v>
      </c>
      <c r="J443" s="60" t="s">
        <v>140</v>
      </c>
      <c r="K443" s="63"/>
      <c r="L443" s="59"/>
      <c r="M443" s="59"/>
      <c r="N443" s="59"/>
      <c r="O443" s="60">
        <f t="shared" si="46"/>
        <v>443</v>
      </c>
      <c r="P443" s="65"/>
    </row>
    <row r="444" spans="3:22">
      <c r="C444" s="83" t="s">
        <v>64</v>
      </c>
      <c r="D444" s="75"/>
      <c r="E444" s="75"/>
      <c r="F444" s="81" t="s">
        <v>166</v>
      </c>
      <c r="G444" s="62" t="s">
        <v>6</v>
      </c>
      <c r="H444" s="55" t="s">
        <v>139</v>
      </c>
      <c r="I444" s="59">
        <v>9</v>
      </c>
      <c r="J444" s="60" t="s">
        <v>140</v>
      </c>
      <c r="K444" s="63"/>
      <c r="L444" s="59"/>
      <c r="M444" s="59"/>
      <c r="N444" s="59"/>
      <c r="O444" s="60">
        <f t="shared" si="46"/>
        <v>444</v>
      </c>
      <c r="P444" s="65"/>
    </row>
    <row r="445" spans="3:22">
      <c r="C445" s="83" t="s">
        <v>65</v>
      </c>
      <c r="D445" s="75">
        <v>4</v>
      </c>
      <c r="E445" s="75">
        <v>20</v>
      </c>
      <c r="F445" s="81" t="s">
        <v>151</v>
      </c>
      <c r="G445" s="55" t="s">
        <v>766</v>
      </c>
      <c r="H445" s="55" t="s">
        <v>124</v>
      </c>
      <c r="I445" s="59">
        <v>0</v>
      </c>
      <c r="J445" s="60" t="s">
        <v>667</v>
      </c>
      <c r="K445" s="63" t="str">
        <f t="shared" ref="K445:K461" si="53">C445&amp;F445</f>
        <v>XGF-DC8AInput</v>
      </c>
      <c r="L445" s="59">
        <f t="shared" ref="L445:L461" si="54">COUNTIF($C$2:$C$2062,C445)</f>
        <v>34</v>
      </c>
      <c r="M445" s="59">
        <f t="shared" ref="M445:M461" si="55">COUNTIF($K$2:$K$2062,K445)</f>
        <v>17</v>
      </c>
      <c r="N445" s="59">
        <f t="shared" si="49"/>
        <v>17</v>
      </c>
      <c r="O445" s="60">
        <f t="shared" si="46"/>
        <v>445</v>
      </c>
      <c r="P445" s="65" t="s">
        <v>3214</v>
      </c>
      <c r="Q445">
        <f>O445</f>
        <v>445</v>
      </c>
      <c r="R445" t="s">
        <v>3215</v>
      </c>
      <c r="S445">
        <v>479</v>
      </c>
      <c r="T445" t="str">
        <f>P445&amp;Q445&amp;R445&amp;S445</f>
        <v>All data map'!$F$445:$J$479</v>
      </c>
      <c r="V445" t="s">
        <v>3246</v>
      </c>
    </row>
    <row r="446" spans="3:22">
      <c r="C446" s="83" t="s">
        <v>65</v>
      </c>
      <c r="D446" s="75"/>
      <c r="E446" s="75"/>
      <c r="F446" s="81" t="s">
        <v>151</v>
      </c>
      <c r="G446" s="55" t="s">
        <v>767</v>
      </c>
      <c r="H446" s="55" t="s">
        <v>124</v>
      </c>
      <c r="I446" s="59">
        <v>0.1</v>
      </c>
      <c r="J446" s="60" t="s">
        <v>669</v>
      </c>
      <c r="K446" s="63" t="str">
        <f t="shared" si="53"/>
        <v>XGF-DC8AInput</v>
      </c>
      <c r="L446" s="59">
        <f t="shared" si="54"/>
        <v>34</v>
      </c>
      <c r="M446" s="59">
        <f t="shared" si="55"/>
        <v>17</v>
      </c>
      <c r="N446" s="59">
        <f t="shared" si="49"/>
        <v>17</v>
      </c>
      <c r="O446" s="60">
        <f t="shared" si="46"/>
        <v>446</v>
      </c>
      <c r="P446" s="65"/>
    </row>
    <row r="447" spans="3:22">
      <c r="C447" s="83" t="s">
        <v>65</v>
      </c>
      <c r="D447" s="75"/>
      <c r="E447" s="75"/>
      <c r="F447" s="81" t="s">
        <v>151</v>
      </c>
      <c r="G447" s="55" t="s">
        <v>768</v>
      </c>
      <c r="H447" s="55" t="s">
        <v>124</v>
      </c>
      <c r="I447" s="59">
        <v>0.2</v>
      </c>
      <c r="J447" s="60" t="s">
        <v>671</v>
      </c>
      <c r="K447" s="63" t="str">
        <f t="shared" si="53"/>
        <v>XGF-DC8AInput</v>
      </c>
      <c r="L447" s="59">
        <f t="shared" si="54"/>
        <v>34</v>
      </c>
      <c r="M447" s="59">
        <f t="shared" si="55"/>
        <v>17</v>
      </c>
      <c r="N447" s="59">
        <f t="shared" si="49"/>
        <v>17</v>
      </c>
      <c r="O447" s="60">
        <f t="shared" si="46"/>
        <v>447</v>
      </c>
      <c r="P447" s="65"/>
    </row>
    <row r="448" spans="3:22">
      <c r="C448" s="83" t="s">
        <v>65</v>
      </c>
      <c r="D448" s="75"/>
      <c r="E448" s="75"/>
      <c r="F448" s="81" t="s">
        <v>151</v>
      </c>
      <c r="G448" s="55" t="s">
        <v>769</v>
      </c>
      <c r="H448" s="55" t="s">
        <v>124</v>
      </c>
      <c r="I448" s="59">
        <v>0.3</v>
      </c>
      <c r="J448" s="60" t="s">
        <v>673</v>
      </c>
      <c r="K448" s="63" t="str">
        <f t="shared" si="53"/>
        <v>XGF-DC8AInput</v>
      </c>
      <c r="L448" s="59">
        <f t="shared" si="54"/>
        <v>34</v>
      </c>
      <c r="M448" s="59">
        <f t="shared" si="55"/>
        <v>17</v>
      </c>
      <c r="N448" s="59">
        <f t="shared" si="49"/>
        <v>17</v>
      </c>
      <c r="O448" s="60">
        <f t="shared" si="46"/>
        <v>448</v>
      </c>
      <c r="P448" s="65"/>
    </row>
    <row r="449" spans="3:16">
      <c r="C449" s="83" t="s">
        <v>65</v>
      </c>
      <c r="D449" s="75"/>
      <c r="E449" s="75"/>
      <c r="F449" s="81" t="s">
        <v>151</v>
      </c>
      <c r="G449" s="55" t="s">
        <v>770</v>
      </c>
      <c r="H449" s="55" t="s">
        <v>124</v>
      </c>
      <c r="I449" s="59">
        <v>0.4</v>
      </c>
      <c r="J449" s="60" t="s">
        <v>722</v>
      </c>
      <c r="K449" s="63" t="str">
        <f t="shared" si="53"/>
        <v>XGF-DC8AInput</v>
      </c>
      <c r="L449" s="59">
        <f t="shared" si="54"/>
        <v>34</v>
      </c>
      <c r="M449" s="59">
        <f t="shared" si="55"/>
        <v>17</v>
      </c>
      <c r="N449" s="59">
        <f t="shared" si="49"/>
        <v>17</v>
      </c>
      <c r="O449" s="60">
        <f t="shared" si="46"/>
        <v>449</v>
      </c>
      <c r="P449" s="65"/>
    </row>
    <row r="450" spans="3:16">
      <c r="C450" s="83" t="s">
        <v>65</v>
      </c>
      <c r="D450" s="75"/>
      <c r="E450" s="75"/>
      <c r="F450" s="81" t="s">
        <v>151</v>
      </c>
      <c r="G450" s="55" t="s">
        <v>771</v>
      </c>
      <c r="H450" s="55" t="s">
        <v>124</v>
      </c>
      <c r="I450" s="59">
        <v>0.5</v>
      </c>
      <c r="J450" s="60" t="s">
        <v>724</v>
      </c>
      <c r="K450" s="63" t="str">
        <f t="shared" si="53"/>
        <v>XGF-DC8AInput</v>
      </c>
      <c r="L450" s="59">
        <f t="shared" si="54"/>
        <v>34</v>
      </c>
      <c r="M450" s="59">
        <f t="shared" si="55"/>
        <v>17</v>
      </c>
      <c r="N450" s="59">
        <f t="shared" si="49"/>
        <v>17</v>
      </c>
      <c r="O450" s="60">
        <f t="shared" ref="O450:O513" si="56">ROW(C450)</f>
        <v>450</v>
      </c>
      <c r="P450" s="65"/>
    </row>
    <row r="451" spans="3:16">
      <c r="C451" s="83" t="s">
        <v>65</v>
      </c>
      <c r="D451" s="75"/>
      <c r="E451" s="75"/>
      <c r="F451" s="81" t="s">
        <v>151</v>
      </c>
      <c r="G451" s="55" t="s">
        <v>772</v>
      </c>
      <c r="H451" s="55" t="s">
        <v>124</v>
      </c>
      <c r="I451" s="59">
        <v>0.6</v>
      </c>
      <c r="J451" s="60" t="s">
        <v>726</v>
      </c>
      <c r="K451" s="63" t="str">
        <f t="shared" si="53"/>
        <v>XGF-DC8AInput</v>
      </c>
      <c r="L451" s="59">
        <f t="shared" si="54"/>
        <v>34</v>
      </c>
      <c r="M451" s="59">
        <f t="shared" si="55"/>
        <v>17</v>
      </c>
      <c r="N451" s="59">
        <f t="shared" ref="N451:N509" si="57">L451-M451</f>
        <v>17</v>
      </c>
      <c r="O451" s="60">
        <f t="shared" si="56"/>
        <v>451</v>
      </c>
      <c r="P451" s="65"/>
    </row>
    <row r="452" spans="3:16">
      <c r="C452" s="83" t="s">
        <v>65</v>
      </c>
      <c r="D452" s="75"/>
      <c r="E452" s="75"/>
      <c r="F452" s="81" t="s">
        <v>151</v>
      </c>
      <c r="G452" s="55" t="s">
        <v>773</v>
      </c>
      <c r="H452" s="55" t="s">
        <v>124</v>
      </c>
      <c r="I452" s="59">
        <v>0.7</v>
      </c>
      <c r="J452" s="60" t="s">
        <v>728</v>
      </c>
      <c r="K452" s="63" t="str">
        <f t="shared" si="53"/>
        <v>XGF-DC8AInput</v>
      </c>
      <c r="L452" s="59">
        <f t="shared" si="54"/>
        <v>34</v>
      </c>
      <c r="M452" s="59">
        <f t="shared" si="55"/>
        <v>17</v>
      </c>
      <c r="N452" s="59">
        <f t="shared" si="57"/>
        <v>17</v>
      </c>
      <c r="O452" s="60">
        <f t="shared" si="56"/>
        <v>452</v>
      </c>
      <c r="P452" s="65"/>
    </row>
    <row r="453" spans="3:16">
      <c r="C453" s="83" t="s">
        <v>65</v>
      </c>
      <c r="D453" s="75"/>
      <c r="E453" s="75"/>
      <c r="F453" s="81" t="s">
        <v>151</v>
      </c>
      <c r="G453" s="55" t="s">
        <v>774</v>
      </c>
      <c r="H453" s="55" t="s">
        <v>124</v>
      </c>
      <c r="I453" s="59" t="s">
        <v>126</v>
      </c>
      <c r="J453" s="60" t="s">
        <v>675</v>
      </c>
      <c r="K453" s="63" t="str">
        <f t="shared" si="53"/>
        <v>XGF-DC8AInput</v>
      </c>
      <c r="L453" s="59">
        <f t="shared" si="54"/>
        <v>34</v>
      </c>
      <c r="M453" s="59">
        <f t="shared" si="55"/>
        <v>17</v>
      </c>
      <c r="N453" s="59">
        <f t="shared" si="57"/>
        <v>17</v>
      </c>
      <c r="O453" s="60">
        <f t="shared" si="56"/>
        <v>453</v>
      </c>
      <c r="P453" s="65"/>
    </row>
    <row r="454" spans="3:16">
      <c r="C454" s="83" t="s">
        <v>65</v>
      </c>
      <c r="D454" s="75"/>
      <c r="E454" s="75"/>
      <c r="F454" s="81" t="s">
        <v>151</v>
      </c>
      <c r="G454" s="55" t="s">
        <v>775</v>
      </c>
      <c r="H454" s="55" t="s">
        <v>124</v>
      </c>
      <c r="I454" s="59">
        <v>1</v>
      </c>
      <c r="J454" s="60" t="s">
        <v>677</v>
      </c>
      <c r="K454" s="63" t="str">
        <f t="shared" si="53"/>
        <v>XGF-DC8AInput</v>
      </c>
      <c r="L454" s="59">
        <f t="shared" si="54"/>
        <v>34</v>
      </c>
      <c r="M454" s="59">
        <f t="shared" si="55"/>
        <v>17</v>
      </c>
      <c r="N454" s="59">
        <f t="shared" si="57"/>
        <v>17</v>
      </c>
      <c r="O454" s="60">
        <f t="shared" si="56"/>
        <v>454</v>
      </c>
      <c r="P454" s="65"/>
    </row>
    <row r="455" spans="3:16">
      <c r="C455" s="83" t="s">
        <v>65</v>
      </c>
      <c r="D455" s="75"/>
      <c r="E455" s="75"/>
      <c r="F455" s="81" t="s">
        <v>151</v>
      </c>
      <c r="G455" s="55" t="s">
        <v>776</v>
      </c>
      <c r="H455" s="55" t="s">
        <v>124</v>
      </c>
      <c r="I455" s="59">
        <v>1.1000000000000001</v>
      </c>
      <c r="J455" s="60" t="s">
        <v>679</v>
      </c>
      <c r="K455" s="63" t="str">
        <f t="shared" si="53"/>
        <v>XGF-DC8AInput</v>
      </c>
      <c r="L455" s="59">
        <f t="shared" si="54"/>
        <v>34</v>
      </c>
      <c r="M455" s="59">
        <f t="shared" si="55"/>
        <v>17</v>
      </c>
      <c r="N455" s="59">
        <f t="shared" si="57"/>
        <v>17</v>
      </c>
      <c r="O455" s="60">
        <f t="shared" si="56"/>
        <v>455</v>
      </c>
      <c r="P455" s="65"/>
    </row>
    <row r="456" spans="3:16">
      <c r="C456" s="83" t="s">
        <v>65</v>
      </c>
      <c r="D456" s="75"/>
      <c r="E456" s="75"/>
      <c r="F456" s="81" t="s">
        <v>151</v>
      </c>
      <c r="G456" s="55" t="s">
        <v>777</v>
      </c>
      <c r="H456" s="55" t="s">
        <v>124</v>
      </c>
      <c r="I456" s="59">
        <v>1.2</v>
      </c>
      <c r="J456" s="60" t="s">
        <v>681</v>
      </c>
      <c r="K456" s="63" t="str">
        <f t="shared" si="53"/>
        <v>XGF-DC8AInput</v>
      </c>
      <c r="L456" s="59">
        <f t="shared" si="54"/>
        <v>34</v>
      </c>
      <c r="M456" s="59">
        <f t="shared" si="55"/>
        <v>17</v>
      </c>
      <c r="N456" s="59">
        <f t="shared" si="57"/>
        <v>17</v>
      </c>
      <c r="O456" s="60">
        <f t="shared" si="56"/>
        <v>456</v>
      </c>
      <c r="P456" s="65"/>
    </row>
    <row r="457" spans="3:16">
      <c r="C457" s="83" t="s">
        <v>65</v>
      </c>
      <c r="D457" s="75"/>
      <c r="E457" s="75"/>
      <c r="F457" s="81" t="s">
        <v>151</v>
      </c>
      <c r="G457" s="55" t="s">
        <v>778</v>
      </c>
      <c r="H457" s="55" t="s">
        <v>124</v>
      </c>
      <c r="I457" s="59">
        <v>1.3</v>
      </c>
      <c r="J457" s="60" t="s">
        <v>683</v>
      </c>
      <c r="K457" s="63" t="str">
        <f t="shared" si="53"/>
        <v>XGF-DC8AInput</v>
      </c>
      <c r="L457" s="59">
        <f t="shared" si="54"/>
        <v>34</v>
      </c>
      <c r="M457" s="59">
        <f t="shared" si="55"/>
        <v>17</v>
      </c>
      <c r="N457" s="59">
        <f t="shared" si="57"/>
        <v>17</v>
      </c>
      <c r="O457" s="60">
        <f t="shared" si="56"/>
        <v>457</v>
      </c>
      <c r="P457" s="65"/>
    </row>
    <row r="458" spans="3:16">
      <c r="C458" s="83" t="s">
        <v>65</v>
      </c>
      <c r="D458" s="75"/>
      <c r="E458" s="75"/>
      <c r="F458" s="81" t="s">
        <v>151</v>
      </c>
      <c r="G458" s="55" t="s">
        <v>779</v>
      </c>
      <c r="H458" s="55" t="s">
        <v>124</v>
      </c>
      <c r="I458" s="59">
        <v>1.4</v>
      </c>
      <c r="J458" s="60" t="s">
        <v>735</v>
      </c>
      <c r="K458" s="63" t="str">
        <f t="shared" si="53"/>
        <v>XGF-DC8AInput</v>
      </c>
      <c r="L458" s="59">
        <f t="shared" si="54"/>
        <v>34</v>
      </c>
      <c r="M458" s="59">
        <f t="shared" si="55"/>
        <v>17</v>
      </c>
      <c r="N458" s="59">
        <f t="shared" si="57"/>
        <v>17</v>
      </c>
      <c r="O458" s="60">
        <f t="shared" si="56"/>
        <v>458</v>
      </c>
      <c r="P458" s="65"/>
    </row>
    <row r="459" spans="3:16">
      <c r="C459" s="83" t="s">
        <v>65</v>
      </c>
      <c r="D459" s="75"/>
      <c r="E459" s="75"/>
      <c r="F459" s="81" t="s">
        <v>151</v>
      </c>
      <c r="G459" s="55" t="s">
        <v>780</v>
      </c>
      <c r="H459" s="55" t="s">
        <v>124</v>
      </c>
      <c r="I459" s="59">
        <v>1.5</v>
      </c>
      <c r="J459" s="60" t="s">
        <v>737</v>
      </c>
      <c r="K459" s="63" t="str">
        <f t="shared" si="53"/>
        <v>XGF-DC8AInput</v>
      </c>
      <c r="L459" s="59">
        <f t="shared" si="54"/>
        <v>34</v>
      </c>
      <c r="M459" s="59">
        <f t="shared" si="55"/>
        <v>17</v>
      </c>
      <c r="N459" s="59">
        <f t="shared" si="57"/>
        <v>17</v>
      </c>
      <c r="O459" s="60">
        <f t="shared" si="56"/>
        <v>459</v>
      </c>
      <c r="P459" s="65"/>
    </row>
    <row r="460" spans="3:16">
      <c r="C460" s="83" t="s">
        <v>65</v>
      </c>
      <c r="D460" s="75"/>
      <c r="E460" s="75"/>
      <c r="F460" s="81" t="s">
        <v>151</v>
      </c>
      <c r="G460" s="55" t="s">
        <v>781</v>
      </c>
      <c r="H460" s="55" t="s">
        <v>124</v>
      </c>
      <c r="I460" s="59">
        <v>1.6</v>
      </c>
      <c r="J460" s="60" t="s">
        <v>739</v>
      </c>
      <c r="K460" s="63" t="str">
        <f t="shared" si="53"/>
        <v>XGF-DC8AInput</v>
      </c>
      <c r="L460" s="59">
        <f t="shared" si="54"/>
        <v>34</v>
      </c>
      <c r="M460" s="59">
        <f t="shared" si="55"/>
        <v>17</v>
      </c>
      <c r="N460" s="59">
        <f t="shared" si="57"/>
        <v>17</v>
      </c>
      <c r="O460" s="60">
        <f t="shared" si="56"/>
        <v>460</v>
      </c>
      <c r="P460" s="65"/>
    </row>
    <row r="461" spans="3:16">
      <c r="C461" s="83" t="s">
        <v>65</v>
      </c>
      <c r="D461" s="75"/>
      <c r="E461" s="75"/>
      <c r="F461" s="81" t="s">
        <v>151</v>
      </c>
      <c r="G461" s="55" t="s">
        <v>782</v>
      </c>
      <c r="H461" s="55" t="s">
        <v>124</v>
      </c>
      <c r="I461" s="59">
        <v>1.7</v>
      </c>
      <c r="J461" s="60" t="s">
        <v>741</v>
      </c>
      <c r="K461" s="63" t="str">
        <f t="shared" si="53"/>
        <v>XGF-DC8AInput</v>
      </c>
      <c r="L461" s="59">
        <f t="shared" si="54"/>
        <v>34</v>
      </c>
      <c r="M461" s="59">
        <f t="shared" si="55"/>
        <v>17</v>
      </c>
      <c r="N461" s="59">
        <f t="shared" si="57"/>
        <v>17</v>
      </c>
      <c r="O461" s="60">
        <f t="shared" si="56"/>
        <v>461</v>
      </c>
      <c r="P461" s="65"/>
    </row>
    <row r="462" spans="3:16">
      <c r="C462" s="83" t="s">
        <v>65</v>
      </c>
      <c r="D462" s="75"/>
      <c r="E462" s="75"/>
      <c r="F462" s="81" t="s">
        <v>166</v>
      </c>
      <c r="G462" s="55" t="s">
        <v>783</v>
      </c>
      <c r="H462" s="55" t="s">
        <v>124</v>
      </c>
      <c r="I462" s="59">
        <v>0</v>
      </c>
      <c r="J462" s="60" t="s">
        <v>685</v>
      </c>
      <c r="K462" s="63"/>
      <c r="L462" s="59"/>
      <c r="M462" s="59"/>
      <c r="N462" s="59"/>
      <c r="O462" s="60">
        <f t="shared" si="56"/>
        <v>462</v>
      </c>
      <c r="P462" s="65"/>
    </row>
    <row r="463" spans="3:16">
      <c r="C463" s="83" t="s">
        <v>65</v>
      </c>
      <c r="D463" s="75"/>
      <c r="E463" s="75"/>
      <c r="F463" s="81" t="s">
        <v>166</v>
      </c>
      <c r="G463" s="55" t="s">
        <v>784</v>
      </c>
      <c r="H463" s="55" t="s">
        <v>124</v>
      </c>
      <c r="I463" s="59">
        <v>0.1</v>
      </c>
      <c r="J463" s="60" t="s">
        <v>687</v>
      </c>
      <c r="K463" s="63"/>
      <c r="L463" s="59"/>
      <c r="M463" s="59"/>
      <c r="N463" s="59"/>
      <c r="O463" s="60">
        <f t="shared" si="56"/>
        <v>463</v>
      </c>
      <c r="P463" s="65"/>
    </row>
    <row r="464" spans="3:16">
      <c r="C464" s="83" t="s">
        <v>65</v>
      </c>
      <c r="D464" s="75"/>
      <c r="E464" s="75"/>
      <c r="F464" s="81" t="s">
        <v>166</v>
      </c>
      <c r="G464" s="55" t="s">
        <v>785</v>
      </c>
      <c r="H464" s="55" t="s">
        <v>124</v>
      </c>
      <c r="I464" s="59">
        <v>0.2</v>
      </c>
      <c r="J464" s="60" t="s">
        <v>689</v>
      </c>
      <c r="K464" s="63"/>
      <c r="L464" s="59"/>
      <c r="M464" s="59"/>
      <c r="N464" s="59"/>
      <c r="O464" s="60">
        <f t="shared" si="56"/>
        <v>464</v>
      </c>
      <c r="P464" s="65"/>
    </row>
    <row r="465" spans="3:22">
      <c r="C465" s="83" t="s">
        <v>65</v>
      </c>
      <c r="D465" s="75"/>
      <c r="E465" s="75"/>
      <c r="F465" s="81" t="s">
        <v>166</v>
      </c>
      <c r="G465" s="55" t="s">
        <v>786</v>
      </c>
      <c r="H465" s="55" t="s">
        <v>124</v>
      </c>
      <c r="I465" s="59">
        <v>0.3</v>
      </c>
      <c r="J465" s="60" t="s">
        <v>691</v>
      </c>
      <c r="K465" s="63"/>
      <c r="L465" s="59"/>
      <c r="M465" s="59"/>
      <c r="N465" s="59"/>
      <c r="O465" s="60">
        <f t="shared" si="56"/>
        <v>465</v>
      </c>
      <c r="P465" s="65"/>
    </row>
    <row r="466" spans="3:22">
      <c r="C466" s="83" t="s">
        <v>65</v>
      </c>
      <c r="D466" s="75"/>
      <c r="E466" s="75"/>
      <c r="F466" s="81" t="s">
        <v>166</v>
      </c>
      <c r="G466" s="55" t="s">
        <v>787</v>
      </c>
      <c r="H466" s="55" t="s">
        <v>124</v>
      </c>
      <c r="I466" s="59">
        <v>0.4</v>
      </c>
      <c r="J466" s="60" t="s">
        <v>747</v>
      </c>
      <c r="K466" s="63"/>
      <c r="L466" s="59"/>
      <c r="M466" s="59"/>
      <c r="N466" s="59"/>
      <c r="O466" s="60">
        <f t="shared" si="56"/>
        <v>466</v>
      </c>
      <c r="P466" s="65"/>
    </row>
    <row r="467" spans="3:22">
      <c r="C467" s="83" t="s">
        <v>65</v>
      </c>
      <c r="D467" s="75"/>
      <c r="E467" s="75"/>
      <c r="F467" s="81" t="s">
        <v>166</v>
      </c>
      <c r="G467" s="55" t="s">
        <v>788</v>
      </c>
      <c r="H467" s="55" t="s">
        <v>124</v>
      </c>
      <c r="I467" s="59">
        <v>0.5</v>
      </c>
      <c r="J467" s="60" t="s">
        <v>749</v>
      </c>
      <c r="K467" s="63"/>
      <c r="L467" s="59"/>
      <c r="M467" s="59"/>
      <c r="N467" s="59"/>
      <c r="O467" s="60">
        <f t="shared" si="56"/>
        <v>467</v>
      </c>
      <c r="P467" s="65"/>
    </row>
    <row r="468" spans="3:22">
      <c r="C468" s="83" t="s">
        <v>65</v>
      </c>
      <c r="D468" s="75"/>
      <c r="E468" s="75"/>
      <c r="F468" s="81" t="s">
        <v>166</v>
      </c>
      <c r="G468" s="55" t="s">
        <v>789</v>
      </c>
      <c r="H468" s="55" t="s">
        <v>124</v>
      </c>
      <c r="I468" s="59">
        <v>0.6</v>
      </c>
      <c r="J468" s="60" t="s">
        <v>751</v>
      </c>
      <c r="K468" s="63"/>
      <c r="L468" s="59"/>
      <c r="M468" s="59"/>
      <c r="N468" s="59"/>
      <c r="O468" s="60">
        <f t="shared" si="56"/>
        <v>468</v>
      </c>
      <c r="P468" s="65"/>
    </row>
    <row r="469" spans="3:22">
      <c r="C469" s="83" t="s">
        <v>65</v>
      </c>
      <c r="D469" s="75"/>
      <c r="E469" s="75"/>
      <c r="F469" s="81" t="s">
        <v>166</v>
      </c>
      <c r="G469" s="55" t="s">
        <v>790</v>
      </c>
      <c r="H469" s="55" t="s">
        <v>124</v>
      </c>
      <c r="I469" s="59">
        <v>0.7</v>
      </c>
      <c r="J469" s="60" t="s">
        <v>753</v>
      </c>
      <c r="K469" s="63"/>
      <c r="L469" s="59"/>
      <c r="M469" s="59"/>
      <c r="N469" s="59"/>
      <c r="O469" s="60">
        <f t="shared" si="56"/>
        <v>469</v>
      </c>
      <c r="P469" s="65"/>
    </row>
    <row r="470" spans="3:22">
      <c r="C470" s="83" t="s">
        <v>65</v>
      </c>
      <c r="D470" s="75"/>
      <c r="E470" s="75"/>
      <c r="F470" s="81" t="s">
        <v>166</v>
      </c>
      <c r="G470" s="55" t="s">
        <v>791</v>
      </c>
      <c r="H470" s="55" t="s">
        <v>139</v>
      </c>
      <c r="I470" s="59">
        <v>1</v>
      </c>
      <c r="J470" s="60" t="s">
        <v>693</v>
      </c>
      <c r="K470" s="63"/>
      <c r="L470" s="59"/>
      <c r="M470" s="59"/>
      <c r="N470" s="59"/>
      <c r="O470" s="60">
        <f t="shared" si="56"/>
        <v>470</v>
      </c>
      <c r="P470" s="65"/>
    </row>
    <row r="471" spans="3:22">
      <c r="C471" s="83" t="s">
        <v>65</v>
      </c>
      <c r="D471" s="75"/>
      <c r="E471" s="75"/>
      <c r="F471" s="81" t="s">
        <v>166</v>
      </c>
      <c r="G471" s="55" t="s">
        <v>792</v>
      </c>
      <c r="H471" s="55" t="s">
        <v>139</v>
      </c>
      <c r="I471" s="59">
        <v>2</v>
      </c>
      <c r="J471" s="60" t="s">
        <v>695</v>
      </c>
      <c r="K471" s="63"/>
      <c r="L471" s="59"/>
      <c r="M471" s="59"/>
      <c r="N471" s="59"/>
      <c r="O471" s="60">
        <f t="shared" si="56"/>
        <v>471</v>
      </c>
      <c r="P471" s="65"/>
    </row>
    <row r="472" spans="3:22">
      <c r="C472" s="83" t="s">
        <v>65</v>
      </c>
      <c r="D472" s="75"/>
      <c r="E472" s="75"/>
      <c r="F472" s="81" t="s">
        <v>166</v>
      </c>
      <c r="G472" s="55" t="s">
        <v>793</v>
      </c>
      <c r="H472" s="55" t="s">
        <v>139</v>
      </c>
      <c r="I472" s="59">
        <v>3</v>
      </c>
      <c r="J472" s="60" t="s">
        <v>697</v>
      </c>
      <c r="K472" s="63"/>
      <c r="L472" s="59"/>
      <c r="M472" s="59"/>
      <c r="N472" s="59"/>
      <c r="O472" s="60">
        <f t="shared" si="56"/>
        <v>472</v>
      </c>
      <c r="P472" s="65"/>
    </row>
    <row r="473" spans="3:22">
      <c r="C473" s="83" t="s">
        <v>65</v>
      </c>
      <c r="D473" s="75"/>
      <c r="E473" s="75"/>
      <c r="F473" s="81" t="s">
        <v>166</v>
      </c>
      <c r="G473" s="55" t="s">
        <v>794</v>
      </c>
      <c r="H473" s="55" t="s">
        <v>139</v>
      </c>
      <c r="I473" s="59">
        <v>4</v>
      </c>
      <c r="J473" s="60" t="s">
        <v>699</v>
      </c>
      <c r="K473" s="63"/>
      <c r="L473" s="59"/>
      <c r="M473" s="59"/>
      <c r="N473" s="59"/>
      <c r="O473" s="60">
        <f t="shared" si="56"/>
        <v>473</v>
      </c>
      <c r="P473" s="65"/>
    </row>
    <row r="474" spans="3:22">
      <c r="C474" s="83" t="s">
        <v>65</v>
      </c>
      <c r="D474" s="75"/>
      <c r="E474" s="75"/>
      <c r="F474" s="81" t="s">
        <v>166</v>
      </c>
      <c r="G474" s="55" t="s">
        <v>795</v>
      </c>
      <c r="H474" s="55" t="s">
        <v>139</v>
      </c>
      <c r="I474" s="59">
        <v>5</v>
      </c>
      <c r="J474" s="60" t="s">
        <v>759</v>
      </c>
      <c r="K474" s="63"/>
      <c r="L474" s="59"/>
      <c r="M474" s="59"/>
      <c r="N474" s="59"/>
      <c r="O474" s="60">
        <f t="shared" si="56"/>
        <v>474</v>
      </c>
      <c r="P474" s="65"/>
    </row>
    <row r="475" spans="3:22">
      <c r="C475" s="83" t="s">
        <v>65</v>
      </c>
      <c r="D475" s="75"/>
      <c r="E475" s="75"/>
      <c r="F475" s="81" t="s">
        <v>166</v>
      </c>
      <c r="G475" s="55" t="s">
        <v>796</v>
      </c>
      <c r="H475" s="55" t="s">
        <v>139</v>
      </c>
      <c r="I475" s="59">
        <v>6</v>
      </c>
      <c r="J475" s="60" t="s">
        <v>761</v>
      </c>
      <c r="K475" s="63"/>
      <c r="L475" s="59"/>
      <c r="M475" s="59"/>
      <c r="N475" s="59"/>
      <c r="O475" s="60">
        <f t="shared" si="56"/>
        <v>475</v>
      </c>
      <c r="P475" s="65"/>
    </row>
    <row r="476" spans="3:22">
      <c r="C476" s="83" t="s">
        <v>65</v>
      </c>
      <c r="D476" s="75"/>
      <c r="E476" s="75"/>
      <c r="F476" s="81" t="s">
        <v>166</v>
      </c>
      <c r="G476" s="55" t="s">
        <v>797</v>
      </c>
      <c r="H476" s="55" t="s">
        <v>139</v>
      </c>
      <c r="I476" s="59">
        <v>7</v>
      </c>
      <c r="J476" s="60" t="s">
        <v>763</v>
      </c>
      <c r="K476" s="63"/>
      <c r="L476" s="59"/>
      <c r="M476" s="59"/>
      <c r="N476" s="59"/>
      <c r="O476" s="60">
        <f t="shared" si="56"/>
        <v>476</v>
      </c>
      <c r="P476" s="65"/>
    </row>
    <row r="477" spans="3:22">
      <c r="C477" s="83" t="s">
        <v>65</v>
      </c>
      <c r="D477" s="75"/>
      <c r="E477" s="75"/>
      <c r="F477" s="81" t="s">
        <v>166</v>
      </c>
      <c r="G477" s="55" t="s">
        <v>798</v>
      </c>
      <c r="H477" s="55" t="s">
        <v>139</v>
      </c>
      <c r="I477" s="59">
        <v>8</v>
      </c>
      <c r="J477" s="60" t="s">
        <v>765</v>
      </c>
      <c r="K477" s="63"/>
      <c r="L477" s="59"/>
      <c r="M477" s="59"/>
      <c r="N477" s="59"/>
      <c r="O477" s="60">
        <f t="shared" si="56"/>
        <v>477</v>
      </c>
      <c r="P477" s="65"/>
    </row>
    <row r="478" spans="3:22">
      <c r="C478" s="83" t="s">
        <v>65</v>
      </c>
      <c r="D478" s="75"/>
      <c r="E478" s="75"/>
      <c r="F478" s="81" t="s">
        <v>166</v>
      </c>
      <c r="G478" s="62" t="s">
        <v>6</v>
      </c>
      <c r="H478" s="55" t="s">
        <v>139</v>
      </c>
      <c r="I478" s="59">
        <v>9</v>
      </c>
      <c r="J478" s="60" t="s">
        <v>140</v>
      </c>
      <c r="K478" s="63"/>
      <c r="L478" s="59"/>
      <c r="M478" s="59"/>
      <c r="N478" s="59"/>
      <c r="O478" s="60">
        <f t="shared" si="56"/>
        <v>478</v>
      </c>
      <c r="P478" s="65"/>
    </row>
    <row r="479" spans="3:22">
      <c r="C479" s="83" t="s">
        <v>66</v>
      </c>
      <c r="D479" s="75">
        <v>4</v>
      </c>
      <c r="E479" s="75">
        <v>20</v>
      </c>
      <c r="F479" s="81" t="s">
        <v>151</v>
      </c>
      <c r="G479" s="55" t="s">
        <v>799</v>
      </c>
      <c r="H479" s="55" t="s">
        <v>124</v>
      </c>
      <c r="I479" s="59">
        <v>0</v>
      </c>
      <c r="J479" s="60" t="s">
        <v>800</v>
      </c>
      <c r="K479" s="63" t="str">
        <f t="shared" ref="K479:K532" si="58">C479&amp;F479</f>
        <v>XGF-DV4SInput</v>
      </c>
      <c r="L479" s="59">
        <f t="shared" ref="L479:L487" si="59">COUNTIF($C$2:$C$2062,C479)</f>
        <v>22</v>
      </c>
      <c r="M479" s="59">
        <f t="shared" ref="M479:M487" si="60">COUNTIF($K$2:$K$2062,K479)</f>
        <v>9</v>
      </c>
      <c r="N479" s="59">
        <f t="shared" si="57"/>
        <v>13</v>
      </c>
      <c r="O479" s="60">
        <f t="shared" si="56"/>
        <v>479</v>
      </c>
      <c r="P479" s="65" t="s">
        <v>3214</v>
      </c>
      <c r="Q479">
        <f>O479</f>
        <v>479</v>
      </c>
      <c r="R479" t="s">
        <v>3215</v>
      </c>
      <c r="S479">
        <v>501</v>
      </c>
      <c r="T479" t="str">
        <f>P479&amp;Q479&amp;R479&amp;S479</f>
        <v>All data map'!$F$479:$J$501</v>
      </c>
      <c r="V479" t="s">
        <v>3247</v>
      </c>
    </row>
    <row r="480" spans="3:22">
      <c r="C480" s="83" t="s">
        <v>66</v>
      </c>
      <c r="D480" s="75"/>
      <c r="E480" s="75"/>
      <c r="F480" s="81" t="s">
        <v>151</v>
      </c>
      <c r="G480" s="55" t="s">
        <v>801</v>
      </c>
      <c r="H480" s="55" t="s">
        <v>124</v>
      </c>
      <c r="I480" s="59">
        <v>0.1</v>
      </c>
      <c r="J480" s="60" t="s">
        <v>802</v>
      </c>
      <c r="K480" s="63" t="str">
        <f t="shared" si="58"/>
        <v>XGF-DV4SInput</v>
      </c>
      <c r="L480" s="59">
        <f t="shared" si="59"/>
        <v>22</v>
      </c>
      <c r="M480" s="59">
        <f t="shared" si="60"/>
        <v>9</v>
      </c>
      <c r="N480" s="59">
        <f t="shared" si="57"/>
        <v>13</v>
      </c>
      <c r="O480" s="60">
        <f t="shared" si="56"/>
        <v>480</v>
      </c>
      <c r="P480" s="65"/>
    </row>
    <row r="481" spans="3:16">
      <c r="C481" s="83" t="s">
        <v>66</v>
      </c>
      <c r="D481" s="75"/>
      <c r="E481" s="75"/>
      <c r="F481" s="81" t="s">
        <v>151</v>
      </c>
      <c r="G481" s="55" t="s">
        <v>803</v>
      </c>
      <c r="H481" s="55" t="s">
        <v>124</v>
      </c>
      <c r="I481" s="59">
        <v>0.2</v>
      </c>
      <c r="J481" s="60" t="s">
        <v>804</v>
      </c>
      <c r="K481" s="63" t="str">
        <f t="shared" si="58"/>
        <v>XGF-DV4SInput</v>
      </c>
      <c r="L481" s="59">
        <f t="shared" si="59"/>
        <v>22</v>
      </c>
      <c r="M481" s="59">
        <f t="shared" si="60"/>
        <v>9</v>
      </c>
      <c r="N481" s="59">
        <f t="shared" si="57"/>
        <v>13</v>
      </c>
      <c r="O481" s="60">
        <f t="shared" si="56"/>
        <v>481</v>
      </c>
      <c r="P481" s="65"/>
    </row>
    <row r="482" spans="3:16">
      <c r="C482" s="83" t="s">
        <v>66</v>
      </c>
      <c r="D482" s="75"/>
      <c r="E482" s="75"/>
      <c r="F482" s="81" t="s">
        <v>151</v>
      </c>
      <c r="G482" s="55" t="s">
        <v>805</v>
      </c>
      <c r="H482" s="55" t="s">
        <v>124</v>
      </c>
      <c r="I482" s="59">
        <v>0.3</v>
      </c>
      <c r="J482" s="60" t="s">
        <v>806</v>
      </c>
      <c r="K482" s="63" t="str">
        <f t="shared" si="58"/>
        <v>XGF-DV4SInput</v>
      </c>
      <c r="L482" s="59">
        <f t="shared" si="59"/>
        <v>22</v>
      </c>
      <c r="M482" s="59">
        <f t="shared" si="60"/>
        <v>9</v>
      </c>
      <c r="N482" s="59">
        <f t="shared" si="57"/>
        <v>13</v>
      </c>
      <c r="O482" s="60">
        <f t="shared" si="56"/>
        <v>482</v>
      </c>
      <c r="P482" s="65"/>
    </row>
    <row r="483" spans="3:16">
      <c r="C483" s="83" t="s">
        <v>66</v>
      </c>
      <c r="D483" s="75"/>
      <c r="E483" s="75"/>
      <c r="F483" s="81" t="s">
        <v>151</v>
      </c>
      <c r="G483" s="55" t="s">
        <v>807</v>
      </c>
      <c r="H483" s="55" t="s">
        <v>124</v>
      </c>
      <c r="I483" s="59" t="s">
        <v>126</v>
      </c>
      <c r="J483" s="60" t="s">
        <v>808</v>
      </c>
      <c r="K483" s="63" t="str">
        <f t="shared" si="58"/>
        <v>XGF-DV4SInput</v>
      </c>
      <c r="L483" s="59">
        <f t="shared" si="59"/>
        <v>22</v>
      </c>
      <c r="M483" s="59">
        <f t="shared" si="60"/>
        <v>9</v>
      </c>
      <c r="N483" s="59">
        <f t="shared" si="57"/>
        <v>13</v>
      </c>
      <c r="O483" s="60">
        <f t="shared" si="56"/>
        <v>483</v>
      </c>
      <c r="P483" s="65"/>
    </row>
    <row r="484" spans="3:16">
      <c r="C484" s="83" t="s">
        <v>66</v>
      </c>
      <c r="D484" s="75"/>
      <c r="E484" s="75"/>
      <c r="F484" s="81" t="s">
        <v>151</v>
      </c>
      <c r="G484" s="55" t="s">
        <v>809</v>
      </c>
      <c r="H484" s="55" t="s">
        <v>124</v>
      </c>
      <c r="I484" s="59">
        <v>1</v>
      </c>
      <c r="J484" s="60" t="s">
        <v>810</v>
      </c>
      <c r="K484" s="63" t="str">
        <f t="shared" si="58"/>
        <v>XGF-DV4SInput</v>
      </c>
      <c r="L484" s="59">
        <f t="shared" si="59"/>
        <v>22</v>
      </c>
      <c r="M484" s="59">
        <f t="shared" si="60"/>
        <v>9</v>
      </c>
      <c r="N484" s="59">
        <f t="shared" si="57"/>
        <v>13</v>
      </c>
      <c r="O484" s="60">
        <f t="shared" si="56"/>
        <v>484</v>
      </c>
      <c r="P484" s="65"/>
    </row>
    <row r="485" spans="3:16">
      <c r="C485" s="83" t="s">
        <v>66</v>
      </c>
      <c r="D485" s="75"/>
      <c r="E485" s="75"/>
      <c r="F485" s="81" t="s">
        <v>151</v>
      </c>
      <c r="G485" s="55" t="s">
        <v>811</v>
      </c>
      <c r="H485" s="55" t="s">
        <v>124</v>
      </c>
      <c r="I485" s="59">
        <v>1.1000000000000001</v>
      </c>
      <c r="J485" s="60" t="s">
        <v>812</v>
      </c>
      <c r="K485" s="63" t="str">
        <f t="shared" si="58"/>
        <v>XGF-DV4SInput</v>
      </c>
      <c r="L485" s="59">
        <f t="shared" si="59"/>
        <v>22</v>
      </c>
      <c r="M485" s="59">
        <f t="shared" si="60"/>
        <v>9</v>
      </c>
      <c r="N485" s="59">
        <f t="shared" si="57"/>
        <v>13</v>
      </c>
      <c r="O485" s="60">
        <f t="shared" si="56"/>
        <v>485</v>
      </c>
      <c r="P485" s="65"/>
    </row>
    <row r="486" spans="3:16">
      <c r="C486" s="83" t="s">
        <v>66</v>
      </c>
      <c r="D486" s="75"/>
      <c r="E486" s="75"/>
      <c r="F486" s="81" t="s">
        <v>151</v>
      </c>
      <c r="G486" s="55" t="s">
        <v>813</v>
      </c>
      <c r="H486" s="55" t="s">
        <v>124</v>
      </c>
      <c r="I486" s="59">
        <v>1.2</v>
      </c>
      <c r="J486" s="60" t="s">
        <v>814</v>
      </c>
      <c r="K486" s="63" t="str">
        <f t="shared" si="58"/>
        <v>XGF-DV4SInput</v>
      </c>
      <c r="L486" s="59">
        <f t="shared" si="59"/>
        <v>22</v>
      </c>
      <c r="M486" s="59">
        <f t="shared" si="60"/>
        <v>9</v>
      </c>
      <c r="N486" s="59">
        <f t="shared" si="57"/>
        <v>13</v>
      </c>
      <c r="O486" s="60">
        <f t="shared" si="56"/>
        <v>486</v>
      </c>
      <c r="P486" s="65"/>
    </row>
    <row r="487" spans="3:16">
      <c r="C487" s="83" t="s">
        <v>66</v>
      </c>
      <c r="D487" s="75"/>
      <c r="E487" s="75"/>
      <c r="F487" s="81" t="s">
        <v>151</v>
      </c>
      <c r="G487" s="55" t="s">
        <v>815</v>
      </c>
      <c r="H487" s="55" t="s">
        <v>124</v>
      </c>
      <c r="I487" s="59">
        <v>1.3</v>
      </c>
      <c r="J487" s="60" t="s">
        <v>816</v>
      </c>
      <c r="K487" s="63" t="str">
        <f t="shared" si="58"/>
        <v>XGF-DV4SInput</v>
      </c>
      <c r="L487" s="59">
        <f t="shared" si="59"/>
        <v>22</v>
      </c>
      <c r="M487" s="59">
        <f t="shared" si="60"/>
        <v>9</v>
      </c>
      <c r="N487" s="59">
        <f t="shared" si="57"/>
        <v>13</v>
      </c>
      <c r="O487" s="60">
        <f t="shared" si="56"/>
        <v>487</v>
      </c>
      <c r="P487" s="65"/>
    </row>
    <row r="488" spans="3:16">
      <c r="C488" s="83" t="s">
        <v>66</v>
      </c>
      <c r="D488" s="75"/>
      <c r="E488" s="75"/>
      <c r="F488" s="81" t="s">
        <v>166</v>
      </c>
      <c r="G488" s="55" t="s">
        <v>817</v>
      </c>
      <c r="H488" s="55" t="s">
        <v>124</v>
      </c>
      <c r="I488" s="59">
        <v>0</v>
      </c>
      <c r="J488" s="60" t="s">
        <v>818</v>
      </c>
      <c r="K488" s="63"/>
      <c r="L488" s="59"/>
      <c r="M488" s="59"/>
      <c r="N488" s="59"/>
      <c r="O488" s="60">
        <f t="shared" si="56"/>
        <v>488</v>
      </c>
      <c r="P488" s="65"/>
    </row>
    <row r="489" spans="3:16">
      <c r="C489" s="83" t="s">
        <v>66</v>
      </c>
      <c r="D489" s="75"/>
      <c r="E489" s="75"/>
      <c r="F489" s="81" t="s">
        <v>166</v>
      </c>
      <c r="G489" s="55" t="s">
        <v>819</v>
      </c>
      <c r="H489" s="55" t="s">
        <v>124</v>
      </c>
      <c r="I489" s="59">
        <v>0.1</v>
      </c>
      <c r="J489" s="60" t="s">
        <v>820</v>
      </c>
      <c r="K489" s="63"/>
      <c r="L489" s="59"/>
      <c r="M489" s="59"/>
      <c r="N489" s="59"/>
      <c r="O489" s="60">
        <f t="shared" si="56"/>
        <v>489</v>
      </c>
      <c r="P489" s="65"/>
    </row>
    <row r="490" spans="3:16">
      <c r="C490" s="83" t="s">
        <v>66</v>
      </c>
      <c r="D490" s="75"/>
      <c r="E490" s="75"/>
      <c r="F490" s="81" t="s">
        <v>166</v>
      </c>
      <c r="G490" s="55" t="s">
        <v>821</v>
      </c>
      <c r="H490" s="55" t="s">
        <v>124</v>
      </c>
      <c r="I490" s="59">
        <v>0.2</v>
      </c>
      <c r="J490" s="60" t="s">
        <v>822</v>
      </c>
      <c r="K490" s="63"/>
      <c r="L490" s="59"/>
      <c r="M490" s="59"/>
      <c r="N490" s="59"/>
      <c r="O490" s="60">
        <f t="shared" si="56"/>
        <v>490</v>
      </c>
      <c r="P490" s="65"/>
    </row>
    <row r="491" spans="3:16">
      <c r="C491" s="83" t="s">
        <v>66</v>
      </c>
      <c r="D491" s="75"/>
      <c r="E491" s="75"/>
      <c r="F491" s="81" t="s">
        <v>166</v>
      </c>
      <c r="G491" s="55" t="s">
        <v>823</v>
      </c>
      <c r="H491" s="55" t="s">
        <v>124</v>
      </c>
      <c r="I491" s="59">
        <v>0.3</v>
      </c>
      <c r="J491" s="60" t="s">
        <v>824</v>
      </c>
      <c r="K491" s="63"/>
      <c r="L491" s="59"/>
      <c r="M491" s="59"/>
      <c r="N491" s="59"/>
      <c r="O491" s="60">
        <f t="shared" si="56"/>
        <v>491</v>
      </c>
      <c r="P491" s="65"/>
    </row>
    <row r="492" spans="3:16">
      <c r="C492" s="83" t="s">
        <v>66</v>
      </c>
      <c r="D492" s="75"/>
      <c r="E492" s="75"/>
      <c r="F492" s="81" t="s">
        <v>166</v>
      </c>
      <c r="G492" s="55" t="s">
        <v>825</v>
      </c>
      <c r="H492" s="55" t="s">
        <v>139</v>
      </c>
      <c r="I492" s="59">
        <v>1</v>
      </c>
      <c r="J492" s="60" t="s">
        <v>826</v>
      </c>
      <c r="K492" s="63"/>
      <c r="L492" s="59"/>
      <c r="M492" s="59"/>
      <c r="N492" s="59"/>
      <c r="O492" s="60">
        <f t="shared" si="56"/>
        <v>492</v>
      </c>
      <c r="P492" s="65"/>
    </row>
    <row r="493" spans="3:16">
      <c r="C493" s="83" t="s">
        <v>66</v>
      </c>
      <c r="D493" s="75"/>
      <c r="E493" s="75"/>
      <c r="F493" s="81" t="s">
        <v>166</v>
      </c>
      <c r="G493" s="55" t="s">
        <v>827</v>
      </c>
      <c r="H493" s="55" t="s">
        <v>139</v>
      </c>
      <c r="I493" s="59">
        <v>2</v>
      </c>
      <c r="J493" s="60" t="s">
        <v>828</v>
      </c>
      <c r="K493" s="63"/>
      <c r="L493" s="59"/>
      <c r="M493" s="59"/>
      <c r="N493" s="59"/>
      <c r="O493" s="60">
        <f t="shared" si="56"/>
        <v>493</v>
      </c>
      <c r="P493" s="65"/>
    </row>
    <row r="494" spans="3:16">
      <c r="C494" s="83" t="s">
        <v>66</v>
      </c>
      <c r="D494" s="75"/>
      <c r="E494" s="75"/>
      <c r="F494" s="81" t="s">
        <v>166</v>
      </c>
      <c r="G494" s="55" t="s">
        <v>829</v>
      </c>
      <c r="H494" s="55" t="s">
        <v>139</v>
      </c>
      <c r="I494" s="59">
        <v>3</v>
      </c>
      <c r="J494" s="60" t="s">
        <v>830</v>
      </c>
      <c r="K494" s="63"/>
      <c r="L494" s="59"/>
      <c r="M494" s="59"/>
      <c r="N494" s="59"/>
      <c r="O494" s="60">
        <f t="shared" si="56"/>
        <v>494</v>
      </c>
      <c r="P494" s="65"/>
    </row>
    <row r="495" spans="3:16">
      <c r="C495" s="83" t="s">
        <v>66</v>
      </c>
      <c r="D495" s="75"/>
      <c r="E495" s="75"/>
      <c r="F495" s="81" t="s">
        <v>166</v>
      </c>
      <c r="G495" s="55" t="s">
        <v>831</v>
      </c>
      <c r="H495" s="55" t="s">
        <v>139</v>
      </c>
      <c r="I495" s="59">
        <v>4</v>
      </c>
      <c r="J495" s="60" t="s">
        <v>832</v>
      </c>
      <c r="K495" s="63"/>
      <c r="L495" s="59"/>
      <c r="M495" s="59"/>
      <c r="N495" s="59"/>
      <c r="O495" s="60">
        <f t="shared" si="56"/>
        <v>495</v>
      </c>
      <c r="P495" s="65"/>
    </row>
    <row r="496" spans="3:16">
      <c r="C496" s="83" t="s">
        <v>66</v>
      </c>
      <c r="D496" s="75"/>
      <c r="E496" s="75"/>
      <c r="F496" s="81" t="s">
        <v>166</v>
      </c>
      <c r="G496" s="62" t="s">
        <v>6</v>
      </c>
      <c r="H496" s="55" t="s">
        <v>139</v>
      </c>
      <c r="I496" s="59">
        <v>5</v>
      </c>
      <c r="J496" s="60" t="s">
        <v>140</v>
      </c>
      <c r="K496" s="63"/>
      <c r="L496" s="59"/>
      <c r="M496" s="59"/>
      <c r="N496" s="59"/>
      <c r="O496" s="60">
        <f t="shared" si="56"/>
        <v>496</v>
      </c>
      <c r="P496" s="65"/>
    </row>
    <row r="497" spans="3:22">
      <c r="C497" s="83" t="s">
        <v>66</v>
      </c>
      <c r="D497" s="75"/>
      <c r="E497" s="75"/>
      <c r="F497" s="81" t="s">
        <v>166</v>
      </c>
      <c r="G497" s="62" t="s">
        <v>6</v>
      </c>
      <c r="H497" s="55" t="s">
        <v>139</v>
      </c>
      <c r="I497" s="59">
        <v>6</v>
      </c>
      <c r="J497" s="60" t="s">
        <v>140</v>
      </c>
      <c r="K497" s="63"/>
      <c r="L497" s="59"/>
      <c r="M497" s="59"/>
      <c r="N497" s="59"/>
      <c r="O497" s="60">
        <f t="shared" si="56"/>
        <v>497</v>
      </c>
      <c r="P497" s="65"/>
    </row>
    <row r="498" spans="3:22">
      <c r="C498" s="83" t="s">
        <v>66</v>
      </c>
      <c r="D498" s="75"/>
      <c r="E498" s="75"/>
      <c r="F498" s="81" t="s">
        <v>166</v>
      </c>
      <c r="G498" s="62" t="s">
        <v>6</v>
      </c>
      <c r="H498" s="55" t="s">
        <v>139</v>
      </c>
      <c r="I498" s="59">
        <v>7</v>
      </c>
      <c r="J498" s="60" t="s">
        <v>140</v>
      </c>
      <c r="K498" s="63"/>
      <c r="L498" s="59"/>
      <c r="M498" s="59"/>
      <c r="N498" s="59"/>
      <c r="O498" s="60">
        <f t="shared" si="56"/>
        <v>498</v>
      </c>
      <c r="P498" s="65"/>
    </row>
    <row r="499" spans="3:22">
      <c r="C499" s="83" t="s">
        <v>66</v>
      </c>
      <c r="D499" s="75"/>
      <c r="E499" s="75"/>
      <c r="F499" s="81" t="s">
        <v>166</v>
      </c>
      <c r="G499" s="62" t="s">
        <v>6</v>
      </c>
      <c r="H499" s="55" t="s">
        <v>139</v>
      </c>
      <c r="I499" s="59">
        <v>8</v>
      </c>
      <c r="J499" s="60" t="s">
        <v>140</v>
      </c>
      <c r="K499" s="63"/>
      <c r="L499" s="59"/>
      <c r="M499" s="59"/>
      <c r="N499" s="59"/>
      <c r="O499" s="60">
        <f t="shared" si="56"/>
        <v>499</v>
      </c>
      <c r="P499" s="65"/>
    </row>
    <row r="500" spans="3:22">
      <c r="C500" s="83" t="s">
        <v>66</v>
      </c>
      <c r="D500" s="75"/>
      <c r="E500" s="75"/>
      <c r="F500" s="81" t="s">
        <v>166</v>
      </c>
      <c r="G500" s="62" t="s">
        <v>6</v>
      </c>
      <c r="H500" s="55" t="s">
        <v>139</v>
      </c>
      <c r="I500" s="59">
        <v>9</v>
      </c>
      <c r="J500" s="60" t="s">
        <v>140</v>
      </c>
      <c r="K500" s="63"/>
      <c r="L500" s="59"/>
      <c r="M500" s="59"/>
      <c r="N500" s="59"/>
      <c r="O500" s="60">
        <f t="shared" si="56"/>
        <v>500</v>
      </c>
      <c r="P500" s="65"/>
    </row>
    <row r="501" spans="3:22">
      <c r="C501" s="83" t="s">
        <v>67</v>
      </c>
      <c r="D501" s="75">
        <v>4</v>
      </c>
      <c r="E501" s="75">
        <v>20</v>
      </c>
      <c r="F501" s="81" t="s">
        <v>151</v>
      </c>
      <c r="G501" s="56" t="s">
        <v>833</v>
      </c>
      <c r="H501" s="56" t="s">
        <v>124</v>
      </c>
      <c r="I501" s="59">
        <v>0</v>
      </c>
      <c r="J501" s="60" t="s">
        <v>800</v>
      </c>
      <c r="K501" s="63" t="str">
        <f t="shared" si="58"/>
        <v>XGF-DC4SInput</v>
      </c>
      <c r="L501" s="59">
        <f t="shared" ref="L501:L509" si="61">COUNTIF($C$2:$C$2062,C501)</f>
        <v>22</v>
      </c>
      <c r="M501" s="59">
        <f t="shared" ref="M501:M509" si="62">COUNTIF($K$2:$K$2062,K501)</f>
        <v>9</v>
      </c>
      <c r="N501" s="59">
        <f t="shared" si="57"/>
        <v>13</v>
      </c>
      <c r="O501" s="60">
        <f t="shared" si="56"/>
        <v>501</v>
      </c>
      <c r="P501" s="65" t="s">
        <v>3214</v>
      </c>
      <c r="Q501">
        <f>O501</f>
        <v>501</v>
      </c>
      <c r="R501" t="s">
        <v>3215</v>
      </c>
      <c r="S501">
        <v>523</v>
      </c>
      <c r="T501" t="str">
        <f>P501&amp;Q501&amp;R501&amp;S501</f>
        <v>All data map'!$F$501:$J$523</v>
      </c>
      <c r="V501" t="s">
        <v>3248</v>
      </c>
    </row>
    <row r="502" spans="3:22">
      <c r="C502" s="83" t="s">
        <v>67</v>
      </c>
      <c r="D502" s="75"/>
      <c r="E502" s="75"/>
      <c r="F502" s="81" t="s">
        <v>151</v>
      </c>
      <c r="G502" s="55" t="s">
        <v>834</v>
      </c>
      <c r="H502" s="55" t="s">
        <v>124</v>
      </c>
      <c r="I502" s="59">
        <v>0.1</v>
      </c>
      <c r="J502" s="60" t="s">
        <v>802</v>
      </c>
      <c r="K502" s="63" t="str">
        <f t="shared" si="58"/>
        <v>XGF-DC4SInput</v>
      </c>
      <c r="L502" s="59">
        <f t="shared" si="61"/>
        <v>22</v>
      </c>
      <c r="M502" s="59">
        <f t="shared" si="62"/>
        <v>9</v>
      </c>
      <c r="N502" s="59">
        <f t="shared" si="57"/>
        <v>13</v>
      </c>
      <c r="O502" s="60">
        <f t="shared" si="56"/>
        <v>502</v>
      </c>
      <c r="P502" s="65"/>
    </row>
    <row r="503" spans="3:22">
      <c r="C503" s="83" t="s">
        <v>67</v>
      </c>
      <c r="D503" s="75"/>
      <c r="E503" s="75"/>
      <c r="F503" s="81" t="s">
        <v>151</v>
      </c>
      <c r="G503" s="55" t="s">
        <v>835</v>
      </c>
      <c r="H503" s="55" t="s">
        <v>124</v>
      </c>
      <c r="I503" s="59">
        <v>0.2</v>
      </c>
      <c r="J503" s="60" t="s">
        <v>804</v>
      </c>
      <c r="K503" s="63" t="str">
        <f t="shared" si="58"/>
        <v>XGF-DC4SInput</v>
      </c>
      <c r="L503" s="59">
        <f t="shared" si="61"/>
        <v>22</v>
      </c>
      <c r="M503" s="59">
        <f t="shared" si="62"/>
        <v>9</v>
      </c>
      <c r="N503" s="59">
        <f t="shared" si="57"/>
        <v>13</v>
      </c>
      <c r="O503" s="60">
        <f t="shared" si="56"/>
        <v>503</v>
      </c>
      <c r="P503" s="65"/>
    </row>
    <row r="504" spans="3:22">
      <c r="C504" s="83" t="s">
        <v>67</v>
      </c>
      <c r="D504" s="75"/>
      <c r="E504" s="75"/>
      <c r="F504" s="81" t="s">
        <v>151</v>
      </c>
      <c r="G504" s="55" t="s">
        <v>836</v>
      </c>
      <c r="H504" s="55" t="s">
        <v>124</v>
      </c>
      <c r="I504" s="59">
        <v>0.3</v>
      </c>
      <c r="J504" s="60" t="s">
        <v>806</v>
      </c>
      <c r="K504" s="63" t="str">
        <f t="shared" si="58"/>
        <v>XGF-DC4SInput</v>
      </c>
      <c r="L504" s="59">
        <f t="shared" si="61"/>
        <v>22</v>
      </c>
      <c r="M504" s="59">
        <f t="shared" si="62"/>
        <v>9</v>
      </c>
      <c r="N504" s="59">
        <f t="shared" si="57"/>
        <v>13</v>
      </c>
      <c r="O504" s="60">
        <f t="shared" si="56"/>
        <v>504</v>
      </c>
      <c r="P504" s="65"/>
    </row>
    <row r="505" spans="3:22">
      <c r="C505" s="83" t="s">
        <v>67</v>
      </c>
      <c r="D505" s="75"/>
      <c r="E505" s="75"/>
      <c r="F505" s="81" t="s">
        <v>151</v>
      </c>
      <c r="G505" s="55" t="s">
        <v>837</v>
      </c>
      <c r="H505" s="55" t="s">
        <v>124</v>
      </c>
      <c r="I505" s="59" t="s">
        <v>126</v>
      </c>
      <c r="J505" s="60" t="s">
        <v>808</v>
      </c>
      <c r="K505" s="63" t="str">
        <f t="shared" si="58"/>
        <v>XGF-DC4SInput</v>
      </c>
      <c r="L505" s="59">
        <f t="shared" si="61"/>
        <v>22</v>
      </c>
      <c r="M505" s="59">
        <f t="shared" si="62"/>
        <v>9</v>
      </c>
      <c r="N505" s="59">
        <f t="shared" si="57"/>
        <v>13</v>
      </c>
      <c r="O505" s="60">
        <f t="shared" si="56"/>
        <v>505</v>
      </c>
      <c r="P505" s="65"/>
    </row>
    <row r="506" spans="3:22">
      <c r="C506" s="83" t="s">
        <v>67</v>
      </c>
      <c r="D506" s="75"/>
      <c r="E506" s="75"/>
      <c r="F506" s="81" t="s">
        <v>151</v>
      </c>
      <c r="G506" s="55" t="s">
        <v>838</v>
      </c>
      <c r="H506" s="55" t="s">
        <v>124</v>
      </c>
      <c r="I506" s="59">
        <v>1</v>
      </c>
      <c r="J506" s="60" t="s">
        <v>810</v>
      </c>
      <c r="K506" s="63" t="str">
        <f t="shared" si="58"/>
        <v>XGF-DC4SInput</v>
      </c>
      <c r="L506" s="59">
        <f t="shared" si="61"/>
        <v>22</v>
      </c>
      <c r="M506" s="59">
        <f t="shared" si="62"/>
        <v>9</v>
      </c>
      <c r="N506" s="59">
        <f t="shared" si="57"/>
        <v>13</v>
      </c>
      <c r="O506" s="60">
        <f t="shared" si="56"/>
        <v>506</v>
      </c>
      <c r="P506" s="65"/>
    </row>
    <row r="507" spans="3:22">
      <c r="C507" s="83" t="s">
        <v>67</v>
      </c>
      <c r="D507" s="75"/>
      <c r="E507" s="75"/>
      <c r="F507" s="81" t="s">
        <v>151</v>
      </c>
      <c r="G507" s="55" t="s">
        <v>839</v>
      </c>
      <c r="H507" s="55" t="s">
        <v>124</v>
      </c>
      <c r="I507" s="59">
        <v>1.1000000000000001</v>
      </c>
      <c r="J507" s="60" t="s">
        <v>812</v>
      </c>
      <c r="K507" s="63" t="str">
        <f t="shared" si="58"/>
        <v>XGF-DC4SInput</v>
      </c>
      <c r="L507" s="59">
        <f t="shared" si="61"/>
        <v>22</v>
      </c>
      <c r="M507" s="59">
        <f t="shared" si="62"/>
        <v>9</v>
      </c>
      <c r="N507" s="59">
        <f t="shared" si="57"/>
        <v>13</v>
      </c>
      <c r="O507" s="60">
        <f t="shared" si="56"/>
        <v>507</v>
      </c>
      <c r="P507" s="65"/>
    </row>
    <row r="508" spans="3:22">
      <c r="C508" s="83" t="s">
        <v>67</v>
      </c>
      <c r="D508" s="75"/>
      <c r="E508" s="75"/>
      <c r="F508" s="81" t="s">
        <v>151</v>
      </c>
      <c r="G508" s="55" t="s">
        <v>840</v>
      </c>
      <c r="H508" s="55" t="s">
        <v>124</v>
      </c>
      <c r="I508" s="59">
        <v>1.2</v>
      </c>
      <c r="J508" s="60" t="s">
        <v>814</v>
      </c>
      <c r="K508" s="63" t="str">
        <f t="shared" si="58"/>
        <v>XGF-DC4SInput</v>
      </c>
      <c r="L508" s="59">
        <f t="shared" si="61"/>
        <v>22</v>
      </c>
      <c r="M508" s="59">
        <f t="shared" si="62"/>
        <v>9</v>
      </c>
      <c r="N508" s="59">
        <f t="shared" si="57"/>
        <v>13</v>
      </c>
      <c r="O508" s="60">
        <f t="shared" si="56"/>
        <v>508</v>
      </c>
      <c r="P508" s="65"/>
    </row>
    <row r="509" spans="3:22">
      <c r="C509" s="83" t="s">
        <v>67</v>
      </c>
      <c r="D509" s="75"/>
      <c r="E509" s="75"/>
      <c r="F509" s="81" t="s">
        <v>151</v>
      </c>
      <c r="G509" s="55" t="s">
        <v>841</v>
      </c>
      <c r="H509" s="55" t="s">
        <v>124</v>
      </c>
      <c r="I509" s="59">
        <v>1.3</v>
      </c>
      <c r="J509" s="60" t="s">
        <v>816</v>
      </c>
      <c r="K509" s="63" t="str">
        <f t="shared" si="58"/>
        <v>XGF-DC4SInput</v>
      </c>
      <c r="L509" s="59">
        <f t="shared" si="61"/>
        <v>22</v>
      </c>
      <c r="M509" s="59">
        <f t="shared" si="62"/>
        <v>9</v>
      </c>
      <c r="N509" s="59">
        <f t="shared" si="57"/>
        <v>13</v>
      </c>
      <c r="O509" s="60">
        <f t="shared" si="56"/>
        <v>509</v>
      </c>
      <c r="P509" s="65"/>
    </row>
    <row r="510" spans="3:22">
      <c r="C510" s="83" t="s">
        <v>67</v>
      </c>
      <c r="D510" s="75"/>
      <c r="E510" s="75"/>
      <c r="F510" s="81" t="s">
        <v>166</v>
      </c>
      <c r="G510" s="55" t="s">
        <v>842</v>
      </c>
      <c r="H510" s="55" t="s">
        <v>124</v>
      </c>
      <c r="I510" s="59">
        <v>0</v>
      </c>
      <c r="J510" s="60" t="s">
        <v>818</v>
      </c>
      <c r="K510" s="63"/>
      <c r="L510" s="59"/>
      <c r="M510" s="59"/>
      <c r="N510" s="59"/>
      <c r="O510" s="60">
        <f t="shared" si="56"/>
        <v>510</v>
      </c>
      <c r="P510" s="65"/>
    </row>
    <row r="511" spans="3:22">
      <c r="C511" s="83" t="s">
        <v>67</v>
      </c>
      <c r="D511" s="75"/>
      <c r="E511" s="75"/>
      <c r="F511" s="81" t="s">
        <v>166</v>
      </c>
      <c r="G511" s="55" t="s">
        <v>843</v>
      </c>
      <c r="H511" s="55" t="s">
        <v>124</v>
      </c>
      <c r="I511" s="59">
        <v>0.1</v>
      </c>
      <c r="J511" s="60" t="s">
        <v>820</v>
      </c>
      <c r="K511" s="63"/>
      <c r="L511" s="59"/>
      <c r="M511" s="59"/>
      <c r="N511" s="59"/>
      <c r="O511" s="60">
        <f t="shared" si="56"/>
        <v>511</v>
      </c>
      <c r="P511" s="65"/>
    </row>
    <row r="512" spans="3:22">
      <c r="C512" s="83" t="s">
        <v>67</v>
      </c>
      <c r="D512" s="75"/>
      <c r="E512" s="75"/>
      <c r="F512" s="81" t="s">
        <v>166</v>
      </c>
      <c r="G512" s="55" t="s">
        <v>844</v>
      </c>
      <c r="H512" s="55" t="s">
        <v>124</v>
      </c>
      <c r="I512" s="59">
        <v>0.2</v>
      </c>
      <c r="J512" s="60" t="s">
        <v>822</v>
      </c>
      <c r="K512" s="63"/>
      <c r="L512" s="59"/>
      <c r="M512" s="59"/>
      <c r="N512" s="59"/>
      <c r="O512" s="60">
        <f t="shared" si="56"/>
        <v>512</v>
      </c>
      <c r="P512" s="65"/>
    </row>
    <row r="513" spans="3:22">
      <c r="C513" s="83" t="s">
        <v>67</v>
      </c>
      <c r="D513" s="75"/>
      <c r="E513" s="75"/>
      <c r="F513" s="81" t="s">
        <v>166</v>
      </c>
      <c r="G513" s="55" t="s">
        <v>845</v>
      </c>
      <c r="H513" s="55" t="s">
        <v>124</v>
      </c>
      <c r="I513" s="59">
        <v>0.3</v>
      </c>
      <c r="J513" s="60" t="s">
        <v>824</v>
      </c>
      <c r="K513" s="63"/>
      <c r="L513" s="59"/>
      <c r="M513" s="59"/>
      <c r="N513" s="59"/>
      <c r="O513" s="60">
        <f t="shared" si="56"/>
        <v>513</v>
      </c>
      <c r="P513" s="65"/>
    </row>
    <row r="514" spans="3:22">
      <c r="C514" s="83" t="s">
        <v>67</v>
      </c>
      <c r="D514" s="75"/>
      <c r="E514" s="75"/>
      <c r="F514" s="81" t="s">
        <v>166</v>
      </c>
      <c r="G514" s="55" t="s">
        <v>846</v>
      </c>
      <c r="H514" s="55" t="s">
        <v>139</v>
      </c>
      <c r="I514" s="59">
        <v>1</v>
      </c>
      <c r="J514" s="60" t="s">
        <v>826</v>
      </c>
      <c r="K514" s="63"/>
      <c r="L514" s="59"/>
      <c r="M514" s="59"/>
      <c r="N514" s="59"/>
      <c r="O514" s="60">
        <f t="shared" ref="O514:O577" si="63">ROW(C514)</f>
        <v>514</v>
      </c>
      <c r="P514" s="65"/>
    </row>
    <row r="515" spans="3:22">
      <c r="C515" s="83" t="s">
        <v>67</v>
      </c>
      <c r="D515" s="75"/>
      <c r="E515" s="75"/>
      <c r="F515" s="81" t="s">
        <v>166</v>
      </c>
      <c r="G515" s="55" t="s">
        <v>847</v>
      </c>
      <c r="H515" s="55" t="s">
        <v>139</v>
      </c>
      <c r="I515" s="59">
        <v>2</v>
      </c>
      <c r="J515" s="60" t="s">
        <v>828</v>
      </c>
      <c r="K515" s="63"/>
      <c r="L515" s="59"/>
      <c r="M515" s="59"/>
      <c r="N515" s="59"/>
      <c r="O515" s="60">
        <f t="shared" si="63"/>
        <v>515</v>
      </c>
      <c r="P515" s="65"/>
    </row>
    <row r="516" spans="3:22">
      <c r="C516" s="83" t="s">
        <v>67</v>
      </c>
      <c r="D516" s="75"/>
      <c r="E516" s="75"/>
      <c r="F516" s="81" t="s">
        <v>166</v>
      </c>
      <c r="G516" s="55" t="s">
        <v>848</v>
      </c>
      <c r="H516" s="55" t="s">
        <v>139</v>
      </c>
      <c r="I516" s="59">
        <v>3</v>
      </c>
      <c r="J516" s="60" t="s">
        <v>830</v>
      </c>
      <c r="K516" s="63"/>
      <c r="L516" s="59"/>
      <c r="M516" s="59"/>
      <c r="N516" s="59"/>
      <c r="O516" s="60">
        <f t="shared" si="63"/>
        <v>516</v>
      </c>
      <c r="P516" s="65"/>
    </row>
    <row r="517" spans="3:22">
      <c r="C517" s="83" t="s">
        <v>67</v>
      </c>
      <c r="D517" s="75"/>
      <c r="E517" s="75"/>
      <c r="F517" s="81" t="s">
        <v>166</v>
      </c>
      <c r="G517" s="55" t="s">
        <v>849</v>
      </c>
      <c r="H517" s="55" t="s">
        <v>139</v>
      </c>
      <c r="I517" s="59">
        <v>4</v>
      </c>
      <c r="J517" s="60" t="s">
        <v>832</v>
      </c>
      <c r="K517" s="63"/>
      <c r="L517" s="59"/>
      <c r="M517" s="59"/>
      <c r="N517" s="59"/>
      <c r="O517" s="60">
        <f t="shared" si="63"/>
        <v>517</v>
      </c>
      <c r="P517" s="65"/>
    </row>
    <row r="518" spans="3:22">
      <c r="C518" s="83" t="s">
        <v>67</v>
      </c>
      <c r="D518" s="75"/>
      <c r="E518" s="75"/>
      <c r="F518" s="81" t="s">
        <v>166</v>
      </c>
      <c r="G518" s="62" t="s">
        <v>6</v>
      </c>
      <c r="H518" s="55" t="s">
        <v>139</v>
      </c>
      <c r="I518" s="59">
        <v>5</v>
      </c>
      <c r="J518" s="60" t="s">
        <v>140</v>
      </c>
      <c r="K518" s="63"/>
      <c r="L518" s="59"/>
      <c r="M518" s="59"/>
      <c r="N518" s="59"/>
      <c r="O518" s="60">
        <f t="shared" si="63"/>
        <v>518</v>
      </c>
      <c r="P518" s="65"/>
    </row>
    <row r="519" spans="3:22">
      <c r="C519" s="83" t="s">
        <v>67</v>
      </c>
      <c r="D519" s="75"/>
      <c r="E519" s="75"/>
      <c r="F519" s="81" t="s">
        <v>166</v>
      </c>
      <c r="G519" s="62" t="s">
        <v>6</v>
      </c>
      <c r="H519" s="55" t="s">
        <v>139</v>
      </c>
      <c r="I519" s="59">
        <v>6</v>
      </c>
      <c r="J519" s="60" t="s">
        <v>140</v>
      </c>
      <c r="K519" s="63"/>
      <c r="L519" s="59"/>
      <c r="M519" s="59"/>
      <c r="N519" s="59"/>
      <c r="O519" s="60">
        <f t="shared" si="63"/>
        <v>519</v>
      </c>
      <c r="P519" s="65"/>
    </row>
    <row r="520" spans="3:22">
      <c r="C520" s="83" t="s">
        <v>67</v>
      </c>
      <c r="D520" s="75"/>
      <c r="E520" s="75"/>
      <c r="F520" s="81" t="s">
        <v>166</v>
      </c>
      <c r="G520" s="62" t="s">
        <v>6</v>
      </c>
      <c r="H520" s="55" t="s">
        <v>139</v>
      </c>
      <c r="I520" s="59">
        <v>7</v>
      </c>
      <c r="J520" s="60" t="s">
        <v>140</v>
      </c>
      <c r="K520" s="63"/>
      <c r="L520" s="59"/>
      <c r="M520" s="59"/>
      <c r="N520" s="59"/>
      <c r="O520" s="60">
        <f t="shared" si="63"/>
        <v>520</v>
      </c>
      <c r="P520" s="65"/>
    </row>
    <row r="521" spans="3:22">
      <c r="C521" s="83" t="s">
        <v>67</v>
      </c>
      <c r="D521" s="75"/>
      <c r="E521" s="75"/>
      <c r="F521" s="81" t="s">
        <v>166</v>
      </c>
      <c r="G521" s="62" t="s">
        <v>6</v>
      </c>
      <c r="H521" s="55" t="s">
        <v>139</v>
      </c>
      <c r="I521" s="59">
        <v>8</v>
      </c>
      <c r="J521" s="60" t="s">
        <v>140</v>
      </c>
      <c r="K521" s="63"/>
      <c r="L521" s="59"/>
      <c r="M521" s="59"/>
      <c r="N521" s="59"/>
      <c r="O521" s="60">
        <f t="shared" si="63"/>
        <v>521</v>
      </c>
      <c r="P521" s="65"/>
    </row>
    <row r="522" spans="3:22">
      <c r="C522" s="83" t="s">
        <v>67</v>
      </c>
      <c r="D522" s="75"/>
      <c r="E522" s="75"/>
      <c r="F522" s="81" t="s">
        <v>166</v>
      </c>
      <c r="G522" s="62" t="s">
        <v>6</v>
      </c>
      <c r="H522" s="55" t="s">
        <v>139</v>
      </c>
      <c r="I522" s="59">
        <v>9</v>
      </c>
      <c r="J522" s="60" t="s">
        <v>140</v>
      </c>
      <c r="K522" s="63"/>
      <c r="L522" s="59"/>
      <c r="M522" s="59"/>
      <c r="N522" s="59"/>
      <c r="O522" s="60">
        <f t="shared" si="63"/>
        <v>522</v>
      </c>
      <c r="P522" s="65"/>
    </row>
    <row r="523" spans="3:22">
      <c r="C523" s="83" t="s">
        <v>68</v>
      </c>
      <c r="D523" s="75">
        <v>4</v>
      </c>
      <c r="E523" s="75">
        <v>20</v>
      </c>
      <c r="F523" s="81" t="s">
        <v>151</v>
      </c>
      <c r="G523" s="56" t="s">
        <v>975</v>
      </c>
      <c r="H523" s="56" t="s">
        <v>124</v>
      </c>
      <c r="I523" s="59">
        <v>0</v>
      </c>
      <c r="J523" s="60" t="s">
        <v>976</v>
      </c>
      <c r="K523" s="63" t="str">
        <f t="shared" si="58"/>
        <v>XGF-DC4HInput</v>
      </c>
      <c r="L523" s="59">
        <f t="shared" ref="L523:L543" si="64">COUNTIF($C$2:$C$2062,C523)</f>
        <v>34</v>
      </c>
      <c r="M523" s="59">
        <f t="shared" ref="M523:M543" si="65">COUNTIF($K$2:$K$2062,K523)</f>
        <v>21</v>
      </c>
      <c r="N523" s="59">
        <f t="shared" ref="N523:N577" si="66">L523-M523</f>
        <v>13</v>
      </c>
      <c r="O523" s="60">
        <f t="shared" si="63"/>
        <v>523</v>
      </c>
      <c r="P523" s="65" t="s">
        <v>3214</v>
      </c>
      <c r="Q523">
        <f>O523</f>
        <v>523</v>
      </c>
      <c r="R523" t="s">
        <v>3215</v>
      </c>
      <c r="S523">
        <v>557</v>
      </c>
      <c r="T523" t="str">
        <f>P523&amp;Q523&amp;R523&amp;S523</f>
        <v>All data map'!$F$523:$J$557</v>
      </c>
      <c r="V523" t="s">
        <v>3249</v>
      </c>
    </row>
    <row r="524" spans="3:22">
      <c r="C524" s="83" t="s">
        <v>68</v>
      </c>
      <c r="D524" s="75"/>
      <c r="E524" s="75"/>
      <c r="F524" s="81" t="s">
        <v>151</v>
      </c>
      <c r="G524" s="55" t="s">
        <v>977</v>
      </c>
      <c r="H524" s="55" t="s">
        <v>124</v>
      </c>
      <c r="I524" s="59">
        <v>0.1</v>
      </c>
      <c r="J524" s="60" t="s">
        <v>978</v>
      </c>
      <c r="K524" s="63" t="str">
        <f t="shared" si="58"/>
        <v>XGF-DC4HInput</v>
      </c>
      <c r="L524" s="59">
        <f t="shared" si="64"/>
        <v>34</v>
      </c>
      <c r="M524" s="59">
        <f t="shared" si="65"/>
        <v>21</v>
      </c>
      <c r="N524" s="59">
        <f t="shared" si="66"/>
        <v>13</v>
      </c>
      <c r="O524" s="60">
        <f t="shared" si="63"/>
        <v>524</v>
      </c>
      <c r="P524" s="65"/>
    </row>
    <row r="525" spans="3:22">
      <c r="C525" s="83" t="s">
        <v>68</v>
      </c>
      <c r="D525" s="75"/>
      <c r="E525" s="75"/>
      <c r="F525" s="81" t="s">
        <v>151</v>
      </c>
      <c r="G525" s="55" t="s">
        <v>979</v>
      </c>
      <c r="H525" s="55" t="s">
        <v>124</v>
      </c>
      <c r="I525" s="59">
        <v>0.2</v>
      </c>
      <c r="J525" s="60" t="s">
        <v>980</v>
      </c>
      <c r="K525" s="63" t="str">
        <f t="shared" si="58"/>
        <v>XGF-DC4HInput</v>
      </c>
      <c r="L525" s="59">
        <f t="shared" si="64"/>
        <v>34</v>
      </c>
      <c r="M525" s="59">
        <f t="shared" si="65"/>
        <v>21</v>
      </c>
      <c r="N525" s="59">
        <f t="shared" si="66"/>
        <v>13</v>
      </c>
      <c r="O525" s="60">
        <f t="shared" si="63"/>
        <v>525</v>
      </c>
      <c r="P525" s="65"/>
    </row>
    <row r="526" spans="3:22">
      <c r="C526" s="83" t="s">
        <v>68</v>
      </c>
      <c r="D526" s="75"/>
      <c r="E526" s="75"/>
      <c r="F526" s="81" t="s">
        <v>151</v>
      </c>
      <c r="G526" s="55" t="s">
        <v>981</v>
      </c>
      <c r="H526" s="55" t="s">
        <v>124</v>
      </c>
      <c r="I526" s="59">
        <v>0.3</v>
      </c>
      <c r="J526" s="60" t="s">
        <v>982</v>
      </c>
      <c r="K526" s="63" t="str">
        <f t="shared" si="58"/>
        <v>XGF-DC4HInput</v>
      </c>
      <c r="L526" s="59">
        <f t="shared" si="64"/>
        <v>34</v>
      </c>
      <c r="M526" s="59">
        <f t="shared" si="65"/>
        <v>21</v>
      </c>
      <c r="N526" s="59">
        <f t="shared" si="66"/>
        <v>13</v>
      </c>
      <c r="O526" s="60">
        <f t="shared" si="63"/>
        <v>526</v>
      </c>
      <c r="P526" s="65"/>
    </row>
    <row r="527" spans="3:22">
      <c r="C527" s="83" t="s">
        <v>68</v>
      </c>
      <c r="D527" s="75"/>
      <c r="E527" s="75"/>
      <c r="F527" s="81" t="s">
        <v>151</v>
      </c>
      <c r="G527" s="55" t="s">
        <v>983</v>
      </c>
      <c r="H527" s="55" t="s">
        <v>124</v>
      </c>
      <c r="I527" s="59">
        <v>0.8</v>
      </c>
      <c r="J527" s="60" t="s">
        <v>984</v>
      </c>
      <c r="K527" s="63" t="str">
        <f t="shared" si="58"/>
        <v>XGF-DC4HInput</v>
      </c>
      <c r="L527" s="59">
        <f t="shared" si="64"/>
        <v>34</v>
      </c>
      <c r="M527" s="59">
        <f t="shared" si="65"/>
        <v>21</v>
      </c>
      <c r="N527" s="59">
        <f t="shared" si="66"/>
        <v>13</v>
      </c>
      <c r="O527" s="60">
        <f t="shared" si="63"/>
        <v>527</v>
      </c>
      <c r="P527" s="65"/>
    </row>
    <row r="528" spans="3:22">
      <c r="C528" s="83" t="s">
        <v>68</v>
      </c>
      <c r="D528" s="75"/>
      <c r="E528" s="75"/>
      <c r="F528" s="81" t="s">
        <v>151</v>
      </c>
      <c r="G528" s="55" t="s">
        <v>985</v>
      </c>
      <c r="H528" s="55" t="s">
        <v>124</v>
      </c>
      <c r="I528" s="59">
        <v>0.9</v>
      </c>
      <c r="J528" s="60" t="s">
        <v>986</v>
      </c>
      <c r="K528" s="63" t="str">
        <f t="shared" si="58"/>
        <v>XGF-DC4HInput</v>
      </c>
      <c r="L528" s="59">
        <f t="shared" si="64"/>
        <v>34</v>
      </c>
      <c r="M528" s="59">
        <f t="shared" si="65"/>
        <v>21</v>
      </c>
      <c r="N528" s="59">
        <f t="shared" si="66"/>
        <v>13</v>
      </c>
      <c r="O528" s="60">
        <f t="shared" si="63"/>
        <v>528</v>
      </c>
      <c r="P528" s="65"/>
    </row>
    <row r="529" spans="3:16">
      <c r="C529" s="83" t="s">
        <v>68</v>
      </c>
      <c r="D529" s="75"/>
      <c r="E529" s="75"/>
      <c r="F529" s="81" t="s">
        <v>151</v>
      </c>
      <c r="G529" s="55" t="s">
        <v>987</v>
      </c>
      <c r="H529" s="55" t="s">
        <v>124</v>
      </c>
      <c r="I529" s="59" t="s">
        <v>988</v>
      </c>
      <c r="J529" s="60" t="s">
        <v>989</v>
      </c>
      <c r="K529" s="63" t="str">
        <f t="shared" si="58"/>
        <v>XGF-DC4HInput</v>
      </c>
      <c r="L529" s="59">
        <f t="shared" si="64"/>
        <v>34</v>
      </c>
      <c r="M529" s="59">
        <f t="shared" si="65"/>
        <v>21</v>
      </c>
      <c r="N529" s="59">
        <f t="shared" si="66"/>
        <v>13</v>
      </c>
      <c r="O529" s="60">
        <f t="shared" si="63"/>
        <v>529</v>
      </c>
      <c r="P529" s="65"/>
    </row>
    <row r="530" spans="3:16">
      <c r="C530" s="83" t="s">
        <v>68</v>
      </c>
      <c r="D530" s="75"/>
      <c r="E530" s="75"/>
      <c r="F530" s="81" t="s">
        <v>151</v>
      </c>
      <c r="G530" s="55" t="s">
        <v>990</v>
      </c>
      <c r="H530" s="55" t="s">
        <v>124</v>
      </c>
      <c r="I530" s="59" t="s">
        <v>991</v>
      </c>
      <c r="J530" s="60" t="s">
        <v>992</v>
      </c>
      <c r="K530" s="63" t="str">
        <f t="shared" si="58"/>
        <v>XGF-DC4HInput</v>
      </c>
      <c r="L530" s="59">
        <f t="shared" si="64"/>
        <v>34</v>
      </c>
      <c r="M530" s="59">
        <f t="shared" si="65"/>
        <v>21</v>
      </c>
      <c r="N530" s="59">
        <f t="shared" si="66"/>
        <v>13</v>
      </c>
      <c r="O530" s="60">
        <f t="shared" si="63"/>
        <v>530</v>
      </c>
      <c r="P530" s="65"/>
    </row>
    <row r="531" spans="3:16">
      <c r="C531" s="83" t="s">
        <v>68</v>
      </c>
      <c r="D531" s="75"/>
      <c r="E531" s="75"/>
      <c r="F531" s="81" t="s">
        <v>151</v>
      </c>
      <c r="G531" s="55" t="s">
        <v>993</v>
      </c>
      <c r="H531" s="55" t="s">
        <v>124</v>
      </c>
      <c r="I531" s="59" t="s">
        <v>126</v>
      </c>
      <c r="J531" s="60" t="s">
        <v>994</v>
      </c>
      <c r="K531" s="63" t="str">
        <f t="shared" si="58"/>
        <v>XGF-DC4HInput</v>
      </c>
      <c r="L531" s="59">
        <f t="shared" si="64"/>
        <v>34</v>
      </c>
      <c r="M531" s="59">
        <f t="shared" si="65"/>
        <v>21</v>
      </c>
      <c r="N531" s="59">
        <f t="shared" si="66"/>
        <v>13</v>
      </c>
      <c r="O531" s="60">
        <f t="shared" si="63"/>
        <v>531</v>
      </c>
      <c r="P531" s="65"/>
    </row>
    <row r="532" spans="3:16">
      <c r="C532" s="83" t="s">
        <v>68</v>
      </c>
      <c r="D532" s="75"/>
      <c r="E532" s="75"/>
      <c r="F532" s="81" t="s">
        <v>151</v>
      </c>
      <c r="G532" s="55" t="s">
        <v>995</v>
      </c>
      <c r="H532" s="55" t="s">
        <v>124</v>
      </c>
      <c r="I532" s="59">
        <v>1</v>
      </c>
      <c r="J532" s="60" t="s">
        <v>996</v>
      </c>
      <c r="K532" s="63" t="str">
        <f t="shared" si="58"/>
        <v>XGF-DC4HInput</v>
      </c>
      <c r="L532" s="59">
        <f t="shared" si="64"/>
        <v>34</v>
      </c>
      <c r="M532" s="59">
        <f t="shared" si="65"/>
        <v>21</v>
      </c>
      <c r="N532" s="59">
        <f t="shared" si="66"/>
        <v>13</v>
      </c>
      <c r="O532" s="60">
        <f t="shared" si="63"/>
        <v>532</v>
      </c>
      <c r="P532" s="65"/>
    </row>
    <row r="533" spans="3:16">
      <c r="C533" s="83" t="s">
        <v>68</v>
      </c>
      <c r="D533" s="75"/>
      <c r="E533" s="75"/>
      <c r="F533" s="81" t="s">
        <v>151</v>
      </c>
      <c r="G533" s="55" t="s">
        <v>997</v>
      </c>
      <c r="H533" s="55" t="s">
        <v>124</v>
      </c>
      <c r="I533" s="59">
        <v>1.1000000000000001</v>
      </c>
      <c r="J533" s="60" t="s">
        <v>998</v>
      </c>
      <c r="K533" s="63" t="str">
        <f t="shared" ref="K533:K596" si="67">C533&amp;F533</f>
        <v>XGF-DC4HInput</v>
      </c>
      <c r="L533" s="59">
        <f t="shared" si="64"/>
        <v>34</v>
      </c>
      <c r="M533" s="59">
        <f t="shared" si="65"/>
        <v>21</v>
      </c>
      <c r="N533" s="59">
        <f t="shared" si="66"/>
        <v>13</v>
      </c>
      <c r="O533" s="60">
        <f t="shared" si="63"/>
        <v>533</v>
      </c>
      <c r="P533" s="65"/>
    </row>
    <row r="534" spans="3:16">
      <c r="C534" s="83" t="s">
        <v>68</v>
      </c>
      <c r="D534" s="75"/>
      <c r="E534" s="75"/>
      <c r="F534" s="81" t="s">
        <v>151</v>
      </c>
      <c r="G534" s="55" t="s">
        <v>999</v>
      </c>
      <c r="H534" s="55" t="s">
        <v>124</v>
      </c>
      <c r="I534" s="59">
        <v>1.2</v>
      </c>
      <c r="J534" s="60" t="s">
        <v>1000</v>
      </c>
      <c r="K534" s="63" t="str">
        <f t="shared" si="67"/>
        <v>XGF-DC4HInput</v>
      </c>
      <c r="L534" s="59">
        <f t="shared" si="64"/>
        <v>34</v>
      </c>
      <c r="M534" s="59">
        <f t="shared" si="65"/>
        <v>21</v>
      </c>
      <c r="N534" s="59">
        <f t="shared" si="66"/>
        <v>13</v>
      </c>
      <c r="O534" s="60">
        <f t="shared" si="63"/>
        <v>534</v>
      </c>
      <c r="P534" s="65"/>
    </row>
    <row r="535" spans="3:16">
      <c r="C535" s="83" t="s">
        <v>68</v>
      </c>
      <c r="D535" s="75"/>
      <c r="E535" s="75"/>
      <c r="F535" s="81" t="s">
        <v>151</v>
      </c>
      <c r="G535" s="55" t="s">
        <v>1001</v>
      </c>
      <c r="H535" s="55" t="s">
        <v>124</v>
      </c>
      <c r="I535" s="59">
        <v>1.3</v>
      </c>
      <c r="J535" s="60" t="s">
        <v>1002</v>
      </c>
      <c r="K535" s="63" t="str">
        <f t="shared" si="67"/>
        <v>XGF-DC4HInput</v>
      </c>
      <c r="L535" s="59">
        <f t="shared" si="64"/>
        <v>34</v>
      </c>
      <c r="M535" s="59">
        <f t="shared" si="65"/>
        <v>21</v>
      </c>
      <c r="N535" s="59">
        <f t="shared" si="66"/>
        <v>13</v>
      </c>
      <c r="O535" s="60">
        <f t="shared" si="63"/>
        <v>535</v>
      </c>
      <c r="P535" s="65"/>
    </row>
    <row r="536" spans="3:16">
      <c r="C536" s="83" t="s">
        <v>68</v>
      </c>
      <c r="D536" s="75"/>
      <c r="E536" s="75"/>
      <c r="F536" s="81" t="s">
        <v>151</v>
      </c>
      <c r="G536" s="55" t="s">
        <v>1003</v>
      </c>
      <c r="H536" s="55" t="s">
        <v>124</v>
      </c>
      <c r="I536" s="59">
        <v>1.8</v>
      </c>
      <c r="J536" s="60" t="s">
        <v>1004</v>
      </c>
      <c r="K536" s="63" t="str">
        <f t="shared" si="67"/>
        <v>XGF-DC4HInput</v>
      </c>
      <c r="L536" s="59">
        <f t="shared" si="64"/>
        <v>34</v>
      </c>
      <c r="M536" s="59">
        <f t="shared" si="65"/>
        <v>21</v>
      </c>
      <c r="N536" s="59">
        <f t="shared" si="66"/>
        <v>13</v>
      </c>
      <c r="O536" s="60">
        <f t="shared" si="63"/>
        <v>536</v>
      </c>
      <c r="P536" s="65"/>
    </row>
    <row r="537" spans="3:16">
      <c r="C537" s="83" t="s">
        <v>68</v>
      </c>
      <c r="D537" s="75"/>
      <c r="E537" s="75"/>
      <c r="F537" s="81" t="s">
        <v>151</v>
      </c>
      <c r="G537" s="55" t="s">
        <v>1005</v>
      </c>
      <c r="H537" s="55" t="s">
        <v>124</v>
      </c>
      <c r="I537" s="59">
        <v>1.9</v>
      </c>
      <c r="J537" s="60" t="s">
        <v>1006</v>
      </c>
      <c r="K537" s="63" t="str">
        <f t="shared" si="67"/>
        <v>XGF-DC4HInput</v>
      </c>
      <c r="L537" s="59">
        <f t="shared" si="64"/>
        <v>34</v>
      </c>
      <c r="M537" s="59">
        <f t="shared" si="65"/>
        <v>21</v>
      </c>
      <c r="N537" s="59">
        <f t="shared" si="66"/>
        <v>13</v>
      </c>
      <c r="O537" s="60">
        <f t="shared" si="63"/>
        <v>537</v>
      </c>
      <c r="P537" s="65"/>
    </row>
    <row r="538" spans="3:16">
      <c r="C538" s="83" t="s">
        <v>68</v>
      </c>
      <c r="D538" s="75"/>
      <c r="E538" s="75"/>
      <c r="F538" s="81" t="s">
        <v>151</v>
      </c>
      <c r="G538" s="55" t="s">
        <v>1007</v>
      </c>
      <c r="H538" s="55" t="s">
        <v>124</v>
      </c>
      <c r="I538" s="59" t="s">
        <v>136</v>
      </c>
      <c r="J538" s="60" t="s">
        <v>1008</v>
      </c>
      <c r="K538" s="63" t="str">
        <f t="shared" si="67"/>
        <v>XGF-DC4HInput</v>
      </c>
      <c r="L538" s="59">
        <f t="shared" si="64"/>
        <v>34</v>
      </c>
      <c r="M538" s="59">
        <f t="shared" si="65"/>
        <v>21</v>
      </c>
      <c r="N538" s="59">
        <f t="shared" si="66"/>
        <v>13</v>
      </c>
      <c r="O538" s="60">
        <f t="shared" si="63"/>
        <v>538</v>
      </c>
      <c r="P538" s="65"/>
    </row>
    <row r="539" spans="3:16">
      <c r="C539" s="83" t="s">
        <v>68</v>
      </c>
      <c r="D539" s="75"/>
      <c r="E539" s="75"/>
      <c r="F539" s="81" t="s">
        <v>151</v>
      </c>
      <c r="G539" s="55" t="s">
        <v>1009</v>
      </c>
      <c r="H539" s="55" t="s">
        <v>124</v>
      </c>
      <c r="I539" s="59" t="s">
        <v>138</v>
      </c>
      <c r="J539" s="60" t="s">
        <v>1010</v>
      </c>
      <c r="K539" s="63" t="str">
        <f t="shared" si="67"/>
        <v>XGF-DC4HInput</v>
      </c>
      <c r="L539" s="59">
        <f t="shared" si="64"/>
        <v>34</v>
      </c>
      <c r="M539" s="59">
        <f t="shared" si="65"/>
        <v>21</v>
      </c>
      <c r="N539" s="59">
        <f t="shared" si="66"/>
        <v>13</v>
      </c>
      <c r="O539" s="60">
        <f t="shared" si="63"/>
        <v>539</v>
      </c>
      <c r="P539" s="65"/>
    </row>
    <row r="540" spans="3:16">
      <c r="C540" s="83" t="s">
        <v>68</v>
      </c>
      <c r="D540" s="75"/>
      <c r="E540" s="75"/>
      <c r="F540" s="81" t="s">
        <v>151</v>
      </c>
      <c r="G540" s="55" t="s">
        <v>1011</v>
      </c>
      <c r="H540" s="55" t="s">
        <v>124</v>
      </c>
      <c r="I540" s="59" t="s">
        <v>201</v>
      </c>
      <c r="J540" s="60" t="s">
        <v>1012</v>
      </c>
      <c r="K540" s="63" t="str">
        <f t="shared" si="67"/>
        <v>XGF-DC4HInput</v>
      </c>
      <c r="L540" s="59">
        <f t="shared" si="64"/>
        <v>34</v>
      </c>
      <c r="M540" s="59">
        <f t="shared" si="65"/>
        <v>21</v>
      </c>
      <c r="N540" s="59">
        <f t="shared" si="66"/>
        <v>13</v>
      </c>
      <c r="O540" s="60">
        <f t="shared" si="63"/>
        <v>540</v>
      </c>
      <c r="P540" s="65"/>
    </row>
    <row r="541" spans="3:16">
      <c r="C541" s="83" t="s">
        <v>68</v>
      </c>
      <c r="D541" s="75"/>
      <c r="E541" s="75"/>
      <c r="F541" s="81" t="s">
        <v>151</v>
      </c>
      <c r="G541" s="55" t="s">
        <v>1013</v>
      </c>
      <c r="H541" s="55" t="s">
        <v>124</v>
      </c>
      <c r="I541" s="59" t="s">
        <v>204</v>
      </c>
      <c r="J541" s="60" t="s">
        <v>1014</v>
      </c>
      <c r="K541" s="63" t="str">
        <f t="shared" si="67"/>
        <v>XGF-DC4HInput</v>
      </c>
      <c r="L541" s="59">
        <f t="shared" si="64"/>
        <v>34</v>
      </c>
      <c r="M541" s="59">
        <f t="shared" si="65"/>
        <v>21</v>
      </c>
      <c r="N541" s="59">
        <f t="shared" si="66"/>
        <v>13</v>
      </c>
      <c r="O541" s="60">
        <f t="shared" si="63"/>
        <v>541</v>
      </c>
      <c r="P541" s="65"/>
    </row>
    <row r="542" spans="3:16">
      <c r="C542" s="83" t="s">
        <v>68</v>
      </c>
      <c r="D542" s="75"/>
      <c r="E542" s="75"/>
      <c r="F542" s="81" t="s">
        <v>151</v>
      </c>
      <c r="G542" s="55" t="s">
        <v>1015</v>
      </c>
      <c r="H542" s="55" t="s">
        <v>124</v>
      </c>
      <c r="I542" s="59" t="s">
        <v>207</v>
      </c>
      <c r="J542" s="60" t="s">
        <v>1016</v>
      </c>
      <c r="K542" s="63" t="str">
        <f t="shared" si="67"/>
        <v>XGF-DC4HInput</v>
      </c>
      <c r="L542" s="59">
        <f t="shared" si="64"/>
        <v>34</v>
      </c>
      <c r="M542" s="59">
        <f t="shared" si="65"/>
        <v>21</v>
      </c>
      <c r="N542" s="59">
        <f t="shared" si="66"/>
        <v>13</v>
      </c>
      <c r="O542" s="60">
        <f t="shared" si="63"/>
        <v>542</v>
      </c>
      <c r="P542" s="65"/>
    </row>
    <row r="543" spans="3:16">
      <c r="C543" s="83" t="s">
        <v>68</v>
      </c>
      <c r="D543" s="75"/>
      <c r="E543" s="75"/>
      <c r="F543" s="81" t="s">
        <v>151</v>
      </c>
      <c r="G543" s="55" t="s">
        <v>1017</v>
      </c>
      <c r="H543" s="55" t="s">
        <v>124</v>
      </c>
      <c r="I543" s="59" t="s">
        <v>210</v>
      </c>
      <c r="J543" s="60" t="s">
        <v>1018</v>
      </c>
      <c r="K543" s="63" t="str">
        <f t="shared" si="67"/>
        <v>XGF-DC4HInput</v>
      </c>
      <c r="L543" s="59">
        <f t="shared" si="64"/>
        <v>34</v>
      </c>
      <c r="M543" s="59">
        <f t="shared" si="65"/>
        <v>21</v>
      </c>
      <c r="N543" s="59">
        <f t="shared" si="66"/>
        <v>13</v>
      </c>
      <c r="O543" s="60">
        <f t="shared" si="63"/>
        <v>543</v>
      </c>
      <c r="P543" s="65"/>
    </row>
    <row r="544" spans="3:16">
      <c r="C544" s="83" t="s">
        <v>68</v>
      </c>
      <c r="D544" s="75"/>
      <c r="E544" s="75"/>
      <c r="F544" s="81" t="s">
        <v>166</v>
      </c>
      <c r="G544" s="55" t="s">
        <v>1019</v>
      </c>
      <c r="H544" s="55" t="s">
        <v>124</v>
      </c>
      <c r="I544" s="59">
        <v>0</v>
      </c>
      <c r="J544" s="60" t="s">
        <v>1020</v>
      </c>
      <c r="K544" s="63"/>
      <c r="L544" s="59"/>
      <c r="M544" s="59"/>
      <c r="N544" s="59"/>
      <c r="O544" s="60">
        <f t="shared" si="63"/>
        <v>544</v>
      </c>
      <c r="P544" s="65"/>
    </row>
    <row r="545" spans="3:22">
      <c r="C545" s="83" t="s">
        <v>68</v>
      </c>
      <c r="D545" s="75"/>
      <c r="E545" s="75"/>
      <c r="F545" s="81" t="s">
        <v>166</v>
      </c>
      <c r="G545" s="55" t="s">
        <v>1021</v>
      </c>
      <c r="H545" s="55" t="s">
        <v>124</v>
      </c>
      <c r="I545" s="59">
        <v>0.1</v>
      </c>
      <c r="J545" s="60" t="s">
        <v>1022</v>
      </c>
      <c r="K545" s="63"/>
      <c r="L545" s="59"/>
      <c r="M545" s="59"/>
      <c r="N545" s="59"/>
      <c r="O545" s="60">
        <f t="shared" si="63"/>
        <v>545</v>
      </c>
      <c r="P545" s="65"/>
    </row>
    <row r="546" spans="3:22">
      <c r="C546" s="83" t="s">
        <v>68</v>
      </c>
      <c r="D546" s="75"/>
      <c r="E546" s="75"/>
      <c r="F546" s="81" t="s">
        <v>166</v>
      </c>
      <c r="G546" s="55" t="s">
        <v>1023</v>
      </c>
      <c r="H546" s="55" t="s">
        <v>124</v>
      </c>
      <c r="I546" s="59">
        <v>0.2</v>
      </c>
      <c r="J546" s="60" t="s">
        <v>1024</v>
      </c>
      <c r="K546" s="63"/>
      <c r="L546" s="59"/>
      <c r="M546" s="59"/>
      <c r="N546" s="59"/>
      <c r="O546" s="60">
        <f t="shared" si="63"/>
        <v>546</v>
      </c>
      <c r="P546" s="65"/>
    </row>
    <row r="547" spans="3:22">
      <c r="C547" s="83" t="s">
        <v>68</v>
      </c>
      <c r="D547" s="75"/>
      <c r="E547" s="75"/>
      <c r="F547" s="81" t="s">
        <v>166</v>
      </c>
      <c r="G547" s="55" t="s">
        <v>1025</v>
      </c>
      <c r="H547" s="55" t="s">
        <v>124</v>
      </c>
      <c r="I547" s="59">
        <v>0.3</v>
      </c>
      <c r="J547" s="60" t="s">
        <v>1026</v>
      </c>
      <c r="K547" s="63"/>
      <c r="L547" s="59"/>
      <c r="M547" s="59"/>
      <c r="N547" s="59"/>
      <c r="O547" s="60">
        <f t="shared" si="63"/>
        <v>547</v>
      </c>
      <c r="P547" s="65"/>
    </row>
    <row r="548" spans="3:22">
      <c r="C548" s="83" t="s">
        <v>68</v>
      </c>
      <c r="D548" s="75"/>
      <c r="E548" s="75"/>
      <c r="F548" s="81" t="s">
        <v>166</v>
      </c>
      <c r="G548" s="55" t="s">
        <v>1027</v>
      </c>
      <c r="H548" s="55" t="s">
        <v>139</v>
      </c>
      <c r="I548" s="59">
        <v>1</v>
      </c>
      <c r="J548" s="60" t="s">
        <v>1028</v>
      </c>
      <c r="K548" s="63"/>
      <c r="L548" s="59"/>
      <c r="M548" s="59"/>
      <c r="N548" s="59"/>
      <c r="O548" s="60">
        <f t="shared" si="63"/>
        <v>548</v>
      </c>
      <c r="P548" s="65"/>
    </row>
    <row r="549" spans="3:22">
      <c r="C549" s="83" t="s">
        <v>68</v>
      </c>
      <c r="D549" s="75"/>
      <c r="E549" s="75"/>
      <c r="F549" s="81" t="s">
        <v>166</v>
      </c>
      <c r="G549" s="55" t="s">
        <v>1029</v>
      </c>
      <c r="H549" s="55" t="s">
        <v>139</v>
      </c>
      <c r="I549" s="59">
        <v>2</v>
      </c>
      <c r="J549" s="60" t="s">
        <v>1030</v>
      </c>
      <c r="K549" s="63"/>
      <c r="L549" s="59"/>
      <c r="M549" s="59"/>
      <c r="N549" s="59"/>
      <c r="O549" s="60">
        <f t="shared" si="63"/>
        <v>549</v>
      </c>
      <c r="P549" s="65"/>
    </row>
    <row r="550" spans="3:22">
      <c r="C550" s="83" t="s">
        <v>68</v>
      </c>
      <c r="D550" s="75"/>
      <c r="E550" s="75"/>
      <c r="F550" s="81" t="s">
        <v>166</v>
      </c>
      <c r="G550" s="55" t="s">
        <v>1031</v>
      </c>
      <c r="H550" s="55" t="s">
        <v>139</v>
      </c>
      <c r="I550" s="59">
        <v>3</v>
      </c>
      <c r="J550" s="60" t="s">
        <v>1032</v>
      </c>
      <c r="K550" s="63"/>
      <c r="L550" s="59"/>
      <c r="M550" s="59"/>
      <c r="N550" s="59"/>
      <c r="O550" s="60">
        <f t="shared" si="63"/>
        <v>550</v>
      </c>
      <c r="P550" s="65"/>
    </row>
    <row r="551" spans="3:22">
      <c r="C551" s="83" t="s">
        <v>68</v>
      </c>
      <c r="D551" s="75"/>
      <c r="E551" s="75"/>
      <c r="F551" s="81" t="s">
        <v>166</v>
      </c>
      <c r="G551" s="55" t="s">
        <v>1033</v>
      </c>
      <c r="H551" s="55" t="s">
        <v>139</v>
      </c>
      <c r="I551" s="59">
        <v>4</v>
      </c>
      <c r="J551" s="60" t="s">
        <v>1034</v>
      </c>
      <c r="K551" s="63"/>
      <c r="L551" s="59"/>
      <c r="M551" s="59"/>
      <c r="N551" s="59"/>
      <c r="O551" s="60">
        <f t="shared" si="63"/>
        <v>551</v>
      </c>
      <c r="P551" s="65"/>
    </row>
    <row r="552" spans="3:22">
      <c r="C552" s="83" t="s">
        <v>68</v>
      </c>
      <c r="D552" s="75"/>
      <c r="E552" s="75"/>
      <c r="F552" s="81" t="s">
        <v>166</v>
      </c>
      <c r="G552" s="62" t="s">
        <v>6</v>
      </c>
      <c r="H552" s="55" t="s">
        <v>139</v>
      </c>
      <c r="I552" s="59">
        <v>5</v>
      </c>
      <c r="J552" s="60" t="s">
        <v>140</v>
      </c>
      <c r="K552" s="63"/>
      <c r="L552" s="59"/>
      <c r="M552" s="59"/>
      <c r="N552" s="59"/>
      <c r="O552" s="60">
        <f t="shared" si="63"/>
        <v>552</v>
      </c>
      <c r="P552" s="65"/>
    </row>
    <row r="553" spans="3:22">
      <c r="C553" s="83" t="s">
        <v>68</v>
      </c>
      <c r="D553" s="75"/>
      <c r="E553" s="75"/>
      <c r="F553" s="81" t="s">
        <v>166</v>
      </c>
      <c r="G553" s="62" t="s">
        <v>6</v>
      </c>
      <c r="H553" s="55" t="s">
        <v>139</v>
      </c>
      <c r="I553" s="59">
        <v>6</v>
      </c>
      <c r="J553" s="60" t="s">
        <v>140</v>
      </c>
      <c r="K553" s="63"/>
      <c r="L553" s="59"/>
      <c r="M553" s="59"/>
      <c r="N553" s="59"/>
      <c r="O553" s="60">
        <f t="shared" si="63"/>
        <v>553</v>
      </c>
      <c r="P553" s="65"/>
    </row>
    <row r="554" spans="3:22">
      <c r="C554" s="83" t="s">
        <v>68</v>
      </c>
      <c r="D554" s="75"/>
      <c r="E554" s="75"/>
      <c r="F554" s="81" t="s">
        <v>166</v>
      </c>
      <c r="G554" s="62" t="s">
        <v>6</v>
      </c>
      <c r="H554" s="55" t="s">
        <v>139</v>
      </c>
      <c r="I554" s="59">
        <v>7</v>
      </c>
      <c r="J554" s="60" t="s">
        <v>140</v>
      </c>
      <c r="K554" s="63"/>
      <c r="L554" s="59"/>
      <c r="M554" s="59"/>
      <c r="N554" s="59"/>
      <c r="O554" s="60">
        <f t="shared" si="63"/>
        <v>554</v>
      </c>
      <c r="P554" s="65"/>
    </row>
    <row r="555" spans="3:22">
      <c r="C555" s="83" t="s">
        <v>68</v>
      </c>
      <c r="D555" s="75"/>
      <c r="E555" s="75"/>
      <c r="F555" s="81" t="s">
        <v>166</v>
      </c>
      <c r="G555" s="62" t="s">
        <v>6</v>
      </c>
      <c r="H555" s="55" t="s">
        <v>139</v>
      </c>
      <c r="I555" s="59">
        <v>8</v>
      </c>
      <c r="J555" s="60" t="s">
        <v>140</v>
      </c>
      <c r="K555" s="63"/>
      <c r="L555" s="59"/>
      <c r="M555" s="59"/>
      <c r="N555" s="59"/>
      <c r="O555" s="60">
        <f t="shared" si="63"/>
        <v>555</v>
      </c>
      <c r="P555" s="65"/>
    </row>
    <row r="556" spans="3:22">
      <c r="C556" s="83" t="s">
        <v>68</v>
      </c>
      <c r="D556" s="75"/>
      <c r="E556" s="75"/>
      <c r="F556" s="81" t="s">
        <v>166</v>
      </c>
      <c r="G556" s="62" t="s">
        <v>6</v>
      </c>
      <c r="H556" s="55" t="s">
        <v>139</v>
      </c>
      <c r="I556" s="59">
        <v>9</v>
      </c>
      <c r="J556" s="60" t="s">
        <v>140</v>
      </c>
      <c r="K556" s="63"/>
      <c r="L556" s="59"/>
      <c r="M556" s="59"/>
      <c r="N556" s="59"/>
      <c r="O556" s="60">
        <f t="shared" si="63"/>
        <v>556</v>
      </c>
      <c r="P556" s="65"/>
    </row>
    <row r="557" spans="3:22">
      <c r="C557" s="83" t="s">
        <v>69</v>
      </c>
      <c r="D557" s="75">
        <v>14</v>
      </c>
      <c r="E557" s="75">
        <v>10</v>
      </c>
      <c r="F557" s="81" t="s">
        <v>151</v>
      </c>
      <c r="G557" s="56" t="s">
        <v>850</v>
      </c>
      <c r="H557" s="56" t="s">
        <v>124</v>
      </c>
      <c r="I557" s="59">
        <v>0</v>
      </c>
      <c r="J557" s="60" t="s">
        <v>160</v>
      </c>
      <c r="K557" s="63" t="str">
        <f t="shared" si="67"/>
        <v>XGF-AH6AInput</v>
      </c>
      <c r="L557" s="59">
        <f t="shared" ref="L557:L577" si="68">COUNTIF($C$2:$C$2062,C557)</f>
        <v>27</v>
      </c>
      <c r="M557" s="59">
        <f t="shared" ref="M557:M577" si="69">COUNTIF($K$2:$K$2062,K557)</f>
        <v>21</v>
      </c>
      <c r="N557" s="59">
        <f t="shared" si="66"/>
        <v>6</v>
      </c>
      <c r="O557" s="60">
        <f t="shared" si="63"/>
        <v>557</v>
      </c>
      <c r="P557" s="65" t="s">
        <v>3214</v>
      </c>
      <c r="Q557">
        <f>O557</f>
        <v>557</v>
      </c>
      <c r="R557" t="s">
        <v>3215</v>
      </c>
      <c r="S557">
        <v>584</v>
      </c>
      <c r="T557" t="str">
        <f>P557&amp;Q557&amp;R557&amp;S557</f>
        <v>All data map'!$F$557:$J$584</v>
      </c>
      <c r="V557" t="s">
        <v>3250</v>
      </c>
    </row>
    <row r="558" spans="3:22">
      <c r="C558" s="83" t="s">
        <v>69</v>
      </c>
      <c r="D558" s="75"/>
      <c r="E558" s="75"/>
      <c r="F558" s="81" t="s">
        <v>151</v>
      </c>
      <c r="G558" s="55" t="s">
        <v>851</v>
      </c>
      <c r="H558" s="55" t="s">
        <v>124</v>
      </c>
      <c r="I558" s="59">
        <v>0.1</v>
      </c>
      <c r="J558" s="60" t="s">
        <v>161</v>
      </c>
      <c r="K558" s="63" t="str">
        <f t="shared" si="67"/>
        <v>XGF-AH6AInput</v>
      </c>
      <c r="L558" s="59">
        <f t="shared" si="68"/>
        <v>27</v>
      </c>
      <c r="M558" s="59">
        <f t="shared" si="69"/>
        <v>21</v>
      </c>
      <c r="N558" s="59">
        <f t="shared" si="66"/>
        <v>6</v>
      </c>
      <c r="O558" s="60">
        <f t="shared" si="63"/>
        <v>558</v>
      </c>
      <c r="P558" s="65"/>
    </row>
    <row r="559" spans="3:22">
      <c r="C559" s="83" t="s">
        <v>69</v>
      </c>
      <c r="D559" s="75"/>
      <c r="E559" s="75"/>
      <c r="F559" s="81" t="s">
        <v>151</v>
      </c>
      <c r="G559" s="55" t="s">
        <v>852</v>
      </c>
      <c r="H559" s="55" t="s">
        <v>124</v>
      </c>
      <c r="I559" s="59">
        <v>0.2</v>
      </c>
      <c r="J559" s="60" t="s">
        <v>853</v>
      </c>
      <c r="K559" s="63" t="str">
        <f t="shared" si="67"/>
        <v>XGF-AH6AInput</v>
      </c>
      <c r="L559" s="59">
        <f t="shared" si="68"/>
        <v>27</v>
      </c>
      <c r="M559" s="59">
        <f t="shared" si="69"/>
        <v>21</v>
      </c>
      <c r="N559" s="59">
        <f t="shared" si="66"/>
        <v>6</v>
      </c>
      <c r="O559" s="60">
        <f t="shared" si="63"/>
        <v>559</v>
      </c>
      <c r="P559" s="65"/>
    </row>
    <row r="560" spans="3:22">
      <c r="C560" s="83" t="s">
        <v>69</v>
      </c>
      <c r="D560" s="75"/>
      <c r="E560" s="75"/>
      <c r="F560" s="81" t="s">
        <v>151</v>
      </c>
      <c r="G560" s="55" t="s">
        <v>854</v>
      </c>
      <c r="H560" s="55" t="s">
        <v>124</v>
      </c>
      <c r="I560" s="59">
        <v>0.3</v>
      </c>
      <c r="J560" s="60" t="s">
        <v>855</v>
      </c>
      <c r="K560" s="63" t="str">
        <f t="shared" si="67"/>
        <v>XGF-AH6AInput</v>
      </c>
      <c r="L560" s="59">
        <f t="shared" si="68"/>
        <v>27</v>
      </c>
      <c r="M560" s="59">
        <f t="shared" si="69"/>
        <v>21</v>
      </c>
      <c r="N560" s="59">
        <f t="shared" si="66"/>
        <v>6</v>
      </c>
      <c r="O560" s="60">
        <f t="shared" si="63"/>
        <v>560</v>
      </c>
      <c r="P560" s="65"/>
    </row>
    <row r="561" spans="3:16">
      <c r="C561" s="83" t="s">
        <v>69</v>
      </c>
      <c r="D561" s="75"/>
      <c r="E561" s="75"/>
      <c r="F561" s="81" t="s">
        <v>151</v>
      </c>
      <c r="G561" s="55" t="s">
        <v>856</v>
      </c>
      <c r="H561" s="55" t="s">
        <v>124</v>
      </c>
      <c r="I561" s="59">
        <v>0.4</v>
      </c>
      <c r="J561" s="60" t="s">
        <v>162</v>
      </c>
      <c r="K561" s="63" t="str">
        <f t="shared" si="67"/>
        <v>XGF-AH6AInput</v>
      </c>
      <c r="L561" s="59">
        <f t="shared" si="68"/>
        <v>27</v>
      </c>
      <c r="M561" s="59">
        <f t="shared" si="69"/>
        <v>21</v>
      </c>
      <c r="N561" s="59">
        <f t="shared" si="66"/>
        <v>6</v>
      </c>
      <c r="O561" s="60">
        <f t="shared" si="63"/>
        <v>561</v>
      </c>
      <c r="P561" s="65"/>
    </row>
    <row r="562" spans="3:16">
      <c r="C562" s="83" t="s">
        <v>69</v>
      </c>
      <c r="D562" s="75"/>
      <c r="E562" s="75"/>
      <c r="F562" s="81" t="s">
        <v>151</v>
      </c>
      <c r="G562" s="55" t="s">
        <v>857</v>
      </c>
      <c r="H562" s="55" t="s">
        <v>124</v>
      </c>
      <c r="I562" s="59">
        <v>0.5</v>
      </c>
      <c r="J562" s="60" t="s">
        <v>163</v>
      </c>
      <c r="K562" s="63" t="str">
        <f t="shared" si="67"/>
        <v>XGF-AH6AInput</v>
      </c>
      <c r="L562" s="59">
        <f t="shared" si="68"/>
        <v>27</v>
      </c>
      <c r="M562" s="59">
        <f t="shared" si="69"/>
        <v>21</v>
      </c>
      <c r="N562" s="59">
        <f t="shared" si="66"/>
        <v>6</v>
      </c>
      <c r="O562" s="60">
        <f t="shared" si="63"/>
        <v>562</v>
      </c>
      <c r="P562" s="65"/>
    </row>
    <row r="563" spans="3:16">
      <c r="C563" s="83" t="s">
        <v>69</v>
      </c>
      <c r="D563" s="75"/>
      <c r="E563" s="75"/>
      <c r="F563" s="81" t="s">
        <v>151</v>
      </c>
      <c r="G563" s="55" t="s">
        <v>858</v>
      </c>
      <c r="H563" s="55" t="s">
        <v>124</v>
      </c>
      <c r="I563" s="59" t="s">
        <v>126</v>
      </c>
      <c r="J563" s="60" t="s">
        <v>153</v>
      </c>
      <c r="K563" s="63" t="str">
        <f t="shared" si="67"/>
        <v>XGF-AH6AInput</v>
      </c>
      <c r="L563" s="59">
        <f t="shared" si="68"/>
        <v>27</v>
      </c>
      <c r="M563" s="59">
        <f t="shared" si="69"/>
        <v>21</v>
      </c>
      <c r="N563" s="59">
        <f t="shared" si="66"/>
        <v>6</v>
      </c>
      <c r="O563" s="60">
        <f t="shared" si="63"/>
        <v>563</v>
      </c>
      <c r="P563" s="65"/>
    </row>
    <row r="564" spans="3:16">
      <c r="C564" s="83" t="s">
        <v>69</v>
      </c>
      <c r="D564" s="75"/>
      <c r="E564" s="75"/>
      <c r="F564" s="81" t="s">
        <v>151</v>
      </c>
      <c r="G564" s="55" t="s">
        <v>859</v>
      </c>
      <c r="H564" s="55" t="s">
        <v>124</v>
      </c>
      <c r="I564" s="59">
        <v>1</v>
      </c>
      <c r="J564" s="60" t="s">
        <v>154</v>
      </c>
      <c r="K564" s="63" t="str">
        <f t="shared" si="67"/>
        <v>XGF-AH6AInput</v>
      </c>
      <c r="L564" s="59">
        <f t="shared" si="68"/>
        <v>27</v>
      </c>
      <c r="M564" s="59">
        <f t="shared" si="69"/>
        <v>21</v>
      </c>
      <c r="N564" s="59">
        <f t="shared" si="66"/>
        <v>6</v>
      </c>
      <c r="O564" s="60">
        <f t="shared" si="63"/>
        <v>564</v>
      </c>
      <c r="P564" s="65"/>
    </row>
    <row r="565" spans="3:16">
      <c r="C565" s="83" t="s">
        <v>69</v>
      </c>
      <c r="D565" s="75"/>
      <c r="E565" s="75"/>
      <c r="F565" s="81" t="s">
        <v>151</v>
      </c>
      <c r="G565" s="55" t="s">
        <v>860</v>
      </c>
      <c r="H565" s="55" t="s">
        <v>124</v>
      </c>
      <c r="I565" s="59">
        <v>1.1000000000000001</v>
      </c>
      <c r="J565" s="60" t="s">
        <v>155</v>
      </c>
      <c r="K565" s="63" t="str">
        <f t="shared" si="67"/>
        <v>XGF-AH6AInput</v>
      </c>
      <c r="L565" s="59">
        <f t="shared" si="68"/>
        <v>27</v>
      </c>
      <c r="M565" s="59">
        <f t="shared" si="69"/>
        <v>21</v>
      </c>
      <c r="N565" s="59">
        <f t="shared" si="66"/>
        <v>6</v>
      </c>
      <c r="O565" s="60">
        <f t="shared" si="63"/>
        <v>565</v>
      </c>
      <c r="P565" s="65"/>
    </row>
    <row r="566" spans="3:16">
      <c r="C566" s="83" t="s">
        <v>69</v>
      </c>
      <c r="D566" s="75"/>
      <c r="E566" s="75"/>
      <c r="F566" s="81" t="s">
        <v>151</v>
      </c>
      <c r="G566" s="55" t="s">
        <v>861</v>
      </c>
      <c r="H566" s="55" t="s">
        <v>124</v>
      </c>
      <c r="I566" s="59">
        <v>1.2</v>
      </c>
      <c r="J566" s="60" t="s">
        <v>862</v>
      </c>
      <c r="K566" s="63" t="str">
        <f t="shared" si="67"/>
        <v>XGF-AH6AInput</v>
      </c>
      <c r="L566" s="59">
        <f t="shared" si="68"/>
        <v>27</v>
      </c>
      <c r="M566" s="59">
        <f t="shared" si="69"/>
        <v>21</v>
      </c>
      <c r="N566" s="59">
        <f t="shared" si="66"/>
        <v>6</v>
      </c>
      <c r="O566" s="60">
        <f t="shared" si="63"/>
        <v>566</v>
      </c>
      <c r="P566" s="65"/>
    </row>
    <row r="567" spans="3:16">
      <c r="C567" s="83" t="s">
        <v>69</v>
      </c>
      <c r="D567" s="75"/>
      <c r="E567" s="75"/>
      <c r="F567" s="81" t="s">
        <v>151</v>
      </c>
      <c r="G567" s="55" t="s">
        <v>863</v>
      </c>
      <c r="H567" s="55" t="s">
        <v>124</v>
      </c>
      <c r="I567" s="59">
        <v>1.3</v>
      </c>
      <c r="J567" s="60" t="s">
        <v>864</v>
      </c>
      <c r="K567" s="63" t="str">
        <f t="shared" si="67"/>
        <v>XGF-AH6AInput</v>
      </c>
      <c r="L567" s="59">
        <f t="shared" si="68"/>
        <v>27</v>
      </c>
      <c r="M567" s="59">
        <f t="shared" si="69"/>
        <v>21</v>
      </c>
      <c r="N567" s="59">
        <f t="shared" si="66"/>
        <v>6</v>
      </c>
      <c r="O567" s="60">
        <f t="shared" si="63"/>
        <v>567</v>
      </c>
      <c r="P567" s="65"/>
    </row>
    <row r="568" spans="3:16">
      <c r="C568" s="83" t="s">
        <v>69</v>
      </c>
      <c r="D568" s="75"/>
      <c r="E568" s="75"/>
      <c r="F568" s="81" t="s">
        <v>151</v>
      </c>
      <c r="G568" s="55" t="s">
        <v>865</v>
      </c>
      <c r="H568" s="55" t="s">
        <v>124</v>
      </c>
      <c r="I568" s="59">
        <v>1.4</v>
      </c>
      <c r="J568" s="60" t="s">
        <v>156</v>
      </c>
      <c r="K568" s="63" t="str">
        <f t="shared" si="67"/>
        <v>XGF-AH6AInput</v>
      </c>
      <c r="L568" s="59">
        <f t="shared" si="68"/>
        <v>27</v>
      </c>
      <c r="M568" s="59">
        <f t="shared" si="69"/>
        <v>21</v>
      </c>
      <c r="N568" s="59">
        <f t="shared" si="66"/>
        <v>6</v>
      </c>
      <c r="O568" s="60">
        <f t="shared" si="63"/>
        <v>568</v>
      </c>
      <c r="P568" s="65"/>
    </row>
    <row r="569" spans="3:16">
      <c r="C569" s="83" t="s">
        <v>69</v>
      </c>
      <c r="D569" s="75"/>
      <c r="E569" s="75"/>
      <c r="F569" s="81" t="s">
        <v>151</v>
      </c>
      <c r="G569" s="55" t="s">
        <v>866</v>
      </c>
      <c r="H569" s="55" t="s">
        <v>124</v>
      </c>
      <c r="I569" s="59">
        <v>1.5</v>
      </c>
      <c r="J569" s="60" t="s">
        <v>157</v>
      </c>
      <c r="K569" s="63" t="str">
        <f t="shared" si="67"/>
        <v>XGF-AH6AInput</v>
      </c>
      <c r="L569" s="59">
        <f t="shared" si="68"/>
        <v>27</v>
      </c>
      <c r="M569" s="59">
        <f t="shared" si="69"/>
        <v>21</v>
      </c>
      <c r="N569" s="59">
        <f t="shared" si="66"/>
        <v>6</v>
      </c>
      <c r="O569" s="60">
        <f t="shared" si="63"/>
        <v>569</v>
      </c>
      <c r="P569" s="65"/>
    </row>
    <row r="570" spans="3:16">
      <c r="C570" s="83" t="s">
        <v>69</v>
      </c>
      <c r="D570" s="75"/>
      <c r="E570" s="75"/>
      <c r="F570" s="81" t="s">
        <v>151</v>
      </c>
      <c r="G570" s="55" t="s">
        <v>867</v>
      </c>
      <c r="H570" s="55" t="s">
        <v>139</v>
      </c>
      <c r="I570" s="59">
        <v>2</v>
      </c>
      <c r="J570" s="60" t="s">
        <v>164</v>
      </c>
      <c r="K570" s="63" t="str">
        <f t="shared" si="67"/>
        <v>XGF-AH6AInput</v>
      </c>
      <c r="L570" s="59">
        <f t="shared" si="68"/>
        <v>27</v>
      </c>
      <c r="M570" s="59">
        <f t="shared" si="69"/>
        <v>21</v>
      </c>
      <c r="N570" s="59">
        <f t="shared" si="66"/>
        <v>6</v>
      </c>
      <c r="O570" s="60">
        <f t="shared" si="63"/>
        <v>570</v>
      </c>
      <c r="P570" s="65"/>
    </row>
    <row r="571" spans="3:16">
      <c r="C571" s="83" t="s">
        <v>69</v>
      </c>
      <c r="D571" s="75"/>
      <c r="E571" s="75"/>
      <c r="F571" s="81" t="s">
        <v>151</v>
      </c>
      <c r="G571" s="55" t="s">
        <v>868</v>
      </c>
      <c r="H571" s="55" t="s">
        <v>139</v>
      </c>
      <c r="I571" s="59">
        <v>3</v>
      </c>
      <c r="J571" s="60" t="s">
        <v>165</v>
      </c>
      <c r="K571" s="63" t="str">
        <f t="shared" si="67"/>
        <v>XGF-AH6AInput</v>
      </c>
      <c r="L571" s="59">
        <f t="shared" si="68"/>
        <v>27</v>
      </c>
      <c r="M571" s="59">
        <f t="shared" si="69"/>
        <v>21</v>
      </c>
      <c r="N571" s="59">
        <f t="shared" si="66"/>
        <v>6</v>
      </c>
      <c r="O571" s="60">
        <f t="shared" si="63"/>
        <v>571</v>
      </c>
      <c r="P571" s="65"/>
    </row>
    <row r="572" spans="3:16">
      <c r="C572" s="83" t="s">
        <v>69</v>
      </c>
      <c r="D572" s="75"/>
      <c r="E572" s="75"/>
      <c r="F572" s="81" t="s">
        <v>151</v>
      </c>
      <c r="G572" s="55" t="s">
        <v>869</v>
      </c>
      <c r="H572" s="55" t="s">
        <v>139</v>
      </c>
      <c r="I572" s="59">
        <v>4</v>
      </c>
      <c r="J572" s="60" t="s">
        <v>870</v>
      </c>
      <c r="K572" s="63" t="str">
        <f t="shared" si="67"/>
        <v>XGF-AH6AInput</v>
      </c>
      <c r="L572" s="59">
        <f t="shared" si="68"/>
        <v>27</v>
      </c>
      <c r="M572" s="59">
        <f t="shared" si="69"/>
        <v>21</v>
      </c>
      <c r="N572" s="59">
        <f t="shared" si="66"/>
        <v>6</v>
      </c>
      <c r="O572" s="60">
        <f t="shared" si="63"/>
        <v>572</v>
      </c>
      <c r="P572" s="65"/>
    </row>
    <row r="573" spans="3:16">
      <c r="C573" s="83" t="s">
        <v>69</v>
      </c>
      <c r="D573" s="75"/>
      <c r="E573" s="75"/>
      <c r="F573" s="81" t="s">
        <v>151</v>
      </c>
      <c r="G573" s="55" t="s">
        <v>871</v>
      </c>
      <c r="H573" s="55" t="s">
        <v>139</v>
      </c>
      <c r="I573" s="59">
        <v>5</v>
      </c>
      <c r="J573" s="60" t="s">
        <v>872</v>
      </c>
      <c r="K573" s="63" t="str">
        <f t="shared" si="67"/>
        <v>XGF-AH6AInput</v>
      </c>
      <c r="L573" s="59">
        <f t="shared" si="68"/>
        <v>27</v>
      </c>
      <c r="M573" s="59">
        <f t="shared" si="69"/>
        <v>21</v>
      </c>
      <c r="N573" s="59">
        <f t="shared" si="66"/>
        <v>6</v>
      </c>
      <c r="O573" s="60">
        <f t="shared" si="63"/>
        <v>573</v>
      </c>
      <c r="P573" s="65"/>
    </row>
    <row r="574" spans="3:16">
      <c r="C574" s="83" t="s">
        <v>69</v>
      </c>
      <c r="D574" s="75"/>
      <c r="E574" s="75"/>
      <c r="F574" s="81" t="s">
        <v>151</v>
      </c>
      <c r="G574" s="55" t="s">
        <v>873</v>
      </c>
      <c r="H574" s="55" t="s">
        <v>124</v>
      </c>
      <c r="I574" s="59">
        <v>6</v>
      </c>
      <c r="J574" s="60" t="s">
        <v>158</v>
      </c>
      <c r="K574" s="63" t="str">
        <f t="shared" si="67"/>
        <v>XGF-AH6AInput</v>
      </c>
      <c r="L574" s="59">
        <f t="shared" si="68"/>
        <v>27</v>
      </c>
      <c r="M574" s="59">
        <f t="shared" si="69"/>
        <v>21</v>
      </c>
      <c r="N574" s="59">
        <f t="shared" si="66"/>
        <v>6</v>
      </c>
      <c r="O574" s="60">
        <f t="shared" si="63"/>
        <v>574</v>
      </c>
      <c r="P574" s="65"/>
    </row>
    <row r="575" spans="3:16">
      <c r="C575" s="83" t="s">
        <v>69</v>
      </c>
      <c r="D575" s="75"/>
      <c r="E575" s="75"/>
      <c r="F575" s="81" t="s">
        <v>151</v>
      </c>
      <c r="G575" s="55" t="s">
        <v>874</v>
      </c>
      <c r="H575" s="55" t="s">
        <v>124</v>
      </c>
      <c r="I575" s="59">
        <v>6.1</v>
      </c>
      <c r="J575" s="60" t="s">
        <v>159</v>
      </c>
      <c r="K575" s="63" t="str">
        <f t="shared" si="67"/>
        <v>XGF-AH6AInput</v>
      </c>
      <c r="L575" s="59">
        <f t="shared" si="68"/>
        <v>27</v>
      </c>
      <c r="M575" s="59">
        <f t="shared" si="69"/>
        <v>21</v>
      </c>
      <c r="N575" s="59">
        <f t="shared" si="66"/>
        <v>6</v>
      </c>
      <c r="O575" s="60">
        <f t="shared" si="63"/>
        <v>575</v>
      </c>
      <c r="P575" s="65"/>
    </row>
    <row r="576" spans="3:16">
      <c r="C576" s="83" t="s">
        <v>69</v>
      </c>
      <c r="D576" s="75"/>
      <c r="E576" s="75"/>
      <c r="F576" s="81" t="s">
        <v>151</v>
      </c>
      <c r="G576" s="55" t="s">
        <v>875</v>
      </c>
      <c r="H576" s="55" t="s">
        <v>124</v>
      </c>
      <c r="I576" s="59">
        <v>6.2</v>
      </c>
      <c r="J576" s="60" t="s">
        <v>876</v>
      </c>
      <c r="K576" s="63" t="str">
        <f t="shared" si="67"/>
        <v>XGF-AH6AInput</v>
      </c>
      <c r="L576" s="59">
        <f t="shared" si="68"/>
        <v>27</v>
      </c>
      <c r="M576" s="59">
        <f t="shared" si="69"/>
        <v>21</v>
      </c>
      <c r="N576" s="59">
        <f t="shared" si="66"/>
        <v>6</v>
      </c>
      <c r="O576" s="60">
        <f t="shared" si="63"/>
        <v>576</v>
      </c>
      <c r="P576" s="65"/>
    </row>
    <row r="577" spans="3:22">
      <c r="C577" s="83" t="s">
        <v>69</v>
      </c>
      <c r="D577" s="75"/>
      <c r="E577" s="75"/>
      <c r="F577" s="81" t="s">
        <v>151</v>
      </c>
      <c r="G577" s="55" t="s">
        <v>877</v>
      </c>
      <c r="H577" s="55" t="s">
        <v>124</v>
      </c>
      <c r="I577" s="59">
        <v>6.3</v>
      </c>
      <c r="J577" s="60" t="s">
        <v>878</v>
      </c>
      <c r="K577" s="63" t="str">
        <f t="shared" si="67"/>
        <v>XGF-AH6AInput</v>
      </c>
      <c r="L577" s="59">
        <f t="shared" si="68"/>
        <v>27</v>
      </c>
      <c r="M577" s="59">
        <f t="shared" si="69"/>
        <v>21</v>
      </c>
      <c r="N577" s="59">
        <f t="shared" si="66"/>
        <v>6</v>
      </c>
      <c r="O577" s="60">
        <f t="shared" si="63"/>
        <v>577</v>
      </c>
      <c r="P577" s="65"/>
    </row>
    <row r="578" spans="3:22">
      <c r="C578" s="83" t="s">
        <v>69</v>
      </c>
      <c r="D578" s="75"/>
      <c r="E578" s="75"/>
      <c r="F578" s="81" t="s">
        <v>166</v>
      </c>
      <c r="G578" s="55" t="s">
        <v>879</v>
      </c>
      <c r="H578" s="55" t="s">
        <v>124</v>
      </c>
      <c r="I578" s="59">
        <v>0</v>
      </c>
      <c r="J578" s="60" t="s">
        <v>880</v>
      </c>
      <c r="K578" s="63"/>
      <c r="L578" s="59"/>
      <c r="M578" s="59"/>
      <c r="N578" s="59"/>
      <c r="O578" s="60">
        <f t="shared" ref="O578:O641" si="70">ROW(C578)</f>
        <v>578</v>
      </c>
      <c r="P578" s="65"/>
    </row>
    <row r="579" spans="3:22">
      <c r="C579" s="83" t="s">
        <v>69</v>
      </c>
      <c r="D579" s="75"/>
      <c r="E579" s="75"/>
      <c r="F579" s="81" t="s">
        <v>166</v>
      </c>
      <c r="G579" s="55" t="s">
        <v>881</v>
      </c>
      <c r="H579" s="55" t="s">
        <v>124</v>
      </c>
      <c r="I579" s="59">
        <v>1</v>
      </c>
      <c r="J579" s="60" t="s">
        <v>882</v>
      </c>
      <c r="K579" s="63"/>
      <c r="L579" s="59"/>
      <c r="M579" s="59"/>
      <c r="N579" s="59"/>
      <c r="O579" s="60">
        <f t="shared" si="70"/>
        <v>579</v>
      </c>
      <c r="P579" s="65"/>
    </row>
    <row r="580" spans="3:22">
      <c r="C580" s="83" t="s">
        <v>69</v>
      </c>
      <c r="D580" s="75"/>
      <c r="E580" s="75"/>
      <c r="F580" s="81" t="s">
        <v>166</v>
      </c>
      <c r="G580" s="55" t="s">
        <v>883</v>
      </c>
      <c r="H580" s="55" t="s">
        <v>124</v>
      </c>
      <c r="I580" s="59">
        <v>1.1000000000000001</v>
      </c>
      <c r="J580" s="60" t="s">
        <v>884</v>
      </c>
      <c r="K580" s="63"/>
      <c r="L580" s="59"/>
      <c r="M580" s="59"/>
      <c r="N580" s="59"/>
      <c r="O580" s="60">
        <f t="shared" si="70"/>
        <v>580</v>
      </c>
      <c r="P580" s="65"/>
    </row>
    <row r="581" spans="3:22">
      <c r="C581" s="83" t="s">
        <v>69</v>
      </c>
      <c r="D581" s="75"/>
      <c r="E581" s="75"/>
      <c r="F581" s="81" t="s">
        <v>166</v>
      </c>
      <c r="G581" s="55" t="s">
        <v>885</v>
      </c>
      <c r="H581" s="55" t="s">
        <v>139</v>
      </c>
      <c r="I581" s="59">
        <v>2</v>
      </c>
      <c r="J581" s="60" t="s">
        <v>169</v>
      </c>
      <c r="K581" s="63"/>
      <c r="L581" s="59"/>
      <c r="M581" s="59"/>
      <c r="N581" s="59"/>
      <c r="O581" s="60">
        <f t="shared" si="70"/>
        <v>581</v>
      </c>
      <c r="P581" s="65"/>
    </row>
    <row r="582" spans="3:22">
      <c r="C582" s="83" t="s">
        <v>69</v>
      </c>
      <c r="D582" s="75"/>
      <c r="E582" s="75"/>
      <c r="F582" s="81" t="s">
        <v>166</v>
      </c>
      <c r="G582" s="55" t="s">
        <v>886</v>
      </c>
      <c r="H582" s="55" t="s">
        <v>139</v>
      </c>
      <c r="I582" s="59">
        <v>3</v>
      </c>
      <c r="J582" s="60" t="s">
        <v>170</v>
      </c>
      <c r="K582" s="63"/>
      <c r="L582" s="59"/>
      <c r="M582" s="59"/>
      <c r="N582" s="59"/>
      <c r="O582" s="60">
        <f t="shared" si="70"/>
        <v>582</v>
      </c>
      <c r="P582" s="65"/>
    </row>
    <row r="583" spans="3:22">
      <c r="C583" s="83" t="s">
        <v>69</v>
      </c>
      <c r="D583" s="75"/>
      <c r="E583" s="75"/>
      <c r="F583" s="81" t="s">
        <v>166</v>
      </c>
      <c r="G583" s="62" t="s">
        <v>6</v>
      </c>
      <c r="H583" s="55" t="s">
        <v>139</v>
      </c>
      <c r="I583" s="59">
        <v>4</v>
      </c>
      <c r="J583" s="60" t="s">
        <v>140</v>
      </c>
      <c r="K583" s="63"/>
      <c r="L583" s="59"/>
      <c r="M583" s="59"/>
      <c r="N583" s="59"/>
      <c r="O583" s="60">
        <f t="shared" si="70"/>
        <v>583</v>
      </c>
      <c r="P583" s="65"/>
    </row>
    <row r="584" spans="3:22">
      <c r="C584" s="83" t="s">
        <v>70</v>
      </c>
      <c r="D584" s="75">
        <v>46</v>
      </c>
      <c r="E584" s="75">
        <v>4</v>
      </c>
      <c r="F584" s="81" t="s">
        <v>151</v>
      </c>
      <c r="G584" s="56" t="s">
        <v>1035</v>
      </c>
      <c r="H584" s="56" t="s">
        <v>124</v>
      </c>
      <c r="I584" s="59">
        <v>0</v>
      </c>
      <c r="J584" s="60" t="s">
        <v>1036</v>
      </c>
      <c r="K584" s="63" t="str">
        <f t="shared" si="67"/>
        <v>XGF-HO2AInput</v>
      </c>
      <c r="L584" s="59">
        <f t="shared" ref="L584:L621" si="71">COUNTIF($C$2:$C$2062,C584)</f>
        <v>62</v>
      </c>
      <c r="M584" s="59">
        <f t="shared" ref="M584:M621" si="72">COUNTIF($K$2:$K$2062,K584)</f>
        <v>38</v>
      </c>
      <c r="N584" s="59">
        <f t="shared" ref="N584:N621" si="73">L584-M584</f>
        <v>24</v>
      </c>
      <c r="O584" s="60">
        <f t="shared" si="70"/>
        <v>584</v>
      </c>
      <c r="P584" s="65" t="s">
        <v>3214</v>
      </c>
      <c r="Q584">
        <f>O584</f>
        <v>584</v>
      </c>
      <c r="R584" t="s">
        <v>3215</v>
      </c>
      <c r="S584">
        <v>646</v>
      </c>
      <c r="T584" t="str">
        <f>P584&amp;Q584&amp;R584&amp;S584</f>
        <v>All data map'!$F$584:$J$646</v>
      </c>
      <c r="V584" t="s">
        <v>3251</v>
      </c>
    </row>
    <row r="585" spans="3:22">
      <c r="C585" s="83" t="s">
        <v>70</v>
      </c>
      <c r="D585" s="75"/>
      <c r="E585" s="75"/>
      <c r="F585" s="81" t="s">
        <v>151</v>
      </c>
      <c r="G585" s="55" t="s">
        <v>1037</v>
      </c>
      <c r="H585" s="55" t="s">
        <v>124</v>
      </c>
      <c r="I585" s="59">
        <v>0.1</v>
      </c>
      <c r="J585" s="60" t="s">
        <v>1038</v>
      </c>
      <c r="K585" s="63" t="str">
        <f t="shared" si="67"/>
        <v>XGF-HO2AInput</v>
      </c>
      <c r="L585" s="59">
        <f t="shared" si="71"/>
        <v>62</v>
      </c>
      <c r="M585" s="59">
        <f t="shared" si="72"/>
        <v>38</v>
      </c>
      <c r="N585" s="59">
        <f t="shared" si="73"/>
        <v>24</v>
      </c>
      <c r="O585" s="60">
        <f t="shared" si="70"/>
        <v>585</v>
      </c>
      <c r="P585" s="65"/>
    </row>
    <row r="586" spans="3:22">
      <c r="C586" s="83" t="s">
        <v>70</v>
      </c>
      <c r="D586" s="75"/>
      <c r="E586" s="75"/>
      <c r="F586" s="81" t="s">
        <v>151</v>
      </c>
      <c r="G586" s="55" t="s">
        <v>1039</v>
      </c>
      <c r="H586" s="55" t="s">
        <v>124</v>
      </c>
      <c r="I586" s="59">
        <v>0.3</v>
      </c>
      <c r="J586" s="60" t="s">
        <v>1040</v>
      </c>
      <c r="K586" s="63" t="str">
        <f t="shared" si="67"/>
        <v>XGF-HO2AInput</v>
      </c>
      <c r="L586" s="59">
        <f t="shared" si="71"/>
        <v>62</v>
      </c>
      <c r="M586" s="59">
        <f t="shared" si="72"/>
        <v>38</v>
      </c>
      <c r="N586" s="59">
        <f t="shared" si="73"/>
        <v>24</v>
      </c>
      <c r="O586" s="60">
        <f t="shared" si="70"/>
        <v>586</v>
      </c>
      <c r="P586" s="65"/>
    </row>
    <row r="587" spans="3:22">
      <c r="C587" s="83" t="s">
        <v>70</v>
      </c>
      <c r="D587" s="75"/>
      <c r="E587" s="75"/>
      <c r="F587" s="81" t="s">
        <v>151</v>
      </c>
      <c r="G587" s="55" t="s">
        <v>1041</v>
      </c>
      <c r="H587" s="55" t="s">
        <v>124</v>
      </c>
      <c r="I587" s="59">
        <v>0.4</v>
      </c>
      <c r="J587" s="60" t="s">
        <v>1042</v>
      </c>
      <c r="K587" s="63" t="str">
        <f t="shared" si="67"/>
        <v>XGF-HO2AInput</v>
      </c>
      <c r="L587" s="59">
        <f t="shared" si="71"/>
        <v>62</v>
      </c>
      <c r="M587" s="59">
        <f t="shared" si="72"/>
        <v>38</v>
      </c>
      <c r="N587" s="59">
        <f t="shared" si="73"/>
        <v>24</v>
      </c>
      <c r="O587" s="60">
        <f t="shared" si="70"/>
        <v>587</v>
      </c>
      <c r="P587" s="65"/>
    </row>
    <row r="588" spans="3:22">
      <c r="C588" s="83" t="s">
        <v>70</v>
      </c>
      <c r="D588" s="75"/>
      <c r="E588" s="75"/>
      <c r="F588" s="81" t="s">
        <v>151</v>
      </c>
      <c r="G588" s="55" t="s">
        <v>1043</v>
      </c>
      <c r="H588" s="55" t="s">
        <v>124</v>
      </c>
      <c r="I588" s="59">
        <v>0.5</v>
      </c>
      <c r="J588" s="60" t="s">
        <v>1044</v>
      </c>
      <c r="K588" s="63" t="str">
        <f t="shared" si="67"/>
        <v>XGF-HO2AInput</v>
      </c>
      <c r="L588" s="59">
        <f t="shared" si="71"/>
        <v>62</v>
      </c>
      <c r="M588" s="59">
        <f t="shared" si="72"/>
        <v>38</v>
      </c>
      <c r="N588" s="59">
        <f t="shared" si="73"/>
        <v>24</v>
      </c>
      <c r="O588" s="60">
        <f t="shared" si="70"/>
        <v>588</v>
      </c>
      <c r="P588" s="65"/>
    </row>
    <row r="589" spans="3:22">
      <c r="C589" s="83" t="s">
        <v>70</v>
      </c>
      <c r="D589" s="75"/>
      <c r="E589" s="75"/>
      <c r="F589" s="81" t="s">
        <v>151</v>
      </c>
      <c r="G589" s="55" t="s">
        <v>1045</v>
      </c>
      <c r="H589" s="55" t="s">
        <v>124</v>
      </c>
      <c r="I589" s="59">
        <v>0.6</v>
      </c>
      <c r="J589" s="60" t="s">
        <v>1046</v>
      </c>
      <c r="K589" s="63" t="str">
        <f t="shared" si="67"/>
        <v>XGF-HO2AInput</v>
      </c>
      <c r="L589" s="59">
        <f t="shared" si="71"/>
        <v>62</v>
      </c>
      <c r="M589" s="59">
        <f t="shared" si="72"/>
        <v>38</v>
      </c>
      <c r="N589" s="59">
        <f t="shared" si="73"/>
        <v>24</v>
      </c>
      <c r="O589" s="60">
        <f t="shared" si="70"/>
        <v>589</v>
      </c>
      <c r="P589" s="65"/>
    </row>
    <row r="590" spans="3:22">
      <c r="C590" s="83" t="s">
        <v>70</v>
      </c>
      <c r="D590" s="75"/>
      <c r="E590" s="75"/>
      <c r="F590" s="81" t="s">
        <v>151</v>
      </c>
      <c r="G590" s="55" t="s">
        <v>1047</v>
      </c>
      <c r="H590" s="55" t="s">
        <v>124</v>
      </c>
      <c r="I590" s="59">
        <v>0.7</v>
      </c>
      <c r="J590" s="60" t="s">
        <v>1048</v>
      </c>
      <c r="K590" s="63" t="str">
        <f t="shared" si="67"/>
        <v>XGF-HO2AInput</v>
      </c>
      <c r="L590" s="59">
        <f t="shared" si="71"/>
        <v>62</v>
      </c>
      <c r="M590" s="59">
        <f t="shared" si="72"/>
        <v>38</v>
      </c>
      <c r="N590" s="59">
        <f t="shared" si="73"/>
        <v>24</v>
      </c>
      <c r="O590" s="60">
        <f t="shared" si="70"/>
        <v>590</v>
      </c>
      <c r="P590" s="65"/>
    </row>
    <row r="591" spans="3:22">
      <c r="C591" s="83" t="s">
        <v>70</v>
      </c>
      <c r="D591" s="75"/>
      <c r="E591" s="75"/>
      <c r="F591" s="81" t="s">
        <v>151</v>
      </c>
      <c r="G591" s="55" t="s">
        <v>1049</v>
      </c>
      <c r="H591" s="55" t="s">
        <v>124</v>
      </c>
      <c r="I591" s="59" t="s">
        <v>1050</v>
      </c>
      <c r="J591" s="60" t="s">
        <v>1051</v>
      </c>
      <c r="K591" s="63" t="str">
        <f t="shared" si="67"/>
        <v>XGF-HO2AInput</v>
      </c>
      <c r="L591" s="59">
        <f t="shared" si="71"/>
        <v>62</v>
      </c>
      <c r="M591" s="59">
        <f t="shared" si="72"/>
        <v>38</v>
      </c>
      <c r="N591" s="59">
        <f t="shared" si="73"/>
        <v>24</v>
      </c>
      <c r="O591" s="60">
        <f t="shared" si="70"/>
        <v>591</v>
      </c>
      <c r="P591" s="65"/>
    </row>
    <row r="592" spans="3:22">
      <c r="C592" s="83" t="s">
        <v>70</v>
      </c>
      <c r="D592" s="75"/>
      <c r="E592" s="75"/>
      <c r="F592" s="81" t="s">
        <v>151</v>
      </c>
      <c r="G592" s="55" t="s">
        <v>1052</v>
      </c>
      <c r="H592" s="55" t="s">
        <v>124</v>
      </c>
      <c r="I592" s="59" t="s">
        <v>126</v>
      </c>
      <c r="J592" s="60" t="s">
        <v>1053</v>
      </c>
      <c r="K592" s="63" t="str">
        <f t="shared" si="67"/>
        <v>XGF-HO2AInput</v>
      </c>
      <c r="L592" s="59">
        <f t="shared" si="71"/>
        <v>62</v>
      </c>
      <c r="M592" s="59">
        <f t="shared" si="72"/>
        <v>38</v>
      </c>
      <c r="N592" s="59">
        <f t="shared" si="73"/>
        <v>24</v>
      </c>
      <c r="O592" s="60">
        <f t="shared" si="70"/>
        <v>592</v>
      </c>
      <c r="P592" s="65"/>
    </row>
    <row r="593" spans="3:16">
      <c r="C593" s="83" t="s">
        <v>70</v>
      </c>
      <c r="D593" s="75"/>
      <c r="E593" s="75"/>
      <c r="F593" s="81" t="s">
        <v>151</v>
      </c>
      <c r="G593" s="55" t="s">
        <v>1054</v>
      </c>
      <c r="H593" s="55" t="s">
        <v>124</v>
      </c>
      <c r="I593" s="59">
        <v>1</v>
      </c>
      <c r="J593" s="60" t="s">
        <v>1055</v>
      </c>
      <c r="K593" s="63" t="str">
        <f t="shared" si="67"/>
        <v>XGF-HO2AInput</v>
      </c>
      <c r="L593" s="59">
        <f t="shared" si="71"/>
        <v>62</v>
      </c>
      <c r="M593" s="59">
        <f t="shared" si="72"/>
        <v>38</v>
      </c>
      <c r="N593" s="59">
        <f t="shared" si="73"/>
        <v>24</v>
      </c>
      <c r="O593" s="60">
        <f t="shared" si="70"/>
        <v>593</v>
      </c>
      <c r="P593" s="65"/>
    </row>
    <row r="594" spans="3:16">
      <c r="C594" s="83" t="s">
        <v>70</v>
      </c>
      <c r="D594" s="75"/>
      <c r="E594" s="75"/>
      <c r="F594" s="81" t="s">
        <v>151</v>
      </c>
      <c r="G594" s="55" t="s">
        <v>1056</v>
      </c>
      <c r="H594" s="55" t="s">
        <v>124</v>
      </c>
      <c r="I594" s="59">
        <v>1.1000000000000001</v>
      </c>
      <c r="J594" s="60" t="s">
        <v>1057</v>
      </c>
      <c r="K594" s="63" t="str">
        <f t="shared" si="67"/>
        <v>XGF-HO2AInput</v>
      </c>
      <c r="L594" s="59">
        <f t="shared" si="71"/>
        <v>62</v>
      </c>
      <c r="M594" s="59">
        <f t="shared" si="72"/>
        <v>38</v>
      </c>
      <c r="N594" s="59">
        <f t="shared" si="73"/>
        <v>24</v>
      </c>
      <c r="O594" s="60">
        <f t="shared" si="70"/>
        <v>594</v>
      </c>
      <c r="P594" s="65"/>
    </row>
    <row r="595" spans="3:16">
      <c r="C595" s="83" t="s">
        <v>70</v>
      </c>
      <c r="D595" s="75"/>
      <c r="E595" s="75"/>
      <c r="F595" s="81" t="s">
        <v>151</v>
      </c>
      <c r="G595" s="55" t="s">
        <v>1058</v>
      </c>
      <c r="H595" s="55" t="s">
        <v>124</v>
      </c>
      <c r="I595" s="59">
        <v>1.3</v>
      </c>
      <c r="J595" s="60" t="s">
        <v>1059</v>
      </c>
      <c r="K595" s="63" t="str">
        <f t="shared" si="67"/>
        <v>XGF-HO2AInput</v>
      </c>
      <c r="L595" s="59">
        <f t="shared" si="71"/>
        <v>62</v>
      </c>
      <c r="M595" s="59">
        <f t="shared" si="72"/>
        <v>38</v>
      </c>
      <c r="N595" s="59">
        <f t="shared" si="73"/>
        <v>24</v>
      </c>
      <c r="O595" s="60">
        <f t="shared" si="70"/>
        <v>595</v>
      </c>
      <c r="P595" s="65"/>
    </row>
    <row r="596" spans="3:16">
      <c r="C596" s="83" t="s">
        <v>70</v>
      </c>
      <c r="D596" s="75"/>
      <c r="E596" s="75"/>
      <c r="F596" s="81" t="s">
        <v>151</v>
      </c>
      <c r="G596" s="55" t="s">
        <v>1060</v>
      </c>
      <c r="H596" s="55" t="s">
        <v>124</v>
      </c>
      <c r="I596" s="59">
        <v>1.4</v>
      </c>
      <c r="J596" s="60" t="s">
        <v>1061</v>
      </c>
      <c r="K596" s="63" t="str">
        <f t="shared" si="67"/>
        <v>XGF-HO2AInput</v>
      </c>
      <c r="L596" s="59">
        <f t="shared" si="71"/>
        <v>62</v>
      </c>
      <c r="M596" s="59">
        <f t="shared" si="72"/>
        <v>38</v>
      </c>
      <c r="N596" s="59">
        <f t="shared" si="73"/>
        <v>24</v>
      </c>
      <c r="O596" s="60">
        <f t="shared" si="70"/>
        <v>596</v>
      </c>
      <c r="P596" s="65"/>
    </row>
    <row r="597" spans="3:16">
      <c r="C597" s="83" t="s">
        <v>70</v>
      </c>
      <c r="D597" s="75"/>
      <c r="E597" s="75"/>
      <c r="F597" s="81" t="s">
        <v>151</v>
      </c>
      <c r="G597" s="55" t="s">
        <v>1062</v>
      </c>
      <c r="H597" s="55" t="s">
        <v>124</v>
      </c>
      <c r="I597" s="59">
        <v>1.5</v>
      </c>
      <c r="J597" s="60" t="s">
        <v>1063</v>
      </c>
      <c r="K597" s="63" t="str">
        <f t="shared" ref="K597:K660" si="74">C597&amp;F597</f>
        <v>XGF-HO2AInput</v>
      </c>
      <c r="L597" s="59">
        <f t="shared" si="71"/>
        <v>62</v>
      </c>
      <c r="M597" s="59">
        <f t="shared" si="72"/>
        <v>38</v>
      </c>
      <c r="N597" s="59">
        <f t="shared" si="73"/>
        <v>24</v>
      </c>
      <c r="O597" s="60">
        <f t="shared" si="70"/>
        <v>597</v>
      </c>
      <c r="P597" s="65"/>
    </row>
    <row r="598" spans="3:16">
      <c r="C598" s="83" t="s">
        <v>70</v>
      </c>
      <c r="D598" s="75"/>
      <c r="E598" s="75"/>
      <c r="F598" s="81" t="s">
        <v>151</v>
      </c>
      <c r="G598" s="55" t="s">
        <v>1064</v>
      </c>
      <c r="H598" s="55" t="s">
        <v>124</v>
      </c>
      <c r="I598" s="59">
        <v>1.6</v>
      </c>
      <c r="J598" s="60" t="s">
        <v>1065</v>
      </c>
      <c r="K598" s="63" t="str">
        <f t="shared" si="74"/>
        <v>XGF-HO2AInput</v>
      </c>
      <c r="L598" s="59">
        <f t="shared" si="71"/>
        <v>62</v>
      </c>
      <c r="M598" s="59">
        <f t="shared" si="72"/>
        <v>38</v>
      </c>
      <c r="N598" s="59">
        <f t="shared" si="73"/>
        <v>24</v>
      </c>
      <c r="O598" s="60">
        <f t="shared" si="70"/>
        <v>598</v>
      </c>
      <c r="P598" s="65"/>
    </row>
    <row r="599" spans="3:16">
      <c r="C599" s="83" t="s">
        <v>70</v>
      </c>
      <c r="D599" s="75"/>
      <c r="E599" s="75"/>
      <c r="F599" s="81" t="s">
        <v>151</v>
      </c>
      <c r="G599" s="55" t="s">
        <v>1066</v>
      </c>
      <c r="H599" s="55" t="s">
        <v>124</v>
      </c>
      <c r="I599" s="59">
        <v>1.7</v>
      </c>
      <c r="J599" s="60" t="s">
        <v>1067</v>
      </c>
      <c r="K599" s="63" t="str">
        <f t="shared" si="74"/>
        <v>XGF-HO2AInput</v>
      </c>
      <c r="L599" s="59">
        <f t="shared" si="71"/>
        <v>62</v>
      </c>
      <c r="M599" s="59">
        <f t="shared" si="72"/>
        <v>38</v>
      </c>
      <c r="N599" s="59">
        <f t="shared" si="73"/>
        <v>24</v>
      </c>
      <c r="O599" s="60">
        <f t="shared" si="70"/>
        <v>599</v>
      </c>
      <c r="P599" s="65"/>
    </row>
    <row r="600" spans="3:16">
      <c r="C600" s="83" t="s">
        <v>70</v>
      </c>
      <c r="D600" s="75"/>
      <c r="E600" s="75"/>
      <c r="F600" s="81" t="s">
        <v>151</v>
      </c>
      <c r="G600" s="55" t="s">
        <v>1068</v>
      </c>
      <c r="H600" s="55" t="s">
        <v>124</v>
      </c>
      <c r="I600" s="59" t="s">
        <v>207</v>
      </c>
      <c r="J600" s="60" t="s">
        <v>1069</v>
      </c>
      <c r="K600" s="63" t="str">
        <f t="shared" si="74"/>
        <v>XGF-HO2AInput</v>
      </c>
      <c r="L600" s="59">
        <f t="shared" si="71"/>
        <v>62</v>
      </c>
      <c r="M600" s="59">
        <f t="shared" si="72"/>
        <v>38</v>
      </c>
      <c r="N600" s="59">
        <f t="shared" si="73"/>
        <v>24</v>
      </c>
      <c r="O600" s="60">
        <f t="shared" si="70"/>
        <v>600</v>
      </c>
      <c r="P600" s="65"/>
    </row>
    <row r="601" spans="3:16">
      <c r="C601" s="83" t="s">
        <v>70</v>
      </c>
      <c r="D601" s="75"/>
      <c r="E601" s="75"/>
      <c r="F601" s="81" t="s">
        <v>151</v>
      </c>
      <c r="G601" s="55" t="s">
        <v>1070</v>
      </c>
      <c r="H601" s="55" t="s">
        <v>139</v>
      </c>
      <c r="I601" s="59">
        <v>2</v>
      </c>
      <c r="J601" s="60" t="s">
        <v>1071</v>
      </c>
      <c r="K601" s="63" t="str">
        <f t="shared" si="74"/>
        <v>XGF-HO2AInput</v>
      </c>
      <c r="L601" s="59">
        <f t="shared" si="71"/>
        <v>62</v>
      </c>
      <c r="M601" s="59">
        <f t="shared" si="72"/>
        <v>38</v>
      </c>
      <c r="N601" s="59">
        <f t="shared" si="73"/>
        <v>24</v>
      </c>
      <c r="O601" s="60">
        <f t="shared" si="70"/>
        <v>601</v>
      </c>
      <c r="P601" s="65"/>
    </row>
    <row r="602" spans="3:16">
      <c r="C602" s="83" t="s">
        <v>70</v>
      </c>
      <c r="D602" s="75"/>
      <c r="E602" s="75"/>
      <c r="F602" s="81" t="s">
        <v>151</v>
      </c>
      <c r="G602" s="55" t="s">
        <v>1072</v>
      </c>
      <c r="H602" s="55" t="s">
        <v>139</v>
      </c>
      <c r="I602" s="59">
        <v>3</v>
      </c>
      <c r="J602" s="60" t="s">
        <v>1073</v>
      </c>
      <c r="K602" s="63" t="str">
        <f t="shared" si="74"/>
        <v>XGF-HO2AInput</v>
      </c>
      <c r="L602" s="59">
        <f t="shared" si="71"/>
        <v>62</v>
      </c>
      <c r="M602" s="59">
        <f t="shared" si="72"/>
        <v>38</v>
      </c>
      <c r="N602" s="59">
        <f t="shared" si="73"/>
        <v>24</v>
      </c>
      <c r="O602" s="60">
        <f t="shared" si="70"/>
        <v>602</v>
      </c>
      <c r="P602" s="65"/>
    </row>
    <row r="603" spans="3:16">
      <c r="C603" s="83" t="s">
        <v>70</v>
      </c>
      <c r="D603" s="75"/>
      <c r="E603" s="75"/>
      <c r="F603" s="81" t="s">
        <v>151</v>
      </c>
      <c r="G603" s="55" t="s">
        <v>1074</v>
      </c>
      <c r="H603" s="55" t="s">
        <v>139</v>
      </c>
      <c r="I603" s="59">
        <v>4</v>
      </c>
      <c r="J603" s="60" t="s">
        <v>1075</v>
      </c>
      <c r="K603" s="63" t="str">
        <f t="shared" si="74"/>
        <v>XGF-HO2AInput</v>
      </c>
      <c r="L603" s="59">
        <f t="shared" si="71"/>
        <v>62</v>
      </c>
      <c r="M603" s="59">
        <f t="shared" si="72"/>
        <v>38</v>
      </c>
      <c r="N603" s="59">
        <f t="shared" si="73"/>
        <v>24</v>
      </c>
      <c r="O603" s="60">
        <f t="shared" si="70"/>
        <v>603</v>
      </c>
      <c r="P603" s="65"/>
    </row>
    <row r="604" spans="3:16">
      <c r="C604" s="83" t="s">
        <v>70</v>
      </c>
      <c r="D604" s="75"/>
      <c r="E604" s="75"/>
      <c r="F604" s="81" t="s">
        <v>151</v>
      </c>
      <c r="G604" s="55" t="s">
        <v>1076</v>
      </c>
      <c r="H604" s="55" t="s">
        <v>139</v>
      </c>
      <c r="I604" s="59">
        <v>5</v>
      </c>
      <c r="J604" s="60" t="s">
        <v>1077</v>
      </c>
      <c r="K604" s="63" t="str">
        <f t="shared" si="74"/>
        <v>XGF-HO2AInput</v>
      </c>
      <c r="L604" s="59">
        <f t="shared" si="71"/>
        <v>62</v>
      </c>
      <c r="M604" s="59">
        <f t="shared" si="72"/>
        <v>38</v>
      </c>
      <c r="N604" s="59">
        <f t="shared" si="73"/>
        <v>24</v>
      </c>
      <c r="O604" s="60">
        <f t="shared" si="70"/>
        <v>604</v>
      </c>
      <c r="P604" s="65"/>
    </row>
    <row r="605" spans="3:16">
      <c r="C605" s="83" t="s">
        <v>70</v>
      </c>
      <c r="D605" s="75"/>
      <c r="E605" s="75"/>
      <c r="F605" s="81" t="s">
        <v>151</v>
      </c>
      <c r="G605" s="55" t="s">
        <v>1078</v>
      </c>
      <c r="H605" s="55" t="s">
        <v>139</v>
      </c>
      <c r="I605" s="59">
        <v>6</v>
      </c>
      <c r="J605" s="60" t="s">
        <v>1079</v>
      </c>
      <c r="K605" s="63" t="str">
        <f t="shared" si="74"/>
        <v>XGF-HO2AInput</v>
      </c>
      <c r="L605" s="59">
        <f t="shared" si="71"/>
        <v>62</v>
      </c>
      <c r="M605" s="59">
        <f t="shared" si="72"/>
        <v>38</v>
      </c>
      <c r="N605" s="59">
        <f t="shared" si="73"/>
        <v>24</v>
      </c>
      <c r="O605" s="60">
        <f t="shared" si="70"/>
        <v>605</v>
      </c>
      <c r="P605" s="65"/>
    </row>
    <row r="606" spans="3:16">
      <c r="C606" s="83" t="s">
        <v>70</v>
      </c>
      <c r="D606" s="75"/>
      <c r="E606" s="75"/>
      <c r="F606" s="81" t="s">
        <v>151</v>
      </c>
      <c r="G606" s="55" t="s">
        <v>1080</v>
      </c>
      <c r="H606" s="55" t="s">
        <v>139</v>
      </c>
      <c r="I606" s="59">
        <v>7</v>
      </c>
      <c r="J606" s="60" t="s">
        <v>1081</v>
      </c>
      <c r="K606" s="63" t="str">
        <f t="shared" si="74"/>
        <v>XGF-HO2AInput</v>
      </c>
      <c r="L606" s="59">
        <f t="shared" si="71"/>
        <v>62</v>
      </c>
      <c r="M606" s="59">
        <f t="shared" si="72"/>
        <v>38</v>
      </c>
      <c r="N606" s="59">
        <f t="shared" si="73"/>
        <v>24</v>
      </c>
      <c r="O606" s="60">
        <f t="shared" si="70"/>
        <v>606</v>
      </c>
      <c r="P606" s="65"/>
    </row>
    <row r="607" spans="3:16">
      <c r="C607" s="83" t="s">
        <v>70</v>
      </c>
      <c r="D607" s="75"/>
      <c r="E607" s="75"/>
      <c r="F607" s="81" t="s">
        <v>151</v>
      </c>
      <c r="G607" s="55" t="s">
        <v>1082</v>
      </c>
      <c r="H607" s="55" t="s">
        <v>139</v>
      </c>
      <c r="I607" s="59">
        <v>8</v>
      </c>
      <c r="J607" s="60" t="s">
        <v>1083</v>
      </c>
      <c r="K607" s="63" t="str">
        <f t="shared" si="74"/>
        <v>XGF-HO2AInput</v>
      </c>
      <c r="L607" s="59">
        <f t="shared" si="71"/>
        <v>62</v>
      </c>
      <c r="M607" s="59">
        <f t="shared" si="72"/>
        <v>38</v>
      </c>
      <c r="N607" s="59">
        <f t="shared" si="73"/>
        <v>24</v>
      </c>
      <c r="O607" s="60">
        <f t="shared" si="70"/>
        <v>607</v>
      </c>
      <c r="P607" s="65"/>
    </row>
    <row r="608" spans="3:16">
      <c r="C608" s="83" t="s">
        <v>70</v>
      </c>
      <c r="D608" s="75"/>
      <c r="E608" s="75"/>
      <c r="F608" s="81" t="s">
        <v>151</v>
      </c>
      <c r="G608" s="55" t="s">
        <v>1084</v>
      </c>
      <c r="H608" s="55" t="s">
        <v>139</v>
      </c>
      <c r="I608" s="59">
        <v>9</v>
      </c>
      <c r="J608" s="60" t="s">
        <v>1085</v>
      </c>
      <c r="K608" s="63" t="str">
        <f t="shared" si="74"/>
        <v>XGF-HO2AInput</v>
      </c>
      <c r="L608" s="59">
        <f t="shared" si="71"/>
        <v>62</v>
      </c>
      <c r="M608" s="59">
        <f t="shared" si="72"/>
        <v>38</v>
      </c>
      <c r="N608" s="59">
        <f t="shared" si="73"/>
        <v>24</v>
      </c>
      <c r="O608" s="60">
        <f t="shared" si="70"/>
        <v>608</v>
      </c>
      <c r="P608" s="65"/>
    </row>
    <row r="609" spans="3:16">
      <c r="C609" s="83" t="s">
        <v>70</v>
      </c>
      <c r="D609" s="75"/>
      <c r="E609" s="75"/>
      <c r="F609" s="81" t="s">
        <v>151</v>
      </c>
      <c r="G609" s="55" t="s">
        <v>1086</v>
      </c>
      <c r="H609" s="55" t="s">
        <v>139</v>
      </c>
      <c r="I609" s="59">
        <v>10</v>
      </c>
      <c r="J609" s="60" t="s">
        <v>1087</v>
      </c>
      <c r="K609" s="63" t="str">
        <f t="shared" si="74"/>
        <v>XGF-HO2AInput</v>
      </c>
      <c r="L609" s="59">
        <f t="shared" si="71"/>
        <v>62</v>
      </c>
      <c r="M609" s="59">
        <f t="shared" si="72"/>
        <v>38</v>
      </c>
      <c r="N609" s="59">
        <f t="shared" si="73"/>
        <v>24</v>
      </c>
      <c r="O609" s="60">
        <f t="shared" si="70"/>
        <v>609</v>
      </c>
      <c r="P609" s="65"/>
    </row>
    <row r="610" spans="3:16">
      <c r="C610" s="83" t="s">
        <v>70</v>
      </c>
      <c r="D610" s="75"/>
      <c r="E610" s="75"/>
      <c r="F610" s="81" t="s">
        <v>151</v>
      </c>
      <c r="G610" s="55" t="s">
        <v>1088</v>
      </c>
      <c r="H610" s="55" t="s">
        <v>139</v>
      </c>
      <c r="I610" s="59">
        <v>11</v>
      </c>
      <c r="J610" s="60" t="s">
        <v>1089</v>
      </c>
      <c r="K610" s="63" t="str">
        <f t="shared" si="74"/>
        <v>XGF-HO2AInput</v>
      </c>
      <c r="L610" s="59">
        <f t="shared" si="71"/>
        <v>62</v>
      </c>
      <c r="M610" s="59">
        <f t="shared" si="72"/>
        <v>38</v>
      </c>
      <c r="N610" s="59">
        <f t="shared" si="73"/>
        <v>24</v>
      </c>
      <c r="O610" s="60">
        <f t="shared" si="70"/>
        <v>610</v>
      </c>
      <c r="P610" s="65"/>
    </row>
    <row r="611" spans="3:16">
      <c r="C611" s="83" t="s">
        <v>70</v>
      </c>
      <c r="D611" s="75"/>
      <c r="E611" s="75"/>
      <c r="F611" s="81" t="s">
        <v>151</v>
      </c>
      <c r="G611" s="55" t="s">
        <v>1090</v>
      </c>
      <c r="H611" s="55" t="s">
        <v>139</v>
      </c>
      <c r="I611" s="59">
        <v>12</v>
      </c>
      <c r="J611" s="60" t="s">
        <v>1091</v>
      </c>
      <c r="K611" s="63" t="str">
        <f t="shared" si="74"/>
        <v>XGF-HO2AInput</v>
      </c>
      <c r="L611" s="59">
        <f t="shared" si="71"/>
        <v>62</v>
      </c>
      <c r="M611" s="59">
        <f t="shared" si="72"/>
        <v>38</v>
      </c>
      <c r="N611" s="59">
        <f t="shared" si="73"/>
        <v>24</v>
      </c>
      <c r="O611" s="60">
        <f t="shared" si="70"/>
        <v>611</v>
      </c>
      <c r="P611" s="65"/>
    </row>
    <row r="612" spans="3:16">
      <c r="C612" s="83" t="s">
        <v>70</v>
      </c>
      <c r="D612" s="75"/>
      <c r="E612" s="75"/>
      <c r="F612" s="81" t="s">
        <v>151</v>
      </c>
      <c r="G612" s="55" t="s">
        <v>1092</v>
      </c>
      <c r="H612" s="55" t="s">
        <v>139</v>
      </c>
      <c r="I612" s="59">
        <v>13</v>
      </c>
      <c r="J612" s="60" t="s">
        <v>1093</v>
      </c>
      <c r="K612" s="63" t="str">
        <f t="shared" si="74"/>
        <v>XGF-HO2AInput</v>
      </c>
      <c r="L612" s="59">
        <f t="shared" si="71"/>
        <v>62</v>
      </c>
      <c r="M612" s="59">
        <f t="shared" si="72"/>
        <v>38</v>
      </c>
      <c r="N612" s="59">
        <f t="shared" si="73"/>
        <v>24</v>
      </c>
      <c r="O612" s="60">
        <f t="shared" si="70"/>
        <v>612</v>
      </c>
      <c r="P612" s="65"/>
    </row>
    <row r="613" spans="3:16">
      <c r="C613" s="83" t="s">
        <v>70</v>
      </c>
      <c r="D613" s="75"/>
      <c r="E613" s="75"/>
      <c r="F613" s="81" t="s">
        <v>151</v>
      </c>
      <c r="G613" s="55" t="s">
        <v>1094</v>
      </c>
      <c r="H613" s="55" t="s">
        <v>139</v>
      </c>
      <c r="I613" s="59">
        <v>14</v>
      </c>
      <c r="J613" s="60" t="s">
        <v>1095</v>
      </c>
      <c r="K613" s="63" t="str">
        <f t="shared" si="74"/>
        <v>XGF-HO2AInput</v>
      </c>
      <c r="L613" s="59">
        <f t="shared" si="71"/>
        <v>62</v>
      </c>
      <c r="M613" s="59">
        <f t="shared" si="72"/>
        <v>38</v>
      </c>
      <c r="N613" s="59">
        <f t="shared" si="73"/>
        <v>24</v>
      </c>
      <c r="O613" s="60">
        <f t="shared" si="70"/>
        <v>613</v>
      </c>
      <c r="P613" s="65"/>
    </row>
    <row r="614" spans="3:16">
      <c r="C614" s="83" t="s">
        <v>70</v>
      </c>
      <c r="D614" s="75"/>
      <c r="E614" s="75"/>
      <c r="F614" s="81" t="s">
        <v>151</v>
      </c>
      <c r="G614" s="55" t="s">
        <v>1096</v>
      </c>
      <c r="H614" s="55" t="s">
        <v>139</v>
      </c>
      <c r="I614" s="59">
        <v>15</v>
      </c>
      <c r="J614" s="60" t="s">
        <v>1097</v>
      </c>
      <c r="K614" s="63" t="str">
        <f t="shared" si="74"/>
        <v>XGF-HO2AInput</v>
      </c>
      <c r="L614" s="59">
        <f t="shared" si="71"/>
        <v>62</v>
      </c>
      <c r="M614" s="59">
        <f t="shared" si="72"/>
        <v>38</v>
      </c>
      <c r="N614" s="59">
        <f t="shared" si="73"/>
        <v>24</v>
      </c>
      <c r="O614" s="60">
        <f t="shared" si="70"/>
        <v>614</v>
      </c>
      <c r="P614" s="65"/>
    </row>
    <row r="615" spans="3:16">
      <c r="C615" s="83" t="s">
        <v>70</v>
      </c>
      <c r="D615" s="75"/>
      <c r="E615" s="75"/>
      <c r="F615" s="81" t="s">
        <v>151</v>
      </c>
      <c r="G615" s="55" t="s">
        <v>1098</v>
      </c>
      <c r="H615" s="55" t="s">
        <v>139</v>
      </c>
      <c r="I615" s="59">
        <v>16</v>
      </c>
      <c r="J615" s="60" t="s">
        <v>1099</v>
      </c>
      <c r="K615" s="63" t="str">
        <f t="shared" si="74"/>
        <v>XGF-HO2AInput</v>
      </c>
      <c r="L615" s="59">
        <f t="shared" si="71"/>
        <v>62</v>
      </c>
      <c r="M615" s="59">
        <f t="shared" si="72"/>
        <v>38</v>
      </c>
      <c r="N615" s="59">
        <f t="shared" si="73"/>
        <v>24</v>
      </c>
      <c r="O615" s="60">
        <f t="shared" si="70"/>
        <v>615</v>
      </c>
      <c r="P615" s="65"/>
    </row>
    <row r="616" spans="3:16">
      <c r="C616" s="83" t="s">
        <v>70</v>
      </c>
      <c r="D616" s="75"/>
      <c r="E616" s="75"/>
      <c r="F616" s="81" t="s">
        <v>151</v>
      </c>
      <c r="G616" s="55" t="s">
        <v>1100</v>
      </c>
      <c r="H616" s="55" t="s">
        <v>139</v>
      </c>
      <c r="I616" s="59">
        <v>17</v>
      </c>
      <c r="J616" s="60" t="s">
        <v>1101</v>
      </c>
      <c r="K616" s="63" t="str">
        <f t="shared" si="74"/>
        <v>XGF-HO2AInput</v>
      </c>
      <c r="L616" s="59">
        <f t="shared" si="71"/>
        <v>62</v>
      </c>
      <c r="M616" s="59">
        <f t="shared" si="72"/>
        <v>38</v>
      </c>
      <c r="N616" s="59">
        <f t="shared" si="73"/>
        <v>24</v>
      </c>
      <c r="O616" s="60">
        <f t="shared" si="70"/>
        <v>616</v>
      </c>
      <c r="P616" s="65"/>
    </row>
    <row r="617" spans="3:16">
      <c r="C617" s="83" t="s">
        <v>70</v>
      </c>
      <c r="D617" s="75"/>
      <c r="E617" s="75"/>
      <c r="F617" s="81" t="s">
        <v>151</v>
      </c>
      <c r="G617" s="55" t="s">
        <v>1102</v>
      </c>
      <c r="H617" s="55" t="s">
        <v>139</v>
      </c>
      <c r="I617" s="59">
        <v>18</v>
      </c>
      <c r="J617" s="60" t="s">
        <v>1103</v>
      </c>
      <c r="K617" s="63" t="str">
        <f t="shared" si="74"/>
        <v>XGF-HO2AInput</v>
      </c>
      <c r="L617" s="59">
        <f t="shared" si="71"/>
        <v>62</v>
      </c>
      <c r="M617" s="59">
        <f t="shared" si="72"/>
        <v>38</v>
      </c>
      <c r="N617" s="59">
        <f t="shared" si="73"/>
        <v>24</v>
      </c>
      <c r="O617" s="60">
        <f t="shared" si="70"/>
        <v>617</v>
      </c>
      <c r="P617" s="65"/>
    </row>
    <row r="618" spans="3:16">
      <c r="C618" s="83" t="s">
        <v>70</v>
      </c>
      <c r="D618" s="75"/>
      <c r="E618" s="75"/>
      <c r="F618" s="81" t="s">
        <v>151</v>
      </c>
      <c r="G618" s="55" t="s">
        <v>1104</v>
      </c>
      <c r="H618" s="55" t="s">
        <v>139</v>
      </c>
      <c r="I618" s="59">
        <v>19</v>
      </c>
      <c r="J618" s="60" t="s">
        <v>1105</v>
      </c>
      <c r="K618" s="63" t="str">
        <f t="shared" si="74"/>
        <v>XGF-HO2AInput</v>
      </c>
      <c r="L618" s="59">
        <f t="shared" si="71"/>
        <v>62</v>
      </c>
      <c r="M618" s="59">
        <f t="shared" si="72"/>
        <v>38</v>
      </c>
      <c r="N618" s="59">
        <f t="shared" si="73"/>
        <v>24</v>
      </c>
      <c r="O618" s="60">
        <f t="shared" si="70"/>
        <v>618</v>
      </c>
      <c r="P618" s="65"/>
    </row>
    <row r="619" spans="3:16">
      <c r="C619" s="83" t="s">
        <v>70</v>
      </c>
      <c r="D619" s="75"/>
      <c r="E619" s="75"/>
      <c r="F619" s="81" t="s">
        <v>151</v>
      </c>
      <c r="G619" s="55" t="s">
        <v>1106</v>
      </c>
      <c r="H619" s="55" t="s">
        <v>139</v>
      </c>
      <c r="I619" s="59">
        <v>20</v>
      </c>
      <c r="J619" s="60" t="s">
        <v>1107</v>
      </c>
      <c r="K619" s="63" t="str">
        <f t="shared" si="74"/>
        <v>XGF-HO2AInput</v>
      </c>
      <c r="L619" s="59">
        <f t="shared" si="71"/>
        <v>62</v>
      </c>
      <c r="M619" s="59">
        <f t="shared" si="72"/>
        <v>38</v>
      </c>
      <c r="N619" s="59">
        <f t="shared" si="73"/>
        <v>24</v>
      </c>
      <c r="O619" s="60">
        <f t="shared" si="70"/>
        <v>619</v>
      </c>
      <c r="P619" s="65"/>
    </row>
    <row r="620" spans="3:16">
      <c r="C620" s="83" t="s">
        <v>70</v>
      </c>
      <c r="D620" s="75"/>
      <c r="E620" s="75"/>
      <c r="F620" s="81" t="s">
        <v>151</v>
      </c>
      <c r="G620" s="55" t="s">
        <v>1108</v>
      </c>
      <c r="H620" s="55" t="s">
        <v>139</v>
      </c>
      <c r="I620" s="59">
        <v>21</v>
      </c>
      <c r="J620" s="60" t="s">
        <v>1109</v>
      </c>
      <c r="K620" s="63" t="str">
        <f t="shared" si="74"/>
        <v>XGF-HO2AInput</v>
      </c>
      <c r="L620" s="59">
        <f t="shared" si="71"/>
        <v>62</v>
      </c>
      <c r="M620" s="59">
        <f t="shared" si="72"/>
        <v>38</v>
      </c>
      <c r="N620" s="59">
        <f t="shared" si="73"/>
        <v>24</v>
      </c>
      <c r="O620" s="60">
        <f t="shared" si="70"/>
        <v>620</v>
      </c>
      <c r="P620" s="65"/>
    </row>
    <row r="621" spans="3:16">
      <c r="C621" s="83" t="s">
        <v>70</v>
      </c>
      <c r="D621" s="75"/>
      <c r="E621" s="75"/>
      <c r="F621" s="81" t="s">
        <v>151</v>
      </c>
      <c r="G621" s="62" t="s">
        <v>6</v>
      </c>
      <c r="H621" s="55" t="s">
        <v>139</v>
      </c>
      <c r="I621" s="59">
        <v>22</v>
      </c>
      <c r="J621" s="60" t="s">
        <v>140</v>
      </c>
      <c r="K621" s="63" t="str">
        <f t="shared" si="74"/>
        <v>XGF-HO2AInput</v>
      </c>
      <c r="L621" s="59">
        <f t="shared" si="71"/>
        <v>62</v>
      </c>
      <c r="M621" s="59">
        <f t="shared" si="72"/>
        <v>38</v>
      </c>
      <c r="N621" s="59">
        <f t="shared" si="73"/>
        <v>24</v>
      </c>
      <c r="O621" s="60">
        <f t="shared" si="70"/>
        <v>621</v>
      </c>
      <c r="P621" s="65"/>
    </row>
    <row r="622" spans="3:16">
      <c r="C622" s="83" t="s">
        <v>70</v>
      </c>
      <c r="D622" s="75"/>
      <c r="E622" s="75"/>
      <c r="F622" s="81" t="s">
        <v>166</v>
      </c>
      <c r="G622" s="55" t="s">
        <v>1110</v>
      </c>
      <c r="H622" s="55" t="s">
        <v>124</v>
      </c>
      <c r="I622" s="59">
        <v>0</v>
      </c>
      <c r="J622" s="60" t="s">
        <v>1111</v>
      </c>
      <c r="K622" s="63"/>
      <c r="L622" s="59"/>
      <c r="M622" s="59"/>
      <c r="N622" s="59"/>
      <c r="O622" s="60">
        <f t="shared" si="70"/>
        <v>622</v>
      </c>
      <c r="P622" s="65"/>
    </row>
    <row r="623" spans="3:16">
      <c r="C623" s="83" t="s">
        <v>70</v>
      </c>
      <c r="D623" s="75"/>
      <c r="E623" s="75"/>
      <c r="F623" s="81" t="s">
        <v>166</v>
      </c>
      <c r="G623" s="55" t="s">
        <v>1112</v>
      </c>
      <c r="H623" s="55" t="s">
        <v>124</v>
      </c>
      <c r="I623" s="59">
        <v>0.1</v>
      </c>
      <c r="J623" s="60" t="s">
        <v>1113</v>
      </c>
      <c r="K623" s="63"/>
      <c r="L623" s="59"/>
      <c r="M623" s="59"/>
      <c r="N623" s="59"/>
      <c r="O623" s="60">
        <f t="shared" si="70"/>
        <v>623</v>
      </c>
      <c r="P623" s="65"/>
    </row>
    <row r="624" spans="3:16">
      <c r="C624" s="83" t="s">
        <v>70</v>
      </c>
      <c r="D624" s="75"/>
      <c r="E624" s="75"/>
      <c r="F624" s="81" t="s">
        <v>166</v>
      </c>
      <c r="G624" s="55" t="s">
        <v>1114</v>
      </c>
      <c r="H624" s="55" t="s">
        <v>124</v>
      </c>
      <c r="I624" s="59">
        <v>0.2</v>
      </c>
      <c r="J624" s="60" t="s">
        <v>1115</v>
      </c>
      <c r="K624" s="63"/>
      <c r="L624" s="59"/>
      <c r="M624" s="59"/>
      <c r="N624" s="59"/>
      <c r="O624" s="60">
        <f t="shared" si="70"/>
        <v>624</v>
      </c>
      <c r="P624" s="65"/>
    </row>
    <row r="625" spans="3:16">
      <c r="C625" s="83" t="s">
        <v>70</v>
      </c>
      <c r="D625" s="75"/>
      <c r="E625" s="75"/>
      <c r="F625" s="81" t="s">
        <v>166</v>
      </c>
      <c r="G625" s="72" t="s">
        <v>3497</v>
      </c>
      <c r="H625" s="55" t="s">
        <v>124</v>
      </c>
      <c r="I625" s="59">
        <v>0.3</v>
      </c>
      <c r="J625" s="60" t="s">
        <v>1116</v>
      </c>
      <c r="K625" s="63"/>
      <c r="L625" s="59"/>
      <c r="M625" s="59"/>
      <c r="N625" s="59"/>
      <c r="O625" s="60">
        <f t="shared" si="70"/>
        <v>625</v>
      </c>
      <c r="P625" s="65"/>
    </row>
    <row r="626" spans="3:16">
      <c r="C626" s="83" t="s">
        <v>70</v>
      </c>
      <c r="D626" s="75"/>
      <c r="E626" s="75"/>
      <c r="F626" s="81" t="s">
        <v>166</v>
      </c>
      <c r="G626" s="55" t="s">
        <v>1117</v>
      </c>
      <c r="H626" s="55" t="s">
        <v>124</v>
      </c>
      <c r="I626" s="59">
        <v>0.4</v>
      </c>
      <c r="J626" s="60" t="s">
        <v>1118</v>
      </c>
      <c r="K626" s="63"/>
      <c r="L626" s="59"/>
      <c r="M626" s="59"/>
      <c r="N626" s="59"/>
      <c r="O626" s="60">
        <f t="shared" si="70"/>
        <v>626</v>
      </c>
      <c r="P626" s="65"/>
    </row>
    <row r="627" spans="3:16">
      <c r="C627" s="83" t="s">
        <v>70</v>
      </c>
      <c r="D627" s="75"/>
      <c r="E627" s="75"/>
      <c r="F627" s="81" t="s">
        <v>166</v>
      </c>
      <c r="G627" s="55" t="s">
        <v>1119</v>
      </c>
      <c r="H627" s="55" t="s">
        <v>124</v>
      </c>
      <c r="I627" s="59">
        <v>0.5</v>
      </c>
      <c r="J627" s="60" t="s">
        <v>1120</v>
      </c>
      <c r="K627" s="63"/>
      <c r="L627" s="59"/>
      <c r="M627" s="59"/>
      <c r="N627" s="59"/>
      <c r="O627" s="60">
        <f t="shared" si="70"/>
        <v>627</v>
      </c>
      <c r="P627" s="65"/>
    </row>
    <row r="628" spans="3:16">
      <c r="C628" s="83" t="s">
        <v>70</v>
      </c>
      <c r="D628" s="75"/>
      <c r="E628" s="75"/>
      <c r="F628" s="81" t="s">
        <v>166</v>
      </c>
      <c r="G628" s="55" t="s">
        <v>1121</v>
      </c>
      <c r="H628" s="55" t="s">
        <v>124</v>
      </c>
      <c r="I628" s="59">
        <v>0.6</v>
      </c>
      <c r="J628" s="60" t="s">
        <v>1122</v>
      </c>
      <c r="K628" s="63"/>
      <c r="L628" s="59"/>
      <c r="M628" s="59"/>
      <c r="N628" s="59"/>
      <c r="O628" s="60">
        <f t="shared" si="70"/>
        <v>628</v>
      </c>
      <c r="P628" s="65"/>
    </row>
    <row r="629" spans="3:16">
      <c r="C629" s="83" t="s">
        <v>70</v>
      </c>
      <c r="D629" s="75"/>
      <c r="E629" s="75"/>
      <c r="F629" s="81" t="s">
        <v>166</v>
      </c>
      <c r="G629" s="55" t="s">
        <v>1123</v>
      </c>
      <c r="H629" s="55" t="s">
        <v>124</v>
      </c>
      <c r="I629" s="59">
        <v>0.7</v>
      </c>
      <c r="J629" s="60" t="s">
        <v>1124</v>
      </c>
      <c r="K629" s="63"/>
      <c r="L629" s="59"/>
      <c r="M629" s="59"/>
      <c r="N629" s="59"/>
      <c r="O629" s="60">
        <f t="shared" si="70"/>
        <v>629</v>
      </c>
      <c r="P629" s="65"/>
    </row>
    <row r="630" spans="3:16">
      <c r="C630" s="83" t="s">
        <v>70</v>
      </c>
      <c r="D630" s="75"/>
      <c r="E630" s="75"/>
      <c r="F630" s="81" t="s">
        <v>166</v>
      </c>
      <c r="G630" s="55" t="s">
        <v>1125</v>
      </c>
      <c r="H630" s="55" t="s">
        <v>124</v>
      </c>
      <c r="I630" s="59" t="s">
        <v>988</v>
      </c>
      <c r="J630" s="60" t="s">
        <v>1126</v>
      </c>
      <c r="K630" s="63"/>
      <c r="L630" s="59"/>
      <c r="M630" s="59"/>
      <c r="N630" s="59"/>
      <c r="O630" s="60">
        <f t="shared" si="70"/>
        <v>630</v>
      </c>
      <c r="P630" s="65"/>
    </row>
    <row r="631" spans="3:16">
      <c r="C631" s="83" t="s">
        <v>70</v>
      </c>
      <c r="D631" s="75"/>
      <c r="E631" s="75"/>
      <c r="F631" s="81" t="s">
        <v>166</v>
      </c>
      <c r="G631" s="55" t="s">
        <v>1127</v>
      </c>
      <c r="H631" s="55" t="s">
        <v>124</v>
      </c>
      <c r="I631" s="59" t="s">
        <v>991</v>
      </c>
      <c r="J631" s="60" t="s">
        <v>1128</v>
      </c>
      <c r="K631" s="63"/>
      <c r="L631" s="59"/>
      <c r="M631" s="59"/>
      <c r="N631" s="59"/>
      <c r="O631" s="60">
        <f t="shared" si="70"/>
        <v>631</v>
      </c>
      <c r="P631" s="65"/>
    </row>
    <row r="632" spans="3:16">
      <c r="C632" s="83" t="s">
        <v>70</v>
      </c>
      <c r="D632" s="75"/>
      <c r="E632" s="75"/>
      <c r="F632" s="81" t="s">
        <v>166</v>
      </c>
      <c r="G632" s="55" t="s">
        <v>1129</v>
      </c>
      <c r="H632" s="55" t="s">
        <v>124</v>
      </c>
      <c r="I632" s="59" t="s">
        <v>1130</v>
      </c>
      <c r="J632" s="60" t="s">
        <v>1131</v>
      </c>
      <c r="K632" s="63"/>
      <c r="L632" s="59"/>
      <c r="M632" s="59"/>
      <c r="N632" s="59"/>
      <c r="O632" s="60">
        <f t="shared" si="70"/>
        <v>632</v>
      </c>
      <c r="P632" s="65"/>
    </row>
    <row r="633" spans="3:16">
      <c r="C633" s="83" t="s">
        <v>70</v>
      </c>
      <c r="D633" s="75"/>
      <c r="E633" s="75"/>
      <c r="F633" s="81" t="s">
        <v>166</v>
      </c>
      <c r="G633" s="55" t="s">
        <v>1132</v>
      </c>
      <c r="H633" s="55" t="s">
        <v>124</v>
      </c>
      <c r="I633" s="59" t="s">
        <v>1133</v>
      </c>
      <c r="J633" s="60" t="s">
        <v>1134</v>
      </c>
      <c r="K633" s="63"/>
      <c r="L633" s="59"/>
      <c r="M633" s="59"/>
      <c r="N633" s="59"/>
      <c r="O633" s="60">
        <f t="shared" si="70"/>
        <v>633</v>
      </c>
      <c r="P633" s="65"/>
    </row>
    <row r="634" spans="3:16">
      <c r="C634" s="83" t="s">
        <v>70</v>
      </c>
      <c r="D634" s="75"/>
      <c r="E634" s="75"/>
      <c r="F634" s="81" t="s">
        <v>166</v>
      </c>
      <c r="G634" s="55" t="s">
        <v>1135</v>
      </c>
      <c r="H634" s="55" t="s">
        <v>124</v>
      </c>
      <c r="I634" s="59">
        <v>1</v>
      </c>
      <c r="J634" s="60" t="s">
        <v>1136</v>
      </c>
      <c r="K634" s="63"/>
      <c r="L634" s="59"/>
      <c r="M634" s="59"/>
      <c r="N634" s="59"/>
      <c r="O634" s="60">
        <f t="shared" si="70"/>
        <v>634</v>
      </c>
      <c r="P634" s="65"/>
    </row>
    <row r="635" spans="3:16">
      <c r="C635" s="83" t="s">
        <v>70</v>
      </c>
      <c r="D635" s="75"/>
      <c r="E635" s="75"/>
      <c r="F635" s="81" t="s">
        <v>166</v>
      </c>
      <c r="G635" s="55" t="s">
        <v>1137</v>
      </c>
      <c r="H635" s="55" t="s">
        <v>124</v>
      </c>
      <c r="I635" s="59">
        <v>1.1000000000000001</v>
      </c>
      <c r="J635" s="60" t="s">
        <v>1138</v>
      </c>
      <c r="K635" s="63"/>
      <c r="L635" s="59"/>
      <c r="M635" s="59"/>
      <c r="N635" s="59"/>
      <c r="O635" s="60">
        <f t="shared" si="70"/>
        <v>635</v>
      </c>
      <c r="P635" s="65"/>
    </row>
    <row r="636" spans="3:16">
      <c r="C636" s="83" t="s">
        <v>70</v>
      </c>
      <c r="D636" s="75"/>
      <c r="E636" s="75"/>
      <c r="F636" s="81" t="s">
        <v>166</v>
      </c>
      <c r="G636" s="55" t="s">
        <v>1139</v>
      </c>
      <c r="H636" s="55" t="s">
        <v>124</v>
      </c>
      <c r="I636" s="59">
        <v>1.2</v>
      </c>
      <c r="J636" s="60" t="s">
        <v>1140</v>
      </c>
      <c r="K636" s="63"/>
      <c r="L636" s="59"/>
      <c r="M636" s="59"/>
      <c r="N636" s="59"/>
      <c r="O636" s="60">
        <f t="shared" si="70"/>
        <v>636</v>
      </c>
      <c r="P636" s="65"/>
    </row>
    <row r="637" spans="3:16">
      <c r="C637" s="83" t="s">
        <v>70</v>
      </c>
      <c r="D637" s="75"/>
      <c r="E637" s="75"/>
      <c r="F637" s="81" t="s">
        <v>166</v>
      </c>
      <c r="G637" s="72" t="s">
        <v>3498</v>
      </c>
      <c r="H637" s="55" t="s">
        <v>124</v>
      </c>
      <c r="I637" s="59">
        <v>1.3</v>
      </c>
      <c r="J637" s="60" t="s">
        <v>1141</v>
      </c>
      <c r="K637" s="63"/>
      <c r="L637" s="59"/>
      <c r="M637" s="59"/>
      <c r="N637" s="59"/>
      <c r="O637" s="60">
        <f t="shared" si="70"/>
        <v>637</v>
      </c>
      <c r="P637" s="65"/>
    </row>
    <row r="638" spans="3:16">
      <c r="C638" s="83" t="s">
        <v>70</v>
      </c>
      <c r="D638" s="75"/>
      <c r="E638" s="75"/>
      <c r="F638" s="81" t="s">
        <v>166</v>
      </c>
      <c r="G638" s="55" t="s">
        <v>1142</v>
      </c>
      <c r="H638" s="55" t="s">
        <v>124</v>
      </c>
      <c r="I638" s="59">
        <v>1.4</v>
      </c>
      <c r="J638" s="60" t="s">
        <v>1143</v>
      </c>
      <c r="K638" s="63"/>
      <c r="L638" s="59"/>
      <c r="M638" s="59"/>
      <c r="N638" s="59"/>
      <c r="O638" s="60">
        <f t="shared" si="70"/>
        <v>638</v>
      </c>
      <c r="P638" s="65"/>
    </row>
    <row r="639" spans="3:16">
      <c r="C639" s="83" t="s">
        <v>70</v>
      </c>
      <c r="D639" s="75"/>
      <c r="E639" s="75"/>
      <c r="F639" s="81" t="s">
        <v>166</v>
      </c>
      <c r="G639" s="55" t="s">
        <v>1144</v>
      </c>
      <c r="H639" s="55" t="s">
        <v>124</v>
      </c>
      <c r="I639" s="59">
        <v>1.5</v>
      </c>
      <c r="J639" s="60" t="s">
        <v>1145</v>
      </c>
      <c r="K639" s="63"/>
      <c r="L639" s="59"/>
      <c r="M639" s="59"/>
      <c r="N639" s="59"/>
      <c r="O639" s="60">
        <f t="shared" si="70"/>
        <v>639</v>
      </c>
      <c r="P639" s="65"/>
    </row>
    <row r="640" spans="3:16">
      <c r="C640" s="83" t="s">
        <v>70</v>
      </c>
      <c r="D640" s="75"/>
      <c r="E640" s="75"/>
      <c r="F640" s="81" t="s">
        <v>166</v>
      </c>
      <c r="G640" s="55" t="s">
        <v>1146</v>
      </c>
      <c r="H640" s="55" t="s">
        <v>124</v>
      </c>
      <c r="I640" s="59">
        <v>1.6</v>
      </c>
      <c r="J640" s="60" t="s">
        <v>1122</v>
      </c>
      <c r="K640" s="63"/>
      <c r="L640" s="59"/>
      <c r="M640" s="59"/>
      <c r="N640" s="59"/>
      <c r="O640" s="60">
        <f t="shared" si="70"/>
        <v>640</v>
      </c>
      <c r="P640" s="65"/>
    </row>
    <row r="641" spans="3:22">
      <c r="C641" s="83" t="s">
        <v>70</v>
      </c>
      <c r="D641" s="75"/>
      <c r="E641" s="75"/>
      <c r="F641" s="81" t="s">
        <v>166</v>
      </c>
      <c r="G641" s="55" t="s">
        <v>1147</v>
      </c>
      <c r="H641" s="55" t="s">
        <v>124</v>
      </c>
      <c r="I641" s="59">
        <v>1.7</v>
      </c>
      <c r="J641" s="60" t="s">
        <v>1148</v>
      </c>
      <c r="K641" s="63"/>
      <c r="L641" s="59"/>
      <c r="M641" s="59"/>
      <c r="N641" s="59"/>
      <c r="O641" s="60">
        <f t="shared" si="70"/>
        <v>641</v>
      </c>
      <c r="P641" s="65"/>
    </row>
    <row r="642" spans="3:22">
      <c r="C642" s="83" t="s">
        <v>70</v>
      </c>
      <c r="D642" s="75"/>
      <c r="E642" s="75"/>
      <c r="F642" s="81" t="s">
        <v>166</v>
      </c>
      <c r="G642" s="55" t="s">
        <v>1149</v>
      </c>
      <c r="H642" s="55" t="s">
        <v>124</v>
      </c>
      <c r="I642" s="59" t="s">
        <v>136</v>
      </c>
      <c r="J642" s="60" t="s">
        <v>1150</v>
      </c>
      <c r="K642" s="63"/>
      <c r="L642" s="59"/>
      <c r="M642" s="59"/>
      <c r="N642" s="59"/>
      <c r="O642" s="60">
        <f t="shared" ref="O642:O705" si="75">ROW(C642)</f>
        <v>642</v>
      </c>
      <c r="P642" s="65"/>
    </row>
    <row r="643" spans="3:22">
      <c r="C643" s="83" t="s">
        <v>70</v>
      </c>
      <c r="D643" s="75"/>
      <c r="E643" s="75"/>
      <c r="F643" s="81" t="s">
        <v>166</v>
      </c>
      <c r="G643" s="55" t="s">
        <v>1151</v>
      </c>
      <c r="H643" s="55" t="s">
        <v>124</v>
      </c>
      <c r="I643" s="59" t="s">
        <v>138</v>
      </c>
      <c r="J643" s="60" t="s">
        <v>1152</v>
      </c>
      <c r="K643" s="63"/>
      <c r="L643" s="59"/>
      <c r="M643" s="59"/>
      <c r="N643" s="59"/>
      <c r="O643" s="60">
        <f t="shared" si="75"/>
        <v>643</v>
      </c>
      <c r="P643" s="65"/>
    </row>
    <row r="644" spans="3:22">
      <c r="C644" s="83" t="s">
        <v>70</v>
      </c>
      <c r="D644" s="75"/>
      <c r="E644" s="75"/>
      <c r="F644" s="81" t="s">
        <v>166</v>
      </c>
      <c r="G644" s="55" t="s">
        <v>1153</v>
      </c>
      <c r="H644" s="55" t="s">
        <v>124</v>
      </c>
      <c r="I644" s="59" t="s">
        <v>201</v>
      </c>
      <c r="J644" s="60" t="s">
        <v>1154</v>
      </c>
      <c r="K644" s="63"/>
      <c r="L644" s="59"/>
      <c r="M644" s="59"/>
      <c r="N644" s="59"/>
      <c r="O644" s="60">
        <f t="shared" si="75"/>
        <v>644</v>
      </c>
      <c r="P644" s="65"/>
    </row>
    <row r="645" spans="3:22">
      <c r="C645" s="83" t="s">
        <v>70</v>
      </c>
      <c r="D645" s="75"/>
      <c r="E645" s="75"/>
      <c r="F645" s="81" t="s">
        <v>166</v>
      </c>
      <c r="G645" s="55" t="s">
        <v>1155</v>
      </c>
      <c r="H645" s="55" t="s">
        <v>124</v>
      </c>
      <c r="I645" s="59" t="s">
        <v>204</v>
      </c>
      <c r="J645" s="60" t="s">
        <v>1156</v>
      </c>
      <c r="K645" s="63"/>
      <c r="L645" s="59"/>
      <c r="M645" s="59"/>
      <c r="N645" s="59"/>
      <c r="O645" s="60">
        <f t="shared" si="75"/>
        <v>645</v>
      </c>
      <c r="P645" s="65"/>
    </row>
    <row r="646" spans="3:22">
      <c r="C646" s="83" t="s">
        <v>71</v>
      </c>
      <c r="D646" s="75">
        <v>46</v>
      </c>
      <c r="E646" s="75">
        <v>4</v>
      </c>
      <c r="F646" s="81" t="s">
        <v>151</v>
      </c>
      <c r="G646" s="55" t="s">
        <v>1157</v>
      </c>
      <c r="H646" s="55" t="s">
        <v>124</v>
      </c>
      <c r="I646" s="59">
        <v>0</v>
      </c>
      <c r="J646" s="60" t="s">
        <v>1036</v>
      </c>
      <c r="K646" s="63" t="str">
        <f t="shared" si="74"/>
        <v>XGF-HD2AInput</v>
      </c>
      <c r="L646" s="59">
        <f t="shared" ref="L646:L683" si="76">COUNTIF($C$2:$C$2062,C646)</f>
        <v>62</v>
      </c>
      <c r="M646" s="59">
        <f t="shared" ref="M646:M683" si="77">COUNTIF($K$2:$K$2062,K646)</f>
        <v>38</v>
      </c>
      <c r="N646" s="59">
        <f t="shared" ref="N646:N683" si="78">L646-M646</f>
        <v>24</v>
      </c>
      <c r="O646" s="60">
        <f t="shared" si="75"/>
        <v>646</v>
      </c>
      <c r="P646" s="65" t="s">
        <v>3214</v>
      </c>
      <c r="Q646">
        <f>O646</f>
        <v>646</v>
      </c>
      <c r="R646" t="s">
        <v>3215</v>
      </c>
      <c r="S646">
        <v>708</v>
      </c>
      <c r="T646" t="str">
        <f>P646&amp;Q646&amp;R646&amp;S646</f>
        <v>All data map'!$F$646:$J$708</v>
      </c>
      <c r="V646" t="s">
        <v>3252</v>
      </c>
    </row>
    <row r="647" spans="3:22">
      <c r="C647" s="83" t="s">
        <v>71</v>
      </c>
      <c r="D647" s="75"/>
      <c r="E647" s="75"/>
      <c r="F647" s="81" t="s">
        <v>151</v>
      </c>
      <c r="G647" s="55" t="s">
        <v>1158</v>
      </c>
      <c r="H647" s="55" t="s">
        <v>124</v>
      </c>
      <c r="I647" s="59">
        <v>0.1</v>
      </c>
      <c r="J647" s="60" t="s">
        <v>1038</v>
      </c>
      <c r="K647" s="63" t="str">
        <f t="shared" si="74"/>
        <v>XGF-HD2AInput</v>
      </c>
      <c r="L647" s="59">
        <f t="shared" si="76"/>
        <v>62</v>
      </c>
      <c r="M647" s="59">
        <f t="shared" si="77"/>
        <v>38</v>
      </c>
      <c r="N647" s="59">
        <f t="shared" si="78"/>
        <v>24</v>
      </c>
      <c r="O647" s="60">
        <f t="shared" si="75"/>
        <v>647</v>
      </c>
      <c r="P647" s="65"/>
    </row>
    <row r="648" spans="3:22">
      <c r="C648" s="83" t="s">
        <v>71</v>
      </c>
      <c r="D648" s="75"/>
      <c r="E648" s="75"/>
      <c r="F648" s="81" t="s">
        <v>151</v>
      </c>
      <c r="G648" s="55" t="s">
        <v>1159</v>
      </c>
      <c r="H648" s="55" t="s">
        <v>124</v>
      </c>
      <c r="I648" s="59">
        <v>0.3</v>
      </c>
      <c r="J648" s="60" t="s">
        <v>1040</v>
      </c>
      <c r="K648" s="63" t="str">
        <f t="shared" si="74"/>
        <v>XGF-HD2AInput</v>
      </c>
      <c r="L648" s="59">
        <f t="shared" si="76"/>
        <v>62</v>
      </c>
      <c r="M648" s="59">
        <f t="shared" si="77"/>
        <v>38</v>
      </c>
      <c r="N648" s="59">
        <f t="shared" si="78"/>
        <v>24</v>
      </c>
      <c r="O648" s="60">
        <f t="shared" si="75"/>
        <v>648</v>
      </c>
      <c r="P648" s="65"/>
    </row>
    <row r="649" spans="3:22">
      <c r="C649" s="83" t="s">
        <v>71</v>
      </c>
      <c r="D649" s="75"/>
      <c r="E649" s="75"/>
      <c r="F649" s="81" t="s">
        <v>151</v>
      </c>
      <c r="G649" s="55" t="s">
        <v>1160</v>
      </c>
      <c r="H649" s="55" t="s">
        <v>124</v>
      </c>
      <c r="I649" s="59">
        <v>0.4</v>
      </c>
      <c r="J649" s="60" t="s">
        <v>1042</v>
      </c>
      <c r="K649" s="63" t="str">
        <f t="shared" si="74"/>
        <v>XGF-HD2AInput</v>
      </c>
      <c r="L649" s="59">
        <f t="shared" si="76"/>
        <v>62</v>
      </c>
      <c r="M649" s="59">
        <f t="shared" si="77"/>
        <v>38</v>
      </c>
      <c r="N649" s="59">
        <f t="shared" si="78"/>
        <v>24</v>
      </c>
      <c r="O649" s="60">
        <f t="shared" si="75"/>
        <v>649</v>
      </c>
      <c r="P649" s="65"/>
    </row>
    <row r="650" spans="3:22">
      <c r="C650" s="83" t="s">
        <v>71</v>
      </c>
      <c r="D650" s="75"/>
      <c r="E650" s="75"/>
      <c r="F650" s="81" t="s">
        <v>151</v>
      </c>
      <c r="G650" s="55" t="s">
        <v>1161</v>
      </c>
      <c r="H650" s="55" t="s">
        <v>124</v>
      </c>
      <c r="I650" s="59">
        <v>0.5</v>
      </c>
      <c r="J650" s="60" t="s">
        <v>1044</v>
      </c>
      <c r="K650" s="63" t="str">
        <f t="shared" si="74"/>
        <v>XGF-HD2AInput</v>
      </c>
      <c r="L650" s="59">
        <f t="shared" si="76"/>
        <v>62</v>
      </c>
      <c r="M650" s="59">
        <f t="shared" si="77"/>
        <v>38</v>
      </c>
      <c r="N650" s="59">
        <f t="shared" si="78"/>
        <v>24</v>
      </c>
      <c r="O650" s="60">
        <f t="shared" si="75"/>
        <v>650</v>
      </c>
      <c r="P650" s="65"/>
    </row>
    <row r="651" spans="3:22">
      <c r="C651" s="83" t="s">
        <v>71</v>
      </c>
      <c r="D651" s="75"/>
      <c r="E651" s="75"/>
      <c r="F651" s="81" t="s">
        <v>151</v>
      </c>
      <c r="G651" s="55" t="s">
        <v>1162</v>
      </c>
      <c r="H651" s="55" t="s">
        <v>124</v>
      </c>
      <c r="I651" s="59">
        <v>0.6</v>
      </c>
      <c r="J651" s="60" t="s">
        <v>1046</v>
      </c>
      <c r="K651" s="63" t="str">
        <f t="shared" si="74"/>
        <v>XGF-HD2AInput</v>
      </c>
      <c r="L651" s="59">
        <f t="shared" si="76"/>
        <v>62</v>
      </c>
      <c r="M651" s="59">
        <f t="shared" si="77"/>
        <v>38</v>
      </c>
      <c r="N651" s="59">
        <f t="shared" si="78"/>
        <v>24</v>
      </c>
      <c r="O651" s="60">
        <f t="shared" si="75"/>
        <v>651</v>
      </c>
      <c r="P651" s="65"/>
    </row>
    <row r="652" spans="3:22">
      <c r="C652" s="83" t="s">
        <v>71</v>
      </c>
      <c r="D652" s="75"/>
      <c r="E652" s="75"/>
      <c r="F652" s="81" t="s">
        <v>151</v>
      </c>
      <c r="G652" s="55" t="s">
        <v>1163</v>
      </c>
      <c r="H652" s="55" t="s">
        <v>124</v>
      </c>
      <c r="I652" s="59">
        <v>0.7</v>
      </c>
      <c r="J652" s="60" t="s">
        <v>1048</v>
      </c>
      <c r="K652" s="63" t="str">
        <f t="shared" si="74"/>
        <v>XGF-HD2AInput</v>
      </c>
      <c r="L652" s="59">
        <f t="shared" si="76"/>
        <v>62</v>
      </c>
      <c r="M652" s="59">
        <f t="shared" si="77"/>
        <v>38</v>
      </c>
      <c r="N652" s="59">
        <f t="shared" si="78"/>
        <v>24</v>
      </c>
      <c r="O652" s="60">
        <f t="shared" si="75"/>
        <v>652</v>
      </c>
      <c r="P652" s="65"/>
    </row>
    <row r="653" spans="3:22">
      <c r="C653" s="83" t="s">
        <v>71</v>
      </c>
      <c r="D653" s="75"/>
      <c r="E653" s="75"/>
      <c r="F653" s="81" t="s">
        <v>151</v>
      </c>
      <c r="G653" s="55" t="s">
        <v>1164</v>
      </c>
      <c r="H653" s="55" t="s">
        <v>124</v>
      </c>
      <c r="I653" s="59" t="s">
        <v>1050</v>
      </c>
      <c r="J653" s="60" t="s">
        <v>1051</v>
      </c>
      <c r="K653" s="63" t="str">
        <f t="shared" si="74"/>
        <v>XGF-HD2AInput</v>
      </c>
      <c r="L653" s="59">
        <f t="shared" si="76"/>
        <v>62</v>
      </c>
      <c r="M653" s="59">
        <f t="shared" si="77"/>
        <v>38</v>
      </c>
      <c r="N653" s="59">
        <f t="shared" si="78"/>
        <v>24</v>
      </c>
      <c r="O653" s="60">
        <f t="shared" si="75"/>
        <v>653</v>
      </c>
      <c r="P653" s="65"/>
    </row>
    <row r="654" spans="3:22">
      <c r="C654" s="83" t="s">
        <v>71</v>
      </c>
      <c r="D654" s="75"/>
      <c r="E654" s="75"/>
      <c r="F654" s="81" t="s">
        <v>151</v>
      </c>
      <c r="G654" s="55" t="s">
        <v>1165</v>
      </c>
      <c r="H654" s="55" t="s">
        <v>124</v>
      </c>
      <c r="I654" s="59" t="s">
        <v>126</v>
      </c>
      <c r="J654" s="60" t="s">
        <v>1053</v>
      </c>
      <c r="K654" s="63" t="str">
        <f t="shared" si="74"/>
        <v>XGF-HD2AInput</v>
      </c>
      <c r="L654" s="59">
        <f t="shared" si="76"/>
        <v>62</v>
      </c>
      <c r="M654" s="59">
        <f t="shared" si="77"/>
        <v>38</v>
      </c>
      <c r="N654" s="59">
        <f t="shared" si="78"/>
        <v>24</v>
      </c>
      <c r="O654" s="60">
        <f t="shared" si="75"/>
        <v>654</v>
      </c>
      <c r="P654" s="65"/>
    </row>
    <row r="655" spans="3:22">
      <c r="C655" s="83" t="s">
        <v>71</v>
      </c>
      <c r="D655" s="75"/>
      <c r="E655" s="75"/>
      <c r="F655" s="81" t="s">
        <v>151</v>
      </c>
      <c r="G655" s="55" t="s">
        <v>1166</v>
      </c>
      <c r="H655" s="55" t="s">
        <v>124</v>
      </c>
      <c r="I655" s="59">
        <v>1</v>
      </c>
      <c r="J655" s="60" t="s">
        <v>1055</v>
      </c>
      <c r="K655" s="63" t="str">
        <f t="shared" si="74"/>
        <v>XGF-HD2AInput</v>
      </c>
      <c r="L655" s="59">
        <f t="shared" si="76"/>
        <v>62</v>
      </c>
      <c r="M655" s="59">
        <f t="shared" si="77"/>
        <v>38</v>
      </c>
      <c r="N655" s="59">
        <f t="shared" si="78"/>
        <v>24</v>
      </c>
      <c r="O655" s="60">
        <f t="shared" si="75"/>
        <v>655</v>
      </c>
      <c r="P655" s="65"/>
    </row>
    <row r="656" spans="3:22">
      <c r="C656" s="83" t="s">
        <v>71</v>
      </c>
      <c r="D656" s="75"/>
      <c r="E656" s="75"/>
      <c r="F656" s="81" t="s">
        <v>151</v>
      </c>
      <c r="G656" s="55" t="s">
        <v>1167</v>
      </c>
      <c r="H656" s="55" t="s">
        <v>124</v>
      </c>
      <c r="I656" s="59">
        <v>1.1000000000000001</v>
      </c>
      <c r="J656" s="60" t="s">
        <v>1057</v>
      </c>
      <c r="K656" s="63" t="str">
        <f t="shared" si="74"/>
        <v>XGF-HD2AInput</v>
      </c>
      <c r="L656" s="59">
        <f t="shared" si="76"/>
        <v>62</v>
      </c>
      <c r="M656" s="59">
        <f t="shared" si="77"/>
        <v>38</v>
      </c>
      <c r="N656" s="59">
        <f t="shared" si="78"/>
        <v>24</v>
      </c>
      <c r="O656" s="60">
        <f t="shared" si="75"/>
        <v>656</v>
      </c>
      <c r="P656" s="65"/>
    </row>
    <row r="657" spans="3:16">
      <c r="C657" s="83" t="s">
        <v>71</v>
      </c>
      <c r="D657" s="75"/>
      <c r="E657" s="75"/>
      <c r="F657" s="81" t="s">
        <v>151</v>
      </c>
      <c r="G657" s="55" t="s">
        <v>1168</v>
      </c>
      <c r="H657" s="55" t="s">
        <v>124</v>
      </c>
      <c r="I657" s="59">
        <v>1.3</v>
      </c>
      <c r="J657" s="60" t="s">
        <v>1059</v>
      </c>
      <c r="K657" s="63" t="str">
        <f t="shared" si="74"/>
        <v>XGF-HD2AInput</v>
      </c>
      <c r="L657" s="59">
        <f t="shared" si="76"/>
        <v>62</v>
      </c>
      <c r="M657" s="59">
        <f t="shared" si="77"/>
        <v>38</v>
      </c>
      <c r="N657" s="59">
        <f t="shared" si="78"/>
        <v>24</v>
      </c>
      <c r="O657" s="60">
        <f t="shared" si="75"/>
        <v>657</v>
      </c>
      <c r="P657" s="65"/>
    </row>
    <row r="658" spans="3:16">
      <c r="C658" s="83" t="s">
        <v>71</v>
      </c>
      <c r="D658" s="75"/>
      <c r="E658" s="75"/>
      <c r="F658" s="81" t="s">
        <v>151</v>
      </c>
      <c r="G658" s="55" t="s">
        <v>1169</v>
      </c>
      <c r="H658" s="55" t="s">
        <v>124</v>
      </c>
      <c r="I658" s="59">
        <v>1.4</v>
      </c>
      <c r="J658" s="60" t="s">
        <v>1061</v>
      </c>
      <c r="K658" s="63" t="str">
        <f t="shared" si="74"/>
        <v>XGF-HD2AInput</v>
      </c>
      <c r="L658" s="59">
        <f t="shared" si="76"/>
        <v>62</v>
      </c>
      <c r="M658" s="59">
        <f t="shared" si="77"/>
        <v>38</v>
      </c>
      <c r="N658" s="59">
        <f t="shared" si="78"/>
        <v>24</v>
      </c>
      <c r="O658" s="60">
        <f t="shared" si="75"/>
        <v>658</v>
      </c>
      <c r="P658" s="65"/>
    </row>
    <row r="659" spans="3:16">
      <c r="C659" s="83" t="s">
        <v>71</v>
      </c>
      <c r="D659" s="75"/>
      <c r="E659" s="75"/>
      <c r="F659" s="81" t="s">
        <v>151</v>
      </c>
      <c r="G659" s="55" t="s">
        <v>1170</v>
      </c>
      <c r="H659" s="55" t="s">
        <v>124</v>
      </c>
      <c r="I659" s="59">
        <v>1.5</v>
      </c>
      <c r="J659" s="60" t="s">
        <v>1063</v>
      </c>
      <c r="K659" s="63" t="str">
        <f t="shared" si="74"/>
        <v>XGF-HD2AInput</v>
      </c>
      <c r="L659" s="59">
        <f t="shared" si="76"/>
        <v>62</v>
      </c>
      <c r="M659" s="59">
        <f t="shared" si="77"/>
        <v>38</v>
      </c>
      <c r="N659" s="59">
        <f t="shared" si="78"/>
        <v>24</v>
      </c>
      <c r="O659" s="60">
        <f t="shared" si="75"/>
        <v>659</v>
      </c>
      <c r="P659" s="65"/>
    </row>
    <row r="660" spans="3:16">
      <c r="C660" s="83" t="s">
        <v>71</v>
      </c>
      <c r="D660" s="75"/>
      <c r="E660" s="75"/>
      <c r="F660" s="81" t="s">
        <v>151</v>
      </c>
      <c r="G660" s="55" t="s">
        <v>1171</v>
      </c>
      <c r="H660" s="55" t="s">
        <v>124</v>
      </c>
      <c r="I660" s="59">
        <v>1.6</v>
      </c>
      <c r="J660" s="60" t="s">
        <v>1065</v>
      </c>
      <c r="K660" s="63" t="str">
        <f t="shared" si="74"/>
        <v>XGF-HD2AInput</v>
      </c>
      <c r="L660" s="59">
        <f t="shared" si="76"/>
        <v>62</v>
      </c>
      <c r="M660" s="59">
        <f t="shared" si="77"/>
        <v>38</v>
      </c>
      <c r="N660" s="59">
        <f t="shared" si="78"/>
        <v>24</v>
      </c>
      <c r="O660" s="60">
        <f t="shared" si="75"/>
        <v>660</v>
      </c>
      <c r="P660" s="65"/>
    </row>
    <row r="661" spans="3:16">
      <c r="C661" s="83" t="s">
        <v>71</v>
      </c>
      <c r="D661" s="75"/>
      <c r="E661" s="75"/>
      <c r="F661" s="81" t="s">
        <v>151</v>
      </c>
      <c r="G661" s="55" t="s">
        <v>1172</v>
      </c>
      <c r="H661" s="55" t="s">
        <v>124</v>
      </c>
      <c r="I661" s="59">
        <v>1.7</v>
      </c>
      <c r="J661" s="60" t="s">
        <v>1067</v>
      </c>
      <c r="K661" s="63" t="str">
        <f t="shared" ref="K661:K724" si="79">C661&amp;F661</f>
        <v>XGF-HD2AInput</v>
      </c>
      <c r="L661" s="59">
        <f t="shared" si="76"/>
        <v>62</v>
      </c>
      <c r="M661" s="59">
        <f t="shared" si="77"/>
        <v>38</v>
      </c>
      <c r="N661" s="59">
        <f t="shared" si="78"/>
        <v>24</v>
      </c>
      <c r="O661" s="60">
        <f t="shared" si="75"/>
        <v>661</v>
      </c>
      <c r="P661" s="65"/>
    </row>
    <row r="662" spans="3:16">
      <c r="C662" s="83" t="s">
        <v>71</v>
      </c>
      <c r="D662" s="75"/>
      <c r="E662" s="75"/>
      <c r="F662" s="81" t="s">
        <v>151</v>
      </c>
      <c r="G662" s="55" t="s">
        <v>1173</v>
      </c>
      <c r="H662" s="55" t="s">
        <v>124</v>
      </c>
      <c r="I662" s="59" t="s">
        <v>207</v>
      </c>
      <c r="J662" s="60" t="s">
        <v>1069</v>
      </c>
      <c r="K662" s="63" t="str">
        <f t="shared" si="79"/>
        <v>XGF-HD2AInput</v>
      </c>
      <c r="L662" s="59">
        <f t="shared" si="76"/>
        <v>62</v>
      </c>
      <c r="M662" s="59">
        <f t="shared" si="77"/>
        <v>38</v>
      </c>
      <c r="N662" s="59">
        <f t="shared" si="78"/>
        <v>24</v>
      </c>
      <c r="O662" s="60">
        <f t="shared" si="75"/>
        <v>662</v>
      </c>
      <c r="P662" s="65"/>
    </row>
    <row r="663" spans="3:16">
      <c r="C663" s="83" t="s">
        <v>71</v>
      </c>
      <c r="D663" s="75"/>
      <c r="E663" s="75"/>
      <c r="F663" s="81" t="s">
        <v>151</v>
      </c>
      <c r="G663" s="55" t="s">
        <v>1174</v>
      </c>
      <c r="H663" s="55" t="s">
        <v>139</v>
      </c>
      <c r="I663" s="59">
        <v>2</v>
      </c>
      <c r="J663" s="60" t="s">
        <v>1071</v>
      </c>
      <c r="K663" s="63" t="str">
        <f t="shared" si="79"/>
        <v>XGF-HD2AInput</v>
      </c>
      <c r="L663" s="59">
        <f t="shared" si="76"/>
        <v>62</v>
      </c>
      <c r="M663" s="59">
        <f t="shared" si="77"/>
        <v>38</v>
      </c>
      <c r="N663" s="59">
        <f t="shared" si="78"/>
        <v>24</v>
      </c>
      <c r="O663" s="60">
        <f t="shared" si="75"/>
        <v>663</v>
      </c>
      <c r="P663" s="65"/>
    </row>
    <row r="664" spans="3:16">
      <c r="C664" s="83" t="s">
        <v>71</v>
      </c>
      <c r="D664" s="75"/>
      <c r="E664" s="75"/>
      <c r="F664" s="81" t="s">
        <v>151</v>
      </c>
      <c r="G664" s="55" t="s">
        <v>1175</v>
      </c>
      <c r="H664" s="55" t="s">
        <v>139</v>
      </c>
      <c r="I664" s="59">
        <v>3</v>
      </c>
      <c r="J664" s="60" t="s">
        <v>1073</v>
      </c>
      <c r="K664" s="63" t="str">
        <f t="shared" si="79"/>
        <v>XGF-HD2AInput</v>
      </c>
      <c r="L664" s="59">
        <f t="shared" si="76"/>
        <v>62</v>
      </c>
      <c r="M664" s="59">
        <f t="shared" si="77"/>
        <v>38</v>
      </c>
      <c r="N664" s="59">
        <f t="shared" si="78"/>
        <v>24</v>
      </c>
      <c r="O664" s="60">
        <f t="shared" si="75"/>
        <v>664</v>
      </c>
      <c r="P664" s="65"/>
    </row>
    <row r="665" spans="3:16">
      <c r="C665" s="83" t="s">
        <v>71</v>
      </c>
      <c r="D665" s="75"/>
      <c r="E665" s="75"/>
      <c r="F665" s="81" t="s">
        <v>151</v>
      </c>
      <c r="G665" s="55" t="s">
        <v>1176</v>
      </c>
      <c r="H665" s="55" t="s">
        <v>139</v>
      </c>
      <c r="I665" s="59">
        <v>4</v>
      </c>
      <c r="J665" s="60" t="s">
        <v>1075</v>
      </c>
      <c r="K665" s="63" t="str">
        <f t="shared" si="79"/>
        <v>XGF-HD2AInput</v>
      </c>
      <c r="L665" s="59">
        <f t="shared" si="76"/>
        <v>62</v>
      </c>
      <c r="M665" s="59">
        <f t="shared" si="77"/>
        <v>38</v>
      </c>
      <c r="N665" s="59">
        <f t="shared" si="78"/>
        <v>24</v>
      </c>
      <c r="O665" s="60">
        <f t="shared" si="75"/>
        <v>665</v>
      </c>
      <c r="P665" s="65"/>
    </row>
    <row r="666" spans="3:16">
      <c r="C666" s="83" t="s">
        <v>71</v>
      </c>
      <c r="D666" s="75"/>
      <c r="E666" s="75"/>
      <c r="F666" s="81" t="s">
        <v>151</v>
      </c>
      <c r="G666" s="55" t="s">
        <v>1177</v>
      </c>
      <c r="H666" s="55" t="s">
        <v>139</v>
      </c>
      <c r="I666" s="59">
        <v>5</v>
      </c>
      <c r="J666" s="60" t="s">
        <v>1077</v>
      </c>
      <c r="K666" s="63" t="str">
        <f t="shared" si="79"/>
        <v>XGF-HD2AInput</v>
      </c>
      <c r="L666" s="59">
        <f t="shared" si="76"/>
        <v>62</v>
      </c>
      <c r="M666" s="59">
        <f t="shared" si="77"/>
        <v>38</v>
      </c>
      <c r="N666" s="59">
        <f t="shared" si="78"/>
        <v>24</v>
      </c>
      <c r="O666" s="60">
        <f t="shared" si="75"/>
        <v>666</v>
      </c>
      <c r="P666" s="65"/>
    </row>
    <row r="667" spans="3:16">
      <c r="C667" s="83" t="s">
        <v>71</v>
      </c>
      <c r="D667" s="75"/>
      <c r="E667" s="75"/>
      <c r="F667" s="81" t="s">
        <v>151</v>
      </c>
      <c r="G667" s="55" t="s">
        <v>1178</v>
      </c>
      <c r="H667" s="55" t="s">
        <v>139</v>
      </c>
      <c r="I667" s="59">
        <v>6</v>
      </c>
      <c r="J667" s="60" t="s">
        <v>1079</v>
      </c>
      <c r="K667" s="63" t="str">
        <f t="shared" si="79"/>
        <v>XGF-HD2AInput</v>
      </c>
      <c r="L667" s="59">
        <f t="shared" si="76"/>
        <v>62</v>
      </c>
      <c r="M667" s="59">
        <f t="shared" si="77"/>
        <v>38</v>
      </c>
      <c r="N667" s="59">
        <f t="shared" si="78"/>
        <v>24</v>
      </c>
      <c r="O667" s="60">
        <f t="shared" si="75"/>
        <v>667</v>
      </c>
      <c r="P667" s="65"/>
    </row>
    <row r="668" spans="3:16">
      <c r="C668" s="83" t="s">
        <v>71</v>
      </c>
      <c r="D668" s="75"/>
      <c r="E668" s="75"/>
      <c r="F668" s="81" t="s">
        <v>151</v>
      </c>
      <c r="G668" s="55" t="s">
        <v>1179</v>
      </c>
      <c r="H668" s="55" t="s">
        <v>139</v>
      </c>
      <c r="I668" s="59">
        <v>7</v>
      </c>
      <c r="J668" s="60" t="s">
        <v>1081</v>
      </c>
      <c r="K668" s="63" t="str">
        <f t="shared" si="79"/>
        <v>XGF-HD2AInput</v>
      </c>
      <c r="L668" s="59">
        <f t="shared" si="76"/>
        <v>62</v>
      </c>
      <c r="M668" s="59">
        <f t="shared" si="77"/>
        <v>38</v>
      </c>
      <c r="N668" s="59">
        <f t="shared" si="78"/>
        <v>24</v>
      </c>
      <c r="O668" s="60">
        <f t="shared" si="75"/>
        <v>668</v>
      </c>
      <c r="P668" s="65"/>
    </row>
    <row r="669" spans="3:16">
      <c r="C669" s="83" t="s">
        <v>71</v>
      </c>
      <c r="D669" s="75"/>
      <c r="E669" s="75"/>
      <c r="F669" s="81" t="s">
        <v>151</v>
      </c>
      <c r="G669" s="55" t="s">
        <v>1180</v>
      </c>
      <c r="H669" s="55" t="s">
        <v>139</v>
      </c>
      <c r="I669" s="59">
        <v>8</v>
      </c>
      <c r="J669" s="60" t="s">
        <v>1083</v>
      </c>
      <c r="K669" s="63" t="str">
        <f t="shared" si="79"/>
        <v>XGF-HD2AInput</v>
      </c>
      <c r="L669" s="59">
        <f t="shared" si="76"/>
        <v>62</v>
      </c>
      <c r="M669" s="59">
        <f t="shared" si="77"/>
        <v>38</v>
      </c>
      <c r="N669" s="59">
        <f t="shared" si="78"/>
        <v>24</v>
      </c>
      <c r="O669" s="60">
        <f t="shared" si="75"/>
        <v>669</v>
      </c>
      <c r="P669" s="65"/>
    </row>
    <row r="670" spans="3:16">
      <c r="C670" s="83" t="s">
        <v>71</v>
      </c>
      <c r="D670" s="75"/>
      <c r="E670" s="75"/>
      <c r="F670" s="81" t="s">
        <v>151</v>
      </c>
      <c r="G670" s="55" t="s">
        <v>1181</v>
      </c>
      <c r="H670" s="55" t="s">
        <v>139</v>
      </c>
      <c r="I670" s="59">
        <v>9</v>
      </c>
      <c r="J670" s="60" t="s">
        <v>1085</v>
      </c>
      <c r="K670" s="63" t="str">
        <f t="shared" si="79"/>
        <v>XGF-HD2AInput</v>
      </c>
      <c r="L670" s="59">
        <f t="shared" si="76"/>
        <v>62</v>
      </c>
      <c r="M670" s="59">
        <f t="shared" si="77"/>
        <v>38</v>
      </c>
      <c r="N670" s="59">
        <f t="shared" si="78"/>
        <v>24</v>
      </c>
      <c r="O670" s="60">
        <f t="shared" si="75"/>
        <v>670</v>
      </c>
      <c r="P670" s="65"/>
    </row>
    <row r="671" spans="3:16">
      <c r="C671" s="83" t="s">
        <v>71</v>
      </c>
      <c r="D671" s="75"/>
      <c r="E671" s="75"/>
      <c r="F671" s="81" t="s">
        <v>151</v>
      </c>
      <c r="G671" s="55" t="s">
        <v>1182</v>
      </c>
      <c r="H671" s="55" t="s">
        <v>139</v>
      </c>
      <c r="I671" s="59">
        <v>10</v>
      </c>
      <c r="J671" s="60" t="s">
        <v>1087</v>
      </c>
      <c r="K671" s="63" t="str">
        <f t="shared" si="79"/>
        <v>XGF-HD2AInput</v>
      </c>
      <c r="L671" s="59">
        <f t="shared" si="76"/>
        <v>62</v>
      </c>
      <c r="M671" s="59">
        <f t="shared" si="77"/>
        <v>38</v>
      </c>
      <c r="N671" s="59">
        <f t="shared" si="78"/>
        <v>24</v>
      </c>
      <c r="O671" s="60">
        <f t="shared" si="75"/>
        <v>671</v>
      </c>
      <c r="P671" s="65"/>
    </row>
    <row r="672" spans="3:16">
      <c r="C672" s="83" t="s">
        <v>71</v>
      </c>
      <c r="D672" s="75"/>
      <c r="E672" s="75"/>
      <c r="F672" s="81" t="s">
        <v>151</v>
      </c>
      <c r="G672" s="55" t="s">
        <v>1183</v>
      </c>
      <c r="H672" s="55" t="s">
        <v>139</v>
      </c>
      <c r="I672" s="59">
        <v>11</v>
      </c>
      <c r="J672" s="60" t="s">
        <v>1089</v>
      </c>
      <c r="K672" s="63" t="str">
        <f t="shared" si="79"/>
        <v>XGF-HD2AInput</v>
      </c>
      <c r="L672" s="59">
        <f t="shared" si="76"/>
        <v>62</v>
      </c>
      <c r="M672" s="59">
        <f t="shared" si="77"/>
        <v>38</v>
      </c>
      <c r="N672" s="59">
        <f t="shared" si="78"/>
        <v>24</v>
      </c>
      <c r="O672" s="60">
        <f t="shared" si="75"/>
        <v>672</v>
      </c>
      <c r="P672" s="65"/>
    </row>
    <row r="673" spans="3:16">
      <c r="C673" s="83" t="s">
        <v>71</v>
      </c>
      <c r="D673" s="75"/>
      <c r="E673" s="75"/>
      <c r="F673" s="81" t="s">
        <v>151</v>
      </c>
      <c r="G673" s="55" t="s">
        <v>1184</v>
      </c>
      <c r="H673" s="55" t="s">
        <v>139</v>
      </c>
      <c r="I673" s="59">
        <v>12</v>
      </c>
      <c r="J673" s="60" t="s">
        <v>1091</v>
      </c>
      <c r="K673" s="63" t="str">
        <f t="shared" si="79"/>
        <v>XGF-HD2AInput</v>
      </c>
      <c r="L673" s="59">
        <f t="shared" si="76"/>
        <v>62</v>
      </c>
      <c r="M673" s="59">
        <f t="shared" si="77"/>
        <v>38</v>
      </c>
      <c r="N673" s="59">
        <f t="shared" si="78"/>
        <v>24</v>
      </c>
      <c r="O673" s="60">
        <f t="shared" si="75"/>
        <v>673</v>
      </c>
      <c r="P673" s="65"/>
    </row>
    <row r="674" spans="3:16">
      <c r="C674" s="83" t="s">
        <v>71</v>
      </c>
      <c r="D674" s="75"/>
      <c r="E674" s="75"/>
      <c r="F674" s="81" t="s">
        <v>151</v>
      </c>
      <c r="G674" s="55" t="s">
        <v>1185</v>
      </c>
      <c r="H674" s="55" t="s">
        <v>139</v>
      </c>
      <c r="I674" s="59">
        <v>13</v>
      </c>
      <c r="J674" s="60" t="s">
        <v>1093</v>
      </c>
      <c r="K674" s="63" t="str">
        <f t="shared" si="79"/>
        <v>XGF-HD2AInput</v>
      </c>
      <c r="L674" s="59">
        <f t="shared" si="76"/>
        <v>62</v>
      </c>
      <c r="M674" s="59">
        <f t="shared" si="77"/>
        <v>38</v>
      </c>
      <c r="N674" s="59">
        <f t="shared" si="78"/>
        <v>24</v>
      </c>
      <c r="O674" s="60">
        <f t="shared" si="75"/>
        <v>674</v>
      </c>
      <c r="P674" s="65"/>
    </row>
    <row r="675" spans="3:16">
      <c r="C675" s="83" t="s">
        <v>71</v>
      </c>
      <c r="D675" s="75"/>
      <c r="E675" s="75"/>
      <c r="F675" s="81" t="s">
        <v>151</v>
      </c>
      <c r="G675" s="55" t="s">
        <v>1186</v>
      </c>
      <c r="H675" s="55" t="s">
        <v>139</v>
      </c>
      <c r="I675" s="59">
        <v>14</v>
      </c>
      <c r="J675" s="60" t="s">
        <v>1095</v>
      </c>
      <c r="K675" s="63" t="str">
        <f t="shared" si="79"/>
        <v>XGF-HD2AInput</v>
      </c>
      <c r="L675" s="59">
        <f t="shared" si="76"/>
        <v>62</v>
      </c>
      <c r="M675" s="59">
        <f t="shared" si="77"/>
        <v>38</v>
      </c>
      <c r="N675" s="59">
        <f t="shared" si="78"/>
        <v>24</v>
      </c>
      <c r="O675" s="60">
        <f t="shared" si="75"/>
        <v>675</v>
      </c>
      <c r="P675" s="65"/>
    </row>
    <row r="676" spans="3:16">
      <c r="C676" s="83" t="s">
        <v>71</v>
      </c>
      <c r="D676" s="75"/>
      <c r="E676" s="75"/>
      <c r="F676" s="81" t="s">
        <v>151</v>
      </c>
      <c r="G676" s="55" t="s">
        <v>1187</v>
      </c>
      <c r="H676" s="55" t="s">
        <v>139</v>
      </c>
      <c r="I676" s="59">
        <v>15</v>
      </c>
      <c r="J676" s="60" t="s">
        <v>1097</v>
      </c>
      <c r="K676" s="63" t="str">
        <f t="shared" si="79"/>
        <v>XGF-HD2AInput</v>
      </c>
      <c r="L676" s="59">
        <f t="shared" si="76"/>
        <v>62</v>
      </c>
      <c r="M676" s="59">
        <f t="shared" si="77"/>
        <v>38</v>
      </c>
      <c r="N676" s="59">
        <f t="shared" si="78"/>
        <v>24</v>
      </c>
      <c r="O676" s="60">
        <f t="shared" si="75"/>
        <v>676</v>
      </c>
      <c r="P676" s="65"/>
    </row>
    <row r="677" spans="3:16">
      <c r="C677" s="83" t="s">
        <v>71</v>
      </c>
      <c r="D677" s="75"/>
      <c r="E677" s="75"/>
      <c r="F677" s="81" t="s">
        <v>151</v>
      </c>
      <c r="G677" s="55" t="s">
        <v>1188</v>
      </c>
      <c r="H677" s="55" t="s">
        <v>139</v>
      </c>
      <c r="I677" s="59">
        <v>16</v>
      </c>
      <c r="J677" s="60" t="s">
        <v>1099</v>
      </c>
      <c r="K677" s="63" t="str">
        <f t="shared" si="79"/>
        <v>XGF-HD2AInput</v>
      </c>
      <c r="L677" s="59">
        <f t="shared" si="76"/>
        <v>62</v>
      </c>
      <c r="M677" s="59">
        <f t="shared" si="77"/>
        <v>38</v>
      </c>
      <c r="N677" s="59">
        <f t="shared" si="78"/>
        <v>24</v>
      </c>
      <c r="O677" s="60">
        <f t="shared" si="75"/>
        <v>677</v>
      </c>
      <c r="P677" s="65"/>
    </row>
    <row r="678" spans="3:16">
      <c r="C678" s="83" t="s">
        <v>71</v>
      </c>
      <c r="D678" s="75"/>
      <c r="E678" s="75"/>
      <c r="F678" s="81" t="s">
        <v>151</v>
      </c>
      <c r="G678" s="55" t="s">
        <v>1189</v>
      </c>
      <c r="H678" s="55" t="s">
        <v>139</v>
      </c>
      <c r="I678" s="59">
        <v>17</v>
      </c>
      <c r="J678" s="60" t="s">
        <v>1101</v>
      </c>
      <c r="K678" s="63" t="str">
        <f t="shared" si="79"/>
        <v>XGF-HD2AInput</v>
      </c>
      <c r="L678" s="59">
        <f t="shared" si="76"/>
        <v>62</v>
      </c>
      <c r="M678" s="59">
        <f t="shared" si="77"/>
        <v>38</v>
      </c>
      <c r="N678" s="59">
        <f t="shared" si="78"/>
        <v>24</v>
      </c>
      <c r="O678" s="60">
        <f t="shared" si="75"/>
        <v>678</v>
      </c>
      <c r="P678" s="65"/>
    </row>
    <row r="679" spans="3:16">
      <c r="C679" s="83" t="s">
        <v>71</v>
      </c>
      <c r="D679" s="75"/>
      <c r="E679" s="75"/>
      <c r="F679" s="81" t="s">
        <v>151</v>
      </c>
      <c r="G679" s="55" t="s">
        <v>1190</v>
      </c>
      <c r="H679" s="55" t="s">
        <v>139</v>
      </c>
      <c r="I679" s="59">
        <v>18</v>
      </c>
      <c r="J679" s="60" t="s">
        <v>1103</v>
      </c>
      <c r="K679" s="63" t="str">
        <f t="shared" si="79"/>
        <v>XGF-HD2AInput</v>
      </c>
      <c r="L679" s="59">
        <f t="shared" si="76"/>
        <v>62</v>
      </c>
      <c r="M679" s="59">
        <f t="shared" si="77"/>
        <v>38</v>
      </c>
      <c r="N679" s="59">
        <f t="shared" si="78"/>
        <v>24</v>
      </c>
      <c r="O679" s="60">
        <f t="shared" si="75"/>
        <v>679</v>
      </c>
      <c r="P679" s="65"/>
    </row>
    <row r="680" spans="3:16">
      <c r="C680" s="83" t="s">
        <v>71</v>
      </c>
      <c r="D680" s="75"/>
      <c r="E680" s="75"/>
      <c r="F680" s="81" t="s">
        <v>151</v>
      </c>
      <c r="G680" s="55" t="s">
        <v>1191</v>
      </c>
      <c r="H680" s="55" t="s">
        <v>139</v>
      </c>
      <c r="I680" s="59">
        <v>19</v>
      </c>
      <c r="J680" s="60" t="s">
        <v>1105</v>
      </c>
      <c r="K680" s="63" t="str">
        <f t="shared" si="79"/>
        <v>XGF-HD2AInput</v>
      </c>
      <c r="L680" s="59">
        <f t="shared" si="76"/>
        <v>62</v>
      </c>
      <c r="M680" s="59">
        <f t="shared" si="77"/>
        <v>38</v>
      </c>
      <c r="N680" s="59">
        <f t="shared" si="78"/>
        <v>24</v>
      </c>
      <c r="O680" s="60">
        <f t="shared" si="75"/>
        <v>680</v>
      </c>
      <c r="P680" s="65"/>
    </row>
    <row r="681" spans="3:16">
      <c r="C681" s="83" t="s">
        <v>71</v>
      </c>
      <c r="D681" s="75"/>
      <c r="E681" s="75"/>
      <c r="F681" s="81" t="s">
        <v>151</v>
      </c>
      <c r="G681" s="55" t="s">
        <v>1192</v>
      </c>
      <c r="H681" s="55" t="s">
        <v>139</v>
      </c>
      <c r="I681" s="59">
        <v>20</v>
      </c>
      <c r="J681" s="60" t="s">
        <v>1107</v>
      </c>
      <c r="K681" s="63" t="str">
        <f t="shared" si="79"/>
        <v>XGF-HD2AInput</v>
      </c>
      <c r="L681" s="59">
        <f t="shared" si="76"/>
        <v>62</v>
      </c>
      <c r="M681" s="59">
        <f t="shared" si="77"/>
        <v>38</v>
      </c>
      <c r="N681" s="59">
        <f t="shared" si="78"/>
        <v>24</v>
      </c>
      <c r="O681" s="60">
        <f t="shared" si="75"/>
        <v>681</v>
      </c>
      <c r="P681" s="65"/>
    </row>
    <row r="682" spans="3:16">
      <c r="C682" s="83" t="s">
        <v>71</v>
      </c>
      <c r="D682" s="75"/>
      <c r="E682" s="75"/>
      <c r="F682" s="81" t="s">
        <v>151</v>
      </c>
      <c r="G682" s="55" t="s">
        <v>1193</v>
      </c>
      <c r="H682" s="55" t="s">
        <v>139</v>
      </c>
      <c r="I682" s="59">
        <v>21</v>
      </c>
      <c r="J682" s="60" t="s">
        <v>1109</v>
      </c>
      <c r="K682" s="63" t="str">
        <f t="shared" si="79"/>
        <v>XGF-HD2AInput</v>
      </c>
      <c r="L682" s="59">
        <f t="shared" si="76"/>
        <v>62</v>
      </c>
      <c r="M682" s="59">
        <f t="shared" si="77"/>
        <v>38</v>
      </c>
      <c r="N682" s="59">
        <f t="shared" si="78"/>
        <v>24</v>
      </c>
      <c r="O682" s="60">
        <f t="shared" si="75"/>
        <v>682</v>
      </c>
      <c r="P682" s="65"/>
    </row>
    <row r="683" spans="3:16">
      <c r="C683" s="83" t="s">
        <v>71</v>
      </c>
      <c r="D683" s="75"/>
      <c r="E683" s="75"/>
      <c r="F683" s="81" t="s">
        <v>151</v>
      </c>
      <c r="G683" s="62" t="s">
        <v>6</v>
      </c>
      <c r="H683" s="55" t="s">
        <v>139</v>
      </c>
      <c r="I683" s="59">
        <v>22</v>
      </c>
      <c r="J683" s="60" t="s">
        <v>140</v>
      </c>
      <c r="K683" s="63" t="str">
        <f t="shared" si="79"/>
        <v>XGF-HD2AInput</v>
      </c>
      <c r="L683" s="59">
        <f t="shared" si="76"/>
        <v>62</v>
      </c>
      <c r="M683" s="59">
        <f t="shared" si="77"/>
        <v>38</v>
      </c>
      <c r="N683" s="59">
        <f t="shared" si="78"/>
        <v>24</v>
      </c>
      <c r="O683" s="60">
        <f t="shared" si="75"/>
        <v>683</v>
      </c>
      <c r="P683" s="65"/>
    </row>
    <row r="684" spans="3:16">
      <c r="C684" s="83" t="s">
        <v>71</v>
      </c>
      <c r="D684" s="75"/>
      <c r="E684" s="75"/>
      <c r="F684" s="81" t="s">
        <v>166</v>
      </c>
      <c r="G684" s="55" t="s">
        <v>1194</v>
      </c>
      <c r="H684" s="55" t="s">
        <v>124</v>
      </c>
      <c r="I684" s="59">
        <v>0</v>
      </c>
      <c r="J684" s="60" t="s">
        <v>1111</v>
      </c>
      <c r="K684" s="63"/>
      <c r="L684" s="59"/>
      <c r="M684" s="59"/>
      <c r="N684" s="59"/>
      <c r="O684" s="60">
        <f t="shared" si="75"/>
        <v>684</v>
      </c>
      <c r="P684" s="65"/>
    </row>
    <row r="685" spans="3:16">
      <c r="C685" s="83" t="s">
        <v>71</v>
      </c>
      <c r="D685" s="75"/>
      <c r="E685" s="75"/>
      <c r="F685" s="81" t="s">
        <v>166</v>
      </c>
      <c r="G685" s="55" t="s">
        <v>1195</v>
      </c>
      <c r="H685" s="55" t="s">
        <v>124</v>
      </c>
      <c r="I685" s="59">
        <v>0.1</v>
      </c>
      <c r="J685" s="60" t="s">
        <v>1113</v>
      </c>
      <c r="K685" s="63"/>
      <c r="L685" s="59"/>
      <c r="M685" s="59"/>
      <c r="N685" s="59"/>
      <c r="O685" s="60">
        <f t="shared" si="75"/>
        <v>685</v>
      </c>
      <c r="P685" s="65"/>
    </row>
    <row r="686" spans="3:16">
      <c r="C686" s="83" t="s">
        <v>71</v>
      </c>
      <c r="D686" s="75"/>
      <c r="E686" s="75"/>
      <c r="F686" s="81" t="s">
        <v>166</v>
      </c>
      <c r="G686" s="55" t="s">
        <v>1196</v>
      </c>
      <c r="H686" s="55" t="s">
        <v>124</v>
      </c>
      <c r="I686" s="59">
        <v>0.2</v>
      </c>
      <c r="J686" s="60" t="s">
        <v>1115</v>
      </c>
      <c r="K686" s="63"/>
      <c r="L686" s="59"/>
      <c r="M686" s="59"/>
      <c r="N686" s="59"/>
      <c r="O686" s="60">
        <f t="shared" si="75"/>
        <v>686</v>
      </c>
      <c r="P686" s="65"/>
    </row>
    <row r="687" spans="3:16">
      <c r="C687" s="83" t="s">
        <v>71</v>
      </c>
      <c r="D687" s="75"/>
      <c r="E687" s="75"/>
      <c r="F687" s="81" t="s">
        <v>166</v>
      </c>
      <c r="G687" s="72" t="s">
        <v>3499</v>
      </c>
      <c r="H687" s="55" t="s">
        <v>124</v>
      </c>
      <c r="I687" s="59">
        <v>0.3</v>
      </c>
      <c r="J687" s="60" t="s">
        <v>1116</v>
      </c>
      <c r="K687" s="63"/>
      <c r="L687" s="59"/>
      <c r="M687" s="59"/>
      <c r="N687" s="59"/>
      <c r="O687" s="60">
        <f t="shared" si="75"/>
        <v>687</v>
      </c>
      <c r="P687" s="65"/>
    </row>
    <row r="688" spans="3:16">
      <c r="C688" s="83" t="s">
        <v>71</v>
      </c>
      <c r="D688" s="75"/>
      <c r="E688" s="75"/>
      <c r="F688" s="81" t="s">
        <v>166</v>
      </c>
      <c r="G688" s="55" t="s">
        <v>1197</v>
      </c>
      <c r="H688" s="55" t="s">
        <v>124</v>
      </c>
      <c r="I688" s="59">
        <v>0.4</v>
      </c>
      <c r="J688" s="60" t="s">
        <v>1118</v>
      </c>
      <c r="K688" s="63"/>
      <c r="L688" s="59"/>
      <c r="M688" s="59"/>
      <c r="N688" s="59"/>
      <c r="O688" s="60">
        <f t="shared" si="75"/>
        <v>688</v>
      </c>
      <c r="P688" s="65"/>
    </row>
    <row r="689" spans="3:16">
      <c r="C689" s="83" t="s">
        <v>71</v>
      </c>
      <c r="D689" s="75"/>
      <c r="E689" s="75"/>
      <c r="F689" s="81" t="s">
        <v>166</v>
      </c>
      <c r="G689" s="55" t="s">
        <v>1198</v>
      </c>
      <c r="H689" s="55" t="s">
        <v>124</v>
      </c>
      <c r="I689" s="59">
        <v>0.5</v>
      </c>
      <c r="J689" s="60" t="s">
        <v>1120</v>
      </c>
      <c r="K689" s="63"/>
      <c r="L689" s="59"/>
      <c r="M689" s="59"/>
      <c r="N689" s="59"/>
      <c r="O689" s="60">
        <f t="shared" si="75"/>
        <v>689</v>
      </c>
      <c r="P689" s="65"/>
    </row>
    <row r="690" spans="3:16">
      <c r="C690" s="83" t="s">
        <v>71</v>
      </c>
      <c r="D690" s="75"/>
      <c r="E690" s="75"/>
      <c r="F690" s="81" t="s">
        <v>166</v>
      </c>
      <c r="G690" s="55" t="s">
        <v>1199</v>
      </c>
      <c r="H690" s="55" t="s">
        <v>124</v>
      </c>
      <c r="I690" s="59">
        <v>0.6</v>
      </c>
      <c r="J690" s="60" t="s">
        <v>1122</v>
      </c>
      <c r="K690" s="63"/>
      <c r="L690" s="59"/>
      <c r="M690" s="59"/>
      <c r="N690" s="59"/>
      <c r="O690" s="60">
        <f t="shared" si="75"/>
        <v>690</v>
      </c>
      <c r="P690" s="65"/>
    </row>
    <row r="691" spans="3:16">
      <c r="C691" s="83" t="s">
        <v>71</v>
      </c>
      <c r="D691" s="75"/>
      <c r="E691" s="75"/>
      <c r="F691" s="81" t="s">
        <v>166</v>
      </c>
      <c r="G691" s="55" t="s">
        <v>1200</v>
      </c>
      <c r="H691" s="55" t="s">
        <v>124</v>
      </c>
      <c r="I691" s="59">
        <v>0.7</v>
      </c>
      <c r="J691" s="60" t="s">
        <v>1124</v>
      </c>
      <c r="K691" s="63"/>
      <c r="L691" s="59"/>
      <c r="M691" s="59"/>
      <c r="N691" s="59"/>
      <c r="O691" s="60">
        <f t="shared" si="75"/>
        <v>691</v>
      </c>
      <c r="P691" s="65"/>
    </row>
    <row r="692" spans="3:16">
      <c r="C692" s="83" t="s">
        <v>71</v>
      </c>
      <c r="D692" s="75"/>
      <c r="E692" s="75"/>
      <c r="F692" s="81" t="s">
        <v>166</v>
      </c>
      <c r="G692" s="55" t="s">
        <v>1201</v>
      </c>
      <c r="H692" s="55" t="s">
        <v>124</v>
      </c>
      <c r="I692" s="59" t="s">
        <v>988</v>
      </c>
      <c r="J692" s="60" t="s">
        <v>1126</v>
      </c>
      <c r="K692" s="63"/>
      <c r="L692" s="59"/>
      <c r="M692" s="59"/>
      <c r="N692" s="59"/>
      <c r="O692" s="60">
        <f t="shared" si="75"/>
        <v>692</v>
      </c>
      <c r="P692" s="65"/>
    </row>
    <row r="693" spans="3:16">
      <c r="C693" s="83" t="s">
        <v>71</v>
      </c>
      <c r="D693" s="75"/>
      <c r="E693" s="75"/>
      <c r="F693" s="81" t="s">
        <v>166</v>
      </c>
      <c r="G693" s="55" t="s">
        <v>1202</v>
      </c>
      <c r="H693" s="55" t="s">
        <v>124</v>
      </c>
      <c r="I693" s="59" t="s">
        <v>991</v>
      </c>
      <c r="J693" s="60" t="s">
        <v>1128</v>
      </c>
      <c r="K693" s="63"/>
      <c r="L693" s="59"/>
      <c r="M693" s="59"/>
      <c r="N693" s="59"/>
      <c r="O693" s="60">
        <f t="shared" si="75"/>
        <v>693</v>
      </c>
      <c r="P693" s="65"/>
    </row>
    <row r="694" spans="3:16">
      <c r="C694" s="83" t="s">
        <v>71</v>
      </c>
      <c r="D694" s="75"/>
      <c r="E694" s="75"/>
      <c r="F694" s="81" t="s">
        <v>166</v>
      </c>
      <c r="G694" s="55" t="s">
        <v>1203</v>
      </c>
      <c r="H694" s="55" t="s">
        <v>124</v>
      </c>
      <c r="I694" s="59" t="s">
        <v>1130</v>
      </c>
      <c r="J694" s="60" t="s">
        <v>1131</v>
      </c>
      <c r="K694" s="63"/>
      <c r="L694" s="59"/>
      <c r="M694" s="59"/>
      <c r="N694" s="59"/>
      <c r="O694" s="60">
        <f t="shared" si="75"/>
        <v>694</v>
      </c>
      <c r="P694" s="65"/>
    </row>
    <row r="695" spans="3:16">
      <c r="C695" s="83" t="s">
        <v>71</v>
      </c>
      <c r="D695" s="75"/>
      <c r="E695" s="75"/>
      <c r="F695" s="81" t="s">
        <v>166</v>
      </c>
      <c r="G695" s="55" t="s">
        <v>1204</v>
      </c>
      <c r="H695" s="55" t="s">
        <v>124</v>
      </c>
      <c r="I695" s="59" t="s">
        <v>1133</v>
      </c>
      <c r="J695" s="60" t="s">
        <v>1134</v>
      </c>
      <c r="K695" s="63"/>
      <c r="L695" s="59"/>
      <c r="M695" s="59"/>
      <c r="N695" s="59"/>
      <c r="O695" s="60">
        <f t="shared" si="75"/>
        <v>695</v>
      </c>
      <c r="P695" s="65"/>
    </row>
    <row r="696" spans="3:16">
      <c r="C696" s="83" t="s">
        <v>71</v>
      </c>
      <c r="D696" s="75"/>
      <c r="E696" s="75"/>
      <c r="F696" s="81" t="s">
        <v>166</v>
      </c>
      <c r="G696" s="55" t="s">
        <v>1205</v>
      </c>
      <c r="H696" s="55" t="s">
        <v>124</v>
      </c>
      <c r="I696" s="59">
        <v>1</v>
      </c>
      <c r="J696" s="60" t="s">
        <v>1136</v>
      </c>
      <c r="K696" s="63"/>
      <c r="L696" s="59"/>
      <c r="M696" s="59"/>
      <c r="N696" s="59"/>
      <c r="O696" s="60">
        <f t="shared" si="75"/>
        <v>696</v>
      </c>
      <c r="P696" s="65"/>
    </row>
    <row r="697" spans="3:16">
      <c r="C697" s="83" t="s">
        <v>71</v>
      </c>
      <c r="D697" s="75"/>
      <c r="E697" s="75"/>
      <c r="F697" s="81" t="s">
        <v>166</v>
      </c>
      <c r="G697" s="55" t="s">
        <v>1206</v>
      </c>
      <c r="H697" s="55" t="s">
        <v>124</v>
      </c>
      <c r="I697" s="59">
        <v>1.1000000000000001</v>
      </c>
      <c r="J697" s="60" t="s">
        <v>1138</v>
      </c>
      <c r="K697" s="63"/>
      <c r="L697" s="59"/>
      <c r="M697" s="59"/>
      <c r="N697" s="59"/>
      <c r="O697" s="60">
        <f t="shared" si="75"/>
        <v>697</v>
      </c>
      <c r="P697" s="65"/>
    </row>
    <row r="698" spans="3:16">
      <c r="C698" s="83" t="s">
        <v>71</v>
      </c>
      <c r="D698" s="75"/>
      <c r="E698" s="75"/>
      <c r="F698" s="81" t="s">
        <v>166</v>
      </c>
      <c r="G698" s="55" t="s">
        <v>1207</v>
      </c>
      <c r="H698" s="55" t="s">
        <v>124</v>
      </c>
      <c r="I698" s="59">
        <v>1.2</v>
      </c>
      <c r="J698" s="60" t="s">
        <v>1140</v>
      </c>
      <c r="K698" s="63"/>
      <c r="L698" s="59"/>
      <c r="M698" s="59"/>
      <c r="N698" s="59"/>
      <c r="O698" s="60">
        <f t="shared" si="75"/>
        <v>698</v>
      </c>
      <c r="P698" s="65"/>
    </row>
    <row r="699" spans="3:16">
      <c r="C699" s="83" t="s">
        <v>71</v>
      </c>
      <c r="D699" s="75"/>
      <c r="E699" s="75"/>
      <c r="F699" s="81" t="s">
        <v>166</v>
      </c>
      <c r="G699" s="72" t="s">
        <v>3500</v>
      </c>
      <c r="H699" s="55" t="s">
        <v>124</v>
      </c>
      <c r="I699" s="59">
        <v>1.3</v>
      </c>
      <c r="J699" s="60" t="s">
        <v>1141</v>
      </c>
      <c r="K699" s="63"/>
      <c r="L699" s="59"/>
      <c r="M699" s="59"/>
      <c r="N699" s="59"/>
      <c r="O699" s="60">
        <f t="shared" si="75"/>
        <v>699</v>
      </c>
      <c r="P699" s="65"/>
    </row>
    <row r="700" spans="3:16">
      <c r="C700" s="83" t="s">
        <v>71</v>
      </c>
      <c r="D700" s="75"/>
      <c r="E700" s="75"/>
      <c r="F700" s="81" t="s">
        <v>166</v>
      </c>
      <c r="G700" s="55" t="s">
        <v>1208</v>
      </c>
      <c r="H700" s="55" t="s">
        <v>124</v>
      </c>
      <c r="I700" s="59">
        <v>1.4</v>
      </c>
      <c r="J700" s="60" t="s">
        <v>1143</v>
      </c>
      <c r="K700" s="63"/>
      <c r="L700" s="59"/>
      <c r="M700" s="59"/>
      <c r="N700" s="59"/>
      <c r="O700" s="60">
        <f t="shared" si="75"/>
        <v>700</v>
      </c>
      <c r="P700" s="65"/>
    </row>
    <row r="701" spans="3:16">
      <c r="C701" s="83" t="s">
        <v>71</v>
      </c>
      <c r="D701" s="75"/>
      <c r="E701" s="75"/>
      <c r="F701" s="81" t="s">
        <v>166</v>
      </c>
      <c r="G701" s="55" t="s">
        <v>1209</v>
      </c>
      <c r="H701" s="55" t="s">
        <v>124</v>
      </c>
      <c r="I701" s="59">
        <v>1.5</v>
      </c>
      <c r="J701" s="60" t="s">
        <v>1145</v>
      </c>
      <c r="K701" s="63"/>
      <c r="L701" s="59"/>
      <c r="M701" s="59"/>
      <c r="N701" s="59"/>
      <c r="O701" s="60">
        <f t="shared" si="75"/>
        <v>701</v>
      </c>
      <c r="P701" s="65"/>
    </row>
    <row r="702" spans="3:16">
      <c r="C702" s="83" t="s">
        <v>71</v>
      </c>
      <c r="D702" s="75"/>
      <c r="E702" s="75"/>
      <c r="F702" s="81" t="s">
        <v>166</v>
      </c>
      <c r="G702" s="55" t="s">
        <v>1210</v>
      </c>
      <c r="H702" s="55" t="s">
        <v>124</v>
      </c>
      <c r="I702" s="59">
        <v>1.6</v>
      </c>
      <c r="J702" s="60" t="s">
        <v>1122</v>
      </c>
      <c r="K702" s="63"/>
      <c r="L702" s="59"/>
      <c r="M702" s="59"/>
      <c r="N702" s="59"/>
      <c r="O702" s="60">
        <f t="shared" si="75"/>
        <v>702</v>
      </c>
      <c r="P702" s="65"/>
    </row>
    <row r="703" spans="3:16">
      <c r="C703" s="83" t="s">
        <v>71</v>
      </c>
      <c r="D703" s="75"/>
      <c r="E703" s="75"/>
      <c r="F703" s="81" t="s">
        <v>166</v>
      </c>
      <c r="G703" s="55" t="s">
        <v>1211</v>
      </c>
      <c r="H703" s="55" t="s">
        <v>124</v>
      </c>
      <c r="I703" s="59">
        <v>1.7</v>
      </c>
      <c r="J703" s="60" t="s">
        <v>1148</v>
      </c>
      <c r="K703" s="63"/>
      <c r="L703" s="59"/>
      <c r="M703" s="59"/>
      <c r="N703" s="59"/>
      <c r="O703" s="60">
        <f t="shared" si="75"/>
        <v>703</v>
      </c>
      <c r="P703" s="65"/>
    </row>
    <row r="704" spans="3:16">
      <c r="C704" s="83" t="s">
        <v>71</v>
      </c>
      <c r="D704" s="75"/>
      <c r="E704" s="75"/>
      <c r="F704" s="81" t="s">
        <v>166</v>
      </c>
      <c r="G704" s="55" t="s">
        <v>1212</v>
      </c>
      <c r="H704" s="55" t="s">
        <v>124</v>
      </c>
      <c r="I704" s="59" t="s">
        <v>136</v>
      </c>
      <c r="J704" s="60" t="s">
        <v>1150</v>
      </c>
      <c r="K704" s="63"/>
      <c r="L704" s="59"/>
      <c r="M704" s="59"/>
      <c r="N704" s="59"/>
      <c r="O704" s="60">
        <f t="shared" si="75"/>
        <v>704</v>
      </c>
      <c r="P704" s="65"/>
    </row>
    <row r="705" spans="3:22">
      <c r="C705" s="83" t="s">
        <v>71</v>
      </c>
      <c r="D705" s="75"/>
      <c r="E705" s="75"/>
      <c r="F705" s="81" t="s">
        <v>166</v>
      </c>
      <c r="G705" s="55" t="s">
        <v>1213</v>
      </c>
      <c r="H705" s="55" t="s">
        <v>124</v>
      </c>
      <c r="I705" s="59" t="s">
        <v>138</v>
      </c>
      <c r="J705" s="60" t="s">
        <v>1152</v>
      </c>
      <c r="K705" s="63"/>
      <c r="L705" s="59"/>
      <c r="M705" s="59"/>
      <c r="N705" s="59"/>
      <c r="O705" s="60">
        <f t="shared" si="75"/>
        <v>705</v>
      </c>
      <c r="P705" s="65"/>
    </row>
    <row r="706" spans="3:22">
      <c r="C706" s="83" t="s">
        <v>71</v>
      </c>
      <c r="D706" s="75"/>
      <c r="E706" s="75"/>
      <c r="F706" s="81" t="s">
        <v>166</v>
      </c>
      <c r="G706" s="55" t="s">
        <v>1214</v>
      </c>
      <c r="H706" s="55" t="s">
        <v>124</v>
      </c>
      <c r="I706" s="59" t="s">
        <v>201</v>
      </c>
      <c r="J706" s="60" t="s">
        <v>1154</v>
      </c>
      <c r="K706" s="63"/>
      <c r="L706" s="59"/>
      <c r="M706" s="59"/>
      <c r="N706" s="59"/>
      <c r="O706" s="60">
        <f t="shared" ref="O706:O769" si="80">ROW(C706)</f>
        <v>706</v>
      </c>
      <c r="P706" s="65"/>
    </row>
    <row r="707" spans="3:22">
      <c r="C707" s="83" t="s">
        <v>71</v>
      </c>
      <c r="D707" s="75"/>
      <c r="E707" s="75"/>
      <c r="F707" s="81" t="s">
        <v>166</v>
      </c>
      <c r="G707" s="55" t="s">
        <v>1215</v>
      </c>
      <c r="H707" s="55" t="s">
        <v>124</v>
      </c>
      <c r="I707" s="59" t="s">
        <v>204</v>
      </c>
      <c r="J707" s="60" t="s">
        <v>1156</v>
      </c>
      <c r="K707" s="63"/>
      <c r="L707" s="59"/>
      <c r="M707" s="59"/>
      <c r="N707" s="59"/>
      <c r="O707" s="60">
        <f t="shared" si="80"/>
        <v>707</v>
      </c>
      <c r="P707" s="65"/>
    </row>
    <row r="708" spans="3:22">
      <c r="C708" s="83" t="s">
        <v>72</v>
      </c>
      <c r="D708" s="75">
        <v>42</v>
      </c>
      <c r="E708" s="75">
        <v>8</v>
      </c>
      <c r="F708" s="81" t="s">
        <v>151</v>
      </c>
      <c r="G708" s="55" t="s">
        <v>1216</v>
      </c>
      <c r="H708" s="55" t="s">
        <v>124</v>
      </c>
      <c r="I708" s="59">
        <v>0</v>
      </c>
      <c r="J708" s="60" t="s">
        <v>1036</v>
      </c>
      <c r="K708" s="63" t="str">
        <f t="shared" si="79"/>
        <v>XGF-HO8AInput</v>
      </c>
      <c r="L708" s="59">
        <f t="shared" ref="L708:L739" si="81">COUNTIF($C$2:$C$2062,C708)</f>
        <v>130</v>
      </c>
      <c r="M708" s="59">
        <f t="shared" ref="M708:M739" si="82">COUNTIF($K$2:$K$2062,K708)</f>
        <v>66</v>
      </c>
      <c r="N708" s="59">
        <f t="shared" ref="N708:N770" si="83">L708-M708</f>
        <v>64</v>
      </c>
      <c r="O708" s="60">
        <f t="shared" si="80"/>
        <v>708</v>
      </c>
      <c r="P708" s="65" t="s">
        <v>3214</v>
      </c>
      <c r="Q708">
        <f>O708</f>
        <v>708</v>
      </c>
      <c r="R708" t="s">
        <v>3215</v>
      </c>
      <c r="S708">
        <v>838</v>
      </c>
      <c r="T708" t="str">
        <f>P708&amp;Q708&amp;R708&amp;S708</f>
        <v>All data map'!$F$708:$J$838</v>
      </c>
      <c r="V708" t="s">
        <v>3253</v>
      </c>
    </row>
    <row r="709" spans="3:22">
      <c r="C709" s="83" t="s">
        <v>72</v>
      </c>
      <c r="D709" s="75"/>
      <c r="E709" s="75"/>
      <c r="F709" s="81" t="s">
        <v>151</v>
      </c>
      <c r="G709" s="55" t="s">
        <v>1217</v>
      </c>
      <c r="H709" s="55" t="s">
        <v>124</v>
      </c>
      <c r="I709" s="59">
        <v>0.1</v>
      </c>
      <c r="J709" s="60" t="s">
        <v>1044</v>
      </c>
      <c r="K709" s="63" t="str">
        <f t="shared" si="79"/>
        <v>XGF-HO8AInput</v>
      </c>
      <c r="L709" s="59">
        <f t="shared" si="81"/>
        <v>130</v>
      </c>
      <c r="M709" s="59">
        <f t="shared" si="82"/>
        <v>66</v>
      </c>
      <c r="N709" s="59">
        <f t="shared" si="83"/>
        <v>64</v>
      </c>
      <c r="O709" s="60">
        <f t="shared" si="80"/>
        <v>709</v>
      </c>
      <c r="P709" s="65"/>
    </row>
    <row r="710" spans="3:22">
      <c r="C710" s="83" t="s">
        <v>72</v>
      </c>
      <c r="D710" s="75"/>
      <c r="E710" s="75"/>
      <c r="F710" s="81" t="s">
        <v>151</v>
      </c>
      <c r="G710" s="55" t="s">
        <v>1218</v>
      </c>
      <c r="H710" s="55" t="s">
        <v>124</v>
      </c>
      <c r="I710" s="59">
        <v>0.2</v>
      </c>
      <c r="J710" s="60" t="s">
        <v>1040</v>
      </c>
      <c r="K710" s="63" t="str">
        <f t="shared" si="79"/>
        <v>XGF-HO8AInput</v>
      </c>
      <c r="L710" s="59">
        <f t="shared" si="81"/>
        <v>130</v>
      </c>
      <c r="M710" s="59">
        <f t="shared" si="82"/>
        <v>66</v>
      </c>
      <c r="N710" s="59">
        <f t="shared" si="83"/>
        <v>64</v>
      </c>
      <c r="O710" s="60">
        <f t="shared" si="80"/>
        <v>710</v>
      </c>
      <c r="P710" s="65"/>
    </row>
    <row r="711" spans="3:22">
      <c r="C711" s="83" t="s">
        <v>72</v>
      </c>
      <c r="D711" s="75"/>
      <c r="E711" s="75"/>
      <c r="F711" s="81" t="s">
        <v>151</v>
      </c>
      <c r="G711" s="55" t="s">
        <v>1219</v>
      </c>
      <c r="H711" s="55" t="s">
        <v>124</v>
      </c>
      <c r="I711" s="59">
        <v>0.3</v>
      </c>
      <c r="J711" s="60" t="s">
        <v>1042</v>
      </c>
      <c r="K711" s="63" t="str">
        <f t="shared" si="79"/>
        <v>XGF-HO8AInput</v>
      </c>
      <c r="L711" s="59">
        <f t="shared" si="81"/>
        <v>130</v>
      </c>
      <c r="M711" s="59">
        <f t="shared" si="82"/>
        <v>66</v>
      </c>
      <c r="N711" s="59">
        <f t="shared" si="83"/>
        <v>64</v>
      </c>
      <c r="O711" s="60">
        <f t="shared" si="80"/>
        <v>711</v>
      </c>
      <c r="P711" s="65"/>
    </row>
    <row r="712" spans="3:22">
      <c r="C712" s="83" t="s">
        <v>72</v>
      </c>
      <c r="D712" s="75"/>
      <c r="E712" s="75"/>
      <c r="F712" s="81" t="s">
        <v>151</v>
      </c>
      <c r="G712" s="55" t="s">
        <v>1220</v>
      </c>
      <c r="H712" s="55" t="s">
        <v>124</v>
      </c>
      <c r="I712" s="59">
        <v>0.4</v>
      </c>
      <c r="J712" s="60" t="s">
        <v>1221</v>
      </c>
      <c r="K712" s="63" t="str">
        <f t="shared" si="79"/>
        <v>XGF-HO8AInput</v>
      </c>
      <c r="L712" s="59">
        <f t="shared" si="81"/>
        <v>130</v>
      </c>
      <c r="M712" s="59">
        <f t="shared" si="82"/>
        <v>66</v>
      </c>
      <c r="N712" s="59">
        <f t="shared" si="83"/>
        <v>64</v>
      </c>
      <c r="O712" s="60">
        <f t="shared" si="80"/>
        <v>712</v>
      </c>
      <c r="P712" s="65"/>
    </row>
    <row r="713" spans="3:22">
      <c r="C713" s="83" t="s">
        <v>72</v>
      </c>
      <c r="D713" s="75"/>
      <c r="E713" s="75"/>
      <c r="F713" s="81" t="s">
        <v>151</v>
      </c>
      <c r="G713" s="55" t="s">
        <v>1222</v>
      </c>
      <c r="H713" s="55" t="s">
        <v>124</v>
      </c>
      <c r="I713" s="59">
        <v>0.6</v>
      </c>
      <c r="J713" s="60" t="s">
        <v>1051</v>
      </c>
      <c r="K713" s="63" t="str">
        <f t="shared" si="79"/>
        <v>XGF-HO8AInput</v>
      </c>
      <c r="L713" s="59">
        <f t="shared" si="81"/>
        <v>130</v>
      </c>
      <c r="M713" s="59">
        <f t="shared" si="82"/>
        <v>66</v>
      </c>
      <c r="N713" s="59">
        <f t="shared" si="83"/>
        <v>64</v>
      </c>
      <c r="O713" s="60">
        <f t="shared" si="80"/>
        <v>713</v>
      </c>
      <c r="P713" s="65"/>
    </row>
    <row r="714" spans="3:22">
      <c r="C714" s="83" t="s">
        <v>72</v>
      </c>
      <c r="D714" s="75"/>
      <c r="E714" s="75"/>
      <c r="F714" s="81" t="s">
        <v>151</v>
      </c>
      <c r="G714" s="55" t="s">
        <v>1223</v>
      </c>
      <c r="H714" s="55" t="s">
        <v>124</v>
      </c>
      <c r="I714" s="59">
        <v>0.8</v>
      </c>
      <c r="J714" s="60" t="s">
        <v>1055</v>
      </c>
      <c r="K714" s="63" t="str">
        <f t="shared" si="79"/>
        <v>XGF-HO8AInput</v>
      </c>
      <c r="L714" s="59">
        <f t="shared" si="81"/>
        <v>130</v>
      </c>
      <c r="M714" s="59">
        <f t="shared" si="82"/>
        <v>66</v>
      </c>
      <c r="N714" s="59">
        <f t="shared" si="83"/>
        <v>64</v>
      </c>
      <c r="O714" s="60">
        <f t="shared" si="80"/>
        <v>714</v>
      </c>
      <c r="P714" s="65"/>
    </row>
    <row r="715" spans="3:22">
      <c r="C715" s="83" t="s">
        <v>72</v>
      </c>
      <c r="D715" s="75"/>
      <c r="E715" s="75"/>
      <c r="F715" s="81" t="s">
        <v>151</v>
      </c>
      <c r="G715" s="55" t="s">
        <v>1224</v>
      </c>
      <c r="H715" s="55" t="s">
        <v>124</v>
      </c>
      <c r="I715" s="59">
        <v>0.9</v>
      </c>
      <c r="J715" s="60" t="s">
        <v>1063</v>
      </c>
      <c r="K715" s="63" t="str">
        <f t="shared" si="79"/>
        <v>XGF-HO8AInput</v>
      </c>
      <c r="L715" s="59">
        <f t="shared" si="81"/>
        <v>130</v>
      </c>
      <c r="M715" s="59">
        <f t="shared" si="82"/>
        <v>66</v>
      </c>
      <c r="N715" s="59">
        <f t="shared" si="83"/>
        <v>64</v>
      </c>
      <c r="O715" s="60">
        <f t="shared" si="80"/>
        <v>715</v>
      </c>
      <c r="P715" s="65"/>
    </row>
    <row r="716" spans="3:22">
      <c r="C716" s="83" t="s">
        <v>72</v>
      </c>
      <c r="D716" s="75"/>
      <c r="E716" s="75"/>
      <c r="F716" s="81" t="s">
        <v>151</v>
      </c>
      <c r="G716" s="55" t="s">
        <v>1225</v>
      </c>
      <c r="H716" s="55" t="s">
        <v>124</v>
      </c>
      <c r="I716" s="59" t="s">
        <v>988</v>
      </c>
      <c r="J716" s="60" t="s">
        <v>1059</v>
      </c>
      <c r="K716" s="63" t="str">
        <f t="shared" si="79"/>
        <v>XGF-HO8AInput</v>
      </c>
      <c r="L716" s="59">
        <f t="shared" si="81"/>
        <v>130</v>
      </c>
      <c r="M716" s="59">
        <f t="shared" si="82"/>
        <v>66</v>
      </c>
      <c r="N716" s="59">
        <f t="shared" si="83"/>
        <v>64</v>
      </c>
      <c r="O716" s="60">
        <f t="shared" si="80"/>
        <v>716</v>
      </c>
      <c r="P716" s="65"/>
    </row>
    <row r="717" spans="3:22">
      <c r="C717" s="83" t="s">
        <v>72</v>
      </c>
      <c r="D717" s="75"/>
      <c r="E717" s="75"/>
      <c r="F717" s="81" t="s">
        <v>151</v>
      </c>
      <c r="G717" s="55" t="s">
        <v>1226</v>
      </c>
      <c r="H717" s="55" t="s">
        <v>124</v>
      </c>
      <c r="I717" s="59" t="s">
        <v>991</v>
      </c>
      <c r="J717" s="60" t="s">
        <v>1061</v>
      </c>
      <c r="K717" s="63" t="str">
        <f t="shared" si="79"/>
        <v>XGF-HO8AInput</v>
      </c>
      <c r="L717" s="59">
        <f t="shared" si="81"/>
        <v>130</v>
      </c>
      <c r="M717" s="59">
        <f t="shared" si="82"/>
        <v>66</v>
      </c>
      <c r="N717" s="59">
        <f t="shared" si="83"/>
        <v>64</v>
      </c>
      <c r="O717" s="60">
        <f t="shared" si="80"/>
        <v>717</v>
      </c>
      <c r="P717" s="65"/>
    </row>
    <row r="718" spans="3:22">
      <c r="C718" s="83" t="s">
        <v>72</v>
      </c>
      <c r="D718" s="75"/>
      <c r="E718" s="75"/>
      <c r="F718" s="81" t="s">
        <v>151</v>
      </c>
      <c r="G718" s="55" t="s">
        <v>1227</v>
      </c>
      <c r="H718" s="55" t="s">
        <v>124</v>
      </c>
      <c r="I718" s="59" t="s">
        <v>1130</v>
      </c>
      <c r="J718" s="60" t="s">
        <v>1228</v>
      </c>
      <c r="K718" s="63" t="str">
        <f t="shared" si="79"/>
        <v>XGF-HO8AInput</v>
      </c>
      <c r="L718" s="59">
        <f t="shared" si="81"/>
        <v>130</v>
      </c>
      <c r="M718" s="59">
        <f t="shared" si="82"/>
        <v>66</v>
      </c>
      <c r="N718" s="59">
        <f t="shared" si="83"/>
        <v>64</v>
      </c>
      <c r="O718" s="60">
        <f t="shared" si="80"/>
        <v>718</v>
      </c>
      <c r="P718" s="65"/>
    </row>
    <row r="719" spans="3:22">
      <c r="C719" s="83" t="s">
        <v>72</v>
      </c>
      <c r="D719" s="75"/>
      <c r="E719" s="75"/>
      <c r="F719" s="81" t="s">
        <v>151</v>
      </c>
      <c r="G719" s="55" t="s">
        <v>1229</v>
      </c>
      <c r="H719" s="55" t="s">
        <v>124</v>
      </c>
      <c r="I719" s="59" t="s">
        <v>1050</v>
      </c>
      <c r="J719" s="60" t="s">
        <v>1069</v>
      </c>
      <c r="K719" s="63" t="str">
        <f t="shared" si="79"/>
        <v>XGF-HO8AInput</v>
      </c>
      <c r="L719" s="59">
        <f t="shared" si="81"/>
        <v>130</v>
      </c>
      <c r="M719" s="59">
        <f t="shared" si="82"/>
        <v>66</v>
      </c>
      <c r="N719" s="59">
        <f t="shared" si="83"/>
        <v>64</v>
      </c>
      <c r="O719" s="60">
        <f t="shared" si="80"/>
        <v>719</v>
      </c>
      <c r="P719" s="65"/>
    </row>
    <row r="720" spans="3:22">
      <c r="C720" s="83" t="s">
        <v>72</v>
      </c>
      <c r="D720" s="75"/>
      <c r="E720" s="75"/>
      <c r="F720" s="81" t="s">
        <v>151</v>
      </c>
      <c r="G720" s="55" t="s">
        <v>1230</v>
      </c>
      <c r="H720" s="55" t="s">
        <v>124</v>
      </c>
      <c r="I720" s="59" t="s">
        <v>126</v>
      </c>
      <c r="J720" s="60" t="s">
        <v>1053</v>
      </c>
      <c r="K720" s="63" t="str">
        <f t="shared" si="79"/>
        <v>XGF-HO8AInput</v>
      </c>
      <c r="L720" s="59">
        <f t="shared" si="81"/>
        <v>130</v>
      </c>
      <c r="M720" s="59">
        <f t="shared" si="82"/>
        <v>66</v>
      </c>
      <c r="N720" s="59">
        <f t="shared" si="83"/>
        <v>64</v>
      </c>
      <c r="O720" s="60">
        <f t="shared" si="80"/>
        <v>720</v>
      </c>
      <c r="P720" s="65"/>
    </row>
    <row r="721" spans="3:16">
      <c r="C721" s="83" t="s">
        <v>72</v>
      </c>
      <c r="D721" s="75"/>
      <c r="E721" s="75"/>
      <c r="F721" s="81" t="s">
        <v>151</v>
      </c>
      <c r="G721" s="55" t="s">
        <v>1231</v>
      </c>
      <c r="H721" s="55" t="s">
        <v>124</v>
      </c>
      <c r="I721" s="59">
        <v>1</v>
      </c>
      <c r="J721" s="60" t="s">
        <v>1232</v>
      </c>
      <c r="K721" s="63" t="str">
        <f t="shared" si="79"/>
        <v>XGF-HO8AInput</v>
      </c>
      <c r="L721" s="59">
        <f t="shared" si="81"/>
        <v>130</v>
      </c>
      <c r="M721" s="59">
        <f t="shared" si="82"/>
        <v>66</v>
      </c>
      <c r="N721" s="59">
        <f t="shared" si="83"/>
        <v>64</v>
      </c>
      <c r="O721" s="60">
        <f t="shared" si="80"/>
        <v>721</v>
      </c>
      <c r="P721" s="65"/>
    </row>
    <row r="722" spans="3:16">
      <c r="C722" s="83" t="s">
        <v>72</v>
      </c>
      <c r="D722" s="75"/>
      <c r="E722" s="75"/>
      <c r="F722" s="81" t="s">
        <v>151</v>
      </c>
      <c r="G722" s="55" t="s">
        <v>1233</v>
      </c>
      <c r="H722" s="55" t="s">
        <v>124</v>
      </c>
      <c r="I722" s="59">
        <v>1.1000000000000001</v>
      </c>
      <c r="J722" s="60" t="s">
        <v>1234</v>
      </c>
      <c r="K722" s="63" t="str">
        <f t="shared" si="79"/>
        <v>XGF-HO8AInput</v>
      </c>
      <c r="L722" s="59">
        <f t="shared" si="81"/>
        <v>130</v>
      </c>
      <c r="M722" s="59">
        <f t="shared" si="82"/>
        <v>66</v>
      </c>
      <c r="N722" s="59">
        <f t="shared" si="83"/>
        <v>64</v>
      </c>
      <c r="O722" s="60">
        <f t="shared" si="80"/>
        <v>722</v>
      </c>
      <c r="P722" s="65"/>
    </row>
    <row r="723" spans="3:16">
      <c r="C723" s="83" t="s">
        <v>72</v>
      </c>
      <c r="D723" s="75"/>
      <c r="E723" s="75"/>
      <c r="F723" s="81" t="s">
        <v>151</v>
      </c>
      <c r="G723" s="55" t="s">
        <v>1235</v>
      </c>
      <c r="H723" s="55" t="s">
        <v>124</v>
      </c>
      <c r="I723" s="59">
        <v>1.2</v>
      </c>
      <c r="J723" s="60" t="s">
        <v>1236</v>
      </c>
      <c r="K723" s="63" t="str">
        <f t="shared" si="79"/>
        <v>XGF-HO8AInput</v>
      </c>
      <c r="L723" s="59">
        <f t="shared" si="81"/>
        <v>130</v>
      </c>
      <c r="M723" s="59">
        <f t="shared" si="82"/>
        <v>66</v>
      </c>
      <c r="N723" s="59">
        <f t="shared" si="83"/>
        <v>64</v>
      </c>
      <c r="O723" s="60">
        <f t="shared" si="80"/>
        <v>723</v>
      </c>
      <c r="P723" s="65"/>
    </row>
    <row r="724" spans="3:16">
      <c r="C724" s="83" t="s">
        <v>72</v>
      </c>
      <c r="D724" s="75"/>
      <c r="E724" s="75"/>
      <c r="F724" s="81" t="s">
        <v>151</v>
      </c>
      <c r="G724" s="55" t="s">
        <v>1237</v>
      </c>
      <c r="H724" s="55" t="s">
        <v>124</v>
      </c>
      <c r="I724" s="59">
        <v>1.3</v>
      </c>
      <c r="J724" s="60" t="s">
        <v>1238</v>
      </c>
      <c r="K724" s="63" t="str">
        <f t="shared" si="79"/>
        <v>XGF-HO8AInput</v>
      </c>
      <c r="L724" s="59">
        <f t="shared" si="81"/>
        <v>130</v>
      </c>
      <c r="M724" s="59">
        <f t="shared" si="82"/>
        <v>66</v>
      </c>
      <c r="N724" s="59">
        <f t="shared" si="83"/>
        <v>64</v>
      </c>
      <c r="O724" s="60">
        <f t="shared" si="80"/>
        <v>724</v>
      </c>
      <c r="P724" s="65"/>
    </row>
    <row r="725" spans="3:16">
      <c r="C725" s="83" t="s">
        <v>72</v>
      </c>
      <c r="D725" s="75"/>
      <c r="E725" s="75"/>
      <c r="F725" s="81" t="s">
        <v>151</v>
      </c>
      <c r="G725" s="55" t="s">
        <v>1239</v>
      </c>
      <c r="H725" s="55" t="s">
        <v>124</v>
      </c>
      <c r="I725" s="59">
        <v>1.4</v>
      </c>
      <c r="J725" s="60" t="s">
        <v>1240</v>
      </c>
      <c r="K725" s="63" t="str">
        <f t="shared" ref="K725:K773" si="84">C725&amp;F725</f>
        <v>XGF-HO8AInput</v>
      </c>
      <c r="L725" s="59">
        <f t="shared" si="81"/>
        <v>130</v>
      </c>
      <c r="M725" s="59">
        <f t="shared" si="82"/>
        <v>66</v>
      </c>
      <c r="N725" s="59">
        <f t="shared" si="83"/>
        <v>64</v>
      </c>
      <c r="O725" s="60">
        <f t="shared" si="80"/>
        <v>725</v>
      </c>
      <c r="P725" s="65"/>
    </row>
    <row r="726" spans="3:16">
      <c r="C726" s="83" t="s">
        <v>72</v>
      </c>
      <c r="D726" s="75"/>
      <c r="E726" s="75"/>
      <c r="F726" s="81" t="s">
        <v>151</v>
      </c>
      <c r="G726" s="55" t="s">
        <v>1241</v>
      </c>
      <c r="H726" s="55" t="s">
        <v>124</v>
      </c>
      <c r="I726" s="59">
        <v>1.6</v>
      </c>
      <c r="J726" s="60" t="s">
        <v>1242</v>
      </c>
      <c r="K726" s="63" t="str">
        <f t="shared" si="84"/>
        <v>XGF-HO8AInput</v>
      </c>
      <c r="L726" s="59">
        <f t="shared" si="81"/>
        <v>130</v>
      </c>
      <c r="M726" s="59">
        <f t="shared" si="82"/>
        <v>66</v>
      </c>
      <c r="N726" s="59">
        <f t="shared" si="83"/>
        <v>64</v>
      </c>
      <c r="O726" s="60">
        <f t="shared" si="80"/>
        <v>726</v>
      </c>
      <c r="P726" s="65"/>
    </row>
    <row r="727" spans="3:16">
      <c r="C727" s="83" t="s">
        <v>72</v>
      </c>
      <c r="D727" s="75"/>
      <c r="E727" s="75"/>
      <c r="F727" s="81" t="s">
        <v>151</v>
      </c>
      <c r="G727" s="55" t="s">
        <v>1243</v>
      </c>
      <c r="H727" s="55" t="s">
        <v>124</v>
      </c>
      <c r="I727" s="59">
        <v>1.8</v>
      </c>
      <c r="J727" s="60" t="s">
        <v>1244</v>
      </c>
      <c r="K727" s="63" t="str">
        <f t="shared" si="84"/>
        <v>XGF-HO8AInput</v>
      </c>
      <c r="L727" s="59">
        <f t="shared" si="81"/>
        <v>130</v>
      </c>
      <c r="M727" s="59">
        <f t="shared" si="82"/>
        <v>66</v>
      </c>
      <c r="N727" s="59">
        <f t="shared" si="83"/>
        <v>64</v>
      </c>
      <c r="O727" s="60">
        <f t="shared" si="80"/>
        <v>727</v>
      </c>
      <c r="P727" s="65"/>
    </row>
    <row r="728" spans="3:16">
      <c r="C728" s="83" t="s">
        <v>72</v>
      </c>
      <c r="D728" s="75"/>
      <c r="E728" s="75"/>
      <c r="F728" s="81" t="s">
        <v>151</v>
      </c>
      <c r="G728" s="55" t="s">
        <v>1245</v>
      </c>
      <c r="H728" s="55" t="s">
        <v>124</v>
      </c>
      <c r="I728" s="59">
        <v>1.9</v>
      </c>
      <c r="J728" s="60" t="s">
        <v>1246</v>
      </c>
      <c r="K728" s="63" t="str">
        <f t="shared" si="84"/>
        <v>XGF-HO8AInput</v>
      </c>
      <c r="L728" s="59">
        <f t="shared" si="81"/>
        <v>130</v>
      </c>
      <c r="M728" s="59">
        <f t="shared" si="82"/>
        <v>66</v>
      </c>
      <c r="N728" s="59">
        <f t="shared" si="83"/>
        <v>64</v>
      </c>
      <c r="O728" s="60">
        <f t="shared" si="80"/>
        <v>728</v>
      </c>
      <c r="P728" s="65"/>
    </row>
    <row r="729" spans="3:16">
      <c r="C729" s="83" t="s">
        <v>72</v>
      </c>
      <c r="D729" s="75"/>
      <c r="E729" s="75"/>
      <c r="F729" s="81" t="s">
        <v>151</v>
      </c>
      <c r="G729" s="55" t="s">
        <v>1247</v>
      </c>
      <c r="H729" s="55" t="s">
        <v>124</v>
      </c>
      <c r="I729" s="59" t="s">
        <v>136</v>
      </c>
      <c r="J729" s="60" t="s">
        <v>1248</v>
      </c>
      <c r="K729" s="63" t="str">
        <f t="shared" si="84"/>
        <v>XGF-HO8AInput</v>
      </c>
      <c r="L729" s="59">
        <f t="shared" si="81"/>
        <v>130</v>
      </c>
      <c r="M729" s="59">
        <f t="shared" si="82"/>
        <v>66</v>
      </c>
      <c r="N729" s="59">
        <f t="shared" si="83"/>
        <v>64</v>
      </c>
      <c r="O729" s="60">
        <f t="shared" si="80"/>
        <v>729</v>
      </c>
      <c r="P729" s="65"/>
    </row>
    <row r="730" spans="3:16">
      <c r="C730" s="83" t="s">
        <v>72</v>
      </c>
      <c r="D730" s="75"/>
      <c r="E730" s="75"/>
      <c r="F730" s="81" t="s">
        <v>151</v>
      </c>
      <c r="G730" s="55" t="s">
        <v>1249</v>
      </c>
      <c r="H730" s="55" t="s">
        <v>124</v>
      </c>
      <c r="I730" s="59" t="s">
        <v>138</v>
      </c>
      <c r="J730" s="60" t="s">
        <v>1250</v>
      </c>
      <c r="K730" s="63" t="str">
        <f t="shared" si="84"/>
        <v>XGF-HO8AInput</v>
      </c>
      <c r="L730" s="59">
        <f t="shared" si="81"/>
        <v>130</v>
      </c>
      <c r="M730" s="59">
        <f t="shared" si="82"/>
        <v>66</v>
      </c>
      <c r="N730" s="59">
        <f t="shared" si="83"/>
        <v>64</v>
      </c>
      <c r="O730" s="60">
        <f t="shared" si="80"/>
        <v>730</v>
      </c>
      <c r="P730" s="65"/>
    </row>
    <row r="731" spans="3:16">
      <c r="C731" s="83" t="s">
        <v>72</v>
      </c>
      <c r="D731" s="75"/>
      <c r="E731" s="75"/>
      <c r="F731" s="81" t="s">
        <v>151</v>
      </c>
      <c r="G731" s="55" t="s">
        <v>1251</v>
      </c>
      <c r="H731" s="55" t="s">
        <v>124</v>
      </c>
      <c r="I731" s="59" t="s">
        <v>201</v>
      </c>
      <c r="J731" s="60" t="s">
        <v>1252</v>
      </c>
      <c r="K731" s="63" t="str">
        <f t="shared" si="84"/>
        <v>XGF-HO8AInput</v>
      </c>
      <c r="L731" s="59">
        <f t="shared" si="81"/>
        <v>130</v>
      </c>
      <c r="M731" s="59">
        <f t="shared" si="82"/>
        <v>66</v>
      </c>
      <c r="N731" s="59">
        <f t="shared" si="83"/>
        <v>64</v>
      </c>
      <c r="O731" s="60">
        <f t="shared" si="80"/>
        <v>731</v>
      </c>
      <c r="P731" s="65"/>
    </row>
    <row r="732" spans="3:16">
      <c r="C732" s="83" t="s">
        <v>72</v>
      </c>
      <c r="D732" s="75"/>
      <c r="E732" s="75"/>
      <c r="F732" s="81" t="s">
        <v>151</v>
      </c>
      <c r="G732" s="55" t="s">
        <v>1253</v>
      </c>
      <c r="H732" s="55" t="s">
        <v>124</v>
      </c>
      <c r="I732" s="59" t="s">
        <v>207</v>
      </c>
      <c r="J732" s="60" t="s">
        <v>1254</v>
      </c>
      <c r="K732" s="63" t="str">
        <f t="shared" si="84"/>
        <v>XGF-HO8AInput</v>
      </c>
      <c r="L732" s="59">
        <f t="shared" si="81"/>
        <v>130</v>
      </c>
      <c r="M732" s="59">
        <f t="shared" si="82"/>
        <v>66</v>
      </c>
      <c r="N732" s="59">
        <f t="shared" si="83"/>
        <v>64</v>
      </c>
      <c r="O732" s="60">
        <f t="shared" si="80"/>
        <v>732</v>
      </c>
      <c r="P732" s="65"/>
    </row>
    <row r="733" spans="3:16">
      <c r="C733" s="83" t="s">
        <v>72</v>
      </c>
      <c r="D733" s="75"/>
      <c r="E733" s="75"/>
      <c r="F733" s="81" t="s">
        <v>151</v>
      </c>
      <c r="G733" s="55" t="s">
        <v>1255</v>
      </c>
      <c r="H733" s="55" t="s">
        <v>124</v>
      </c>
      <c r="I733" s="59">
        <v>2</v>
      </c>
      <c r="J733" s="60" t="s">
        <v>1256</v>
      </c>
      <c r="K733" s="63" t="str">
        <f t="shared" si="84"/>
        <v>XGF-HO8AInput</v>
      </c>
      <c r="L733" s="59">
        <f t="shared" si="81"/>
        <v>130</v>
      </c>
      <c r="M733" s="59">
        <f t="shared" si="82"/>
        <v>66</v>
      </c>
      <c r="N733" s="59">
        <f t="shared" si="83"/>
        <v>64</v>
      </c>
      <c r="O733" s="60">
        <f t="shared" si="80"/>
        <v>733</v>
      </c>
      <c r="P733" s="65"/>
    </row>
    <row r="734" spans="3:16">
      <c r="C734" s="83" t="s">
        <v>72</v>
      </c>
      <c r="D734" s="75"/>
      <c r="E734" s="75"/>
      <c r="F734" s="81" t="s">
        <v>151</v>
      </c>
      <c r="G734" s="55" t="s">
        <v>1257</v>
      </c>
      <c r="H734" s="55" t="s">
        <v>124</v>
      </c>
      <c r="I734" s="59">
        <v>2.1</v>
      </c>
      <c r="J734" s="60" t="s">
        <v>1258</v>
      </c>
      <c r="K734" s="63" t="str">
        <f t="shared" si="84"/>
        <v>XGF-HO8AInput</v>
      </c>
      <c r="L734" s="59">
        <f t="shared" si="81"/>
        <v>130</v>
      </c>
      <c r="M734" s="59">
        <f t="shared" si="82"/>
        <v>66</v>
      </c>
      <c r="N734" s="59">
        <f t="shared" si="83"/>
        <v>64</v>
      </c>
      <c r="O734" s="60">
        <f t="shared" si="80"/>
        <v>734</v>
      </c>
      <c r="P734" s="65"/>
    </row>
    <row r="735" spans="3:16">
      <c r="C735" s="83" t="s">
        <v>72</v>
      </c>
      <c r="D735" s="75"/>
      <c r="E735" s="75"/>
      <c r="F735" s="81" t="s">
        <v>151</v>
      </c>
      <c r="G735" s="55" t="s">
        <v>1259</v>
      </c>
      <c r="H735" s="55" t="s">
        <v>124</v>
      </c>
      <c r="I735" s="59">
        <v>2.2000000000000002</v>
      </c>
      <c r="J735" s="60" t="s">
        <v>1260</v>
      </c>
      <c r="K735" s="63" t="str">
        <f t="shared" si="84"/>
        <v>XGF-HO8AInput</v>
      </c>
      <c r="L735" s="59">
        <f t="shared" si="81"/>
        <v>130</v>
      </c>
      <c r="M735" s="59">
        <f t="shared" si="82"/>
        <v>66</v>
      </c>
      <c r="N735" s="59">
        <f t="shared" si="83"/>
        <v>64</v>
      </c>
      <c r="O735" s="60">
        <f t="shared" si="80"/>
        <v>735</v>
      </c>
      <c r="P735" s="65"/>
    </row>
    <row r="736" spans="3:16">
      <c r="C736" s="83" t="s">
        <v>72</v>
      </c>
      <c r="D736" s="75"/>
      <c r="E736" s="75"/>
      <c r="F736" s="81" t="s">
        <v>151</v>
      </c>
      <c r="G736" s="55" t="s">
        <v>1261</v>
      </c>
      <c r="H736" s="55" t="s">
        <v>124</v>
      </c>
      <c r="I736" s="59">
        <v>2.2999999999999998</v>
      </c>
      <c r="J736" s="60" t="s">
        <v>1262</v>
      </c>
      <c r="K736" s="63" t="str">
        <f t="shared" si="84"/>
        <v>XGF-HO8AInput</v>
      </c>
      <c r="L736" s="59">
        <f t="shared" si="81"/>
        <v>130</v>
      </c>
      <c r="M736" s="59">
        <f t="shared" si="82"/>
        <v>66</v>
      </c>
      <c r="N736" s="59">
        <f t="shared" si="83"/>
        <v>64</v>
      </c>
      <c r="O736" s="60">
        <f t="shared" si="80"/>
        <v>736</v>
      </c>
      <c r="P736" s="65"/>
    </row>
    <row r="737" spans="3:16">
      <c r="C737" s="83" t="s">
        <v>72</v>
      </c>
      <c r="D737" s="75"/>
      <c r="E737" s="75"/>
      <c r="F737" s="81" t="s">
        <v>151</v>
      </c>
      <c r="G737" s="55" t="s">
        <v>1263</v>
      </c>
      <c r="H737" s="55" t="s">
        <v>124</v>
      </c>
      <c r="I737" s="59">
        <v>2.4</v>
      </c>
      <c r="J737" s="60" t="s">
        <v>1264</v>
      </c>
      <c r="K737" s="63" t="str">
        <f t="shared" si="84"/>
        <v>XGF-HO8AInput</v>
      </c>
      <c r="L737" s="59">
        <f t="shared" si="81"/>
        <v>130</v>
      </c>
      <c r="M737" s="59">
        <f t="shared" si="82"/>
        <v>66</v>
      </c>
      <c r="N737" s="59">
        <f t="shared" si="83"/>
        <v>64</v>
      </c>
      <c r="O737" s="60">
        <f t="shared" si="80"/>
        <v>737</v>
      </c>
      <c r="P737" s="65"/>
    </row>
    <row r="738" spans="3:16">
      <c r="C738" s="83" t="s">
        <v>72</v>
      </c>
      <c r="D738" s="75"/>
      <c r="E738" s="75"/>
      <c r="F738" s="81" t="s">
        <v>151</v>
      </c>
      <c r="G738" s="55" t="s">
        <v>1265</v>
      </c>
      <c r="H738" s="55" t="s">
        <v>124</v>
      </c>
      <c r="I738" s="59">
        <v>2.6</v>
      </c>
      <c r="J738" s="60" t="s">
        <v>1266</v>
      </c>
      <c r="K738" s="63" t="str">
        <f t="shared" si="84"/>
        <v>XGF-HO8AInput</v>
      </c>
      <c r="L738" s="59">
        <f t="shared" si="81"/>
        <v>130</v>
      </c>
      <c r="M738" s="59">
        <f t="shared" si="82"/>
        <v>66</v>
      </c>
      <c r="N738" s="59">
        <f t="shared" si="83"/>
        <v>64</v>
      </c>
      <c r="O738" s="60">
        <f t="shared" si="80"/>
        <v>738</v>
      </c>
      <c r="P738" s="65"/>
    </row>
    <row r="739" spans="3:16">
      <c r="C739" s="83" t="s">
        <v>72</v>
      </c>
      <c r="D739" s="75"/>
      <c r="E739" s="75"/>
      <c r="F739" s="81" t="s">
        <v>151</v>
      </c>
      <c r="G739" s="55" t="s">
        <v>1267</v>
      </c>
      <c r="H739" s="55" t="s">
        <v>124</v>
      </c>
      <c r="I739" s="59">
        <v>2.8</v>
      </c>
      <c r="J739" s="60" t="s">
        <v>1268</v>
      </c>
      <c r="K739" s="63" t="str">
        <f t="shared" si="84"/>
        <v>XGF-HO8AInput</v>
      </c>
      <c r="L739" s="59">
        <f t="shared" si="81"/>
        <v>130</v>
      </c>
      <c r="M739" s="59">
        <f t="shared" si="82"/>
        <v>66</v>
      </c>
      <c r="N739" s="59">
        <f t="shared" si="83"/>
        <v>64</v>
      </c>
      <c r="O739" s="60">
        <f t="shared" si="80"/>
        <v>739</v>
      </c>
      <c r="P739" s="65"/>
    </row>
    <row r="740" spans="3:16">
      <c r="C740" s="83" t="s">
        <v>72</v>
      </c>
      <c r="D740" s="75"/>
      <c r="E740" s="75"/>
      <c r="F740" s="81" t="s">
        <v>151</v>
      </c>
      <c r="G740" s="55" t="s">
        <v>1269</v>
      </c>
      <c r="H740" s="55" t="s">
        <v>124</v>
      </c>
      <c r="I740" s="59">
        <v>2.9</v>
      </c>
      <c r="J740" s="60" t="s">
        <v>1270</v>
      </c>
      <c r="K740" s="63" t="str">
        <f t="shared" si="84"/>
        <v>XGF-HO8AInput</v>
      </c>
      <c r="L740" s="59">
        <f t="shared" ref="L740:L773" si="85">COUNTIF($C$2:$C$2062,C740)</f>
        <v>130</v>
      </c>
      <c r="M740" s="59">
        <f t="shared" ref="M740:M773" si="86">COUNTIF($K$2:$K$2062,K740)</f>
        <v>66</v>
      </c>
      <c r="N740" s="59">
        <f t="shared" si="83"/>
        <v>64</v>
      </c>
      <c r="O740" s="60">
        <f t="shared" si="80"/>
        <v>740</v>
      </c>
      <c r="P740" s="65"/>
    </row>
    <row r="741" spans="3:16">
      <c r="C741" s="83" t="s">
        <v>72</v>
      </c>
      <c r="D741" s="75"/>
      <c r="E741" s="75"/>
      <c r="F741" s="81" t="s">
        <v>151</v>
      </c>
      <c r="G741" s="55" t="s">
        <v>1271</v>
      </c>
      <c r="H741" s="55" t="s">
        <v>124</v>
      </c>
      <c r="I741" s="59" t="s">
        <v>1272</v>
      </c>
      <c r="J741" s="60" t="s">
        <v>1273</v>
      </c>
      <c r="K741" s="63" t="str">
        <f t="shared" si="84"/>
        <v>XGF-HO8AInput</v>
      </c>
      <c r="L741" s="59">
        <f t="shared" si="85"/>
        <v>130</v>
      </c>
      <c r="M741" s="59">
        <f t="shared" si="86"/>
        <v>66</v>
      </c>
      <c r="N741" s="59">
        <f t="shared" si="83"/>
        <v>64</v>
      </c>
      <c r="O741" s="60">
        <f t="shared" si="80"/>
        <v>741</v>
      </c>
      <c r="P741" s="65"/>
    </row>
    <row r="742" spans="3:16">
      <c r="C742" s="83" t="s">
        <v>72</v>
      </c>
      <c r="D742" s="75"/>
      <c r="E742" s="75"/>
      <c r="F742" s="81" t="s">
        <v>151</v>
      </c>
      <c r="G742" s="55" t="s">
        <v>1274</v>
      </c>
      <c r="H742" s="55" t="s">
        <v>124</v>
      </c>
      <c r="I742" s="59" t="s">
        <v>1275</v>
      </c>
      <c r="J742" s="60" t="s">
        <v>1276</v>
      </c>
      <c r="K742" s="63" t="str">
        <f t="shared" si="84"/>
        <v>XGF-HO8AInput</v>
      </c>
      <c r="L742" s="59">
        <f t="shared" si="85"/>
        <v>130</v>
      </c>
      <c r="M742" s="59">
        <f t="shared" si="86"/>
        <v>66</v>
      </c>
      <c r="N742" s="59">
        <f t="shared" si="83"/>
        <v>64</v>
      </c>
      <c r="O742" s="60">
        <f t="shared" si="80"/>
        <v>742</v>
      </c>
      <c r="P742" s="65"/>
    </row>
    <row r="743" spans="3:16">
      <c r="C743" s="83" t="s">
        <v>72</v>
      </c>
      <c r="D743" s="75"/>
      <c r="E743" s="75"/>
      <c r="F743" s="81" t="s">
        <v>151</v>
      </c>
      <c r="G743" s="55" t="s">
        <v>1277</v>
      </c>
      <c r="H743" s="55" t="s">
        <v>124</v>
      </c>
      <c r="I743" s="59" t="s">
        <v>1278</v>
      </c>
      <c r="J743" s="60" t="s">
        <v>1279</v>
      </c>
      <c r="K743" s="63" t="str">
        <f t="shared" si="84"/>
        <v>XGF-HO8AInput</v>
      </c>
      <c r="L743" s="59">
        <f t="shared" si="85"/>
        <v>130</v>
      </c>
      <c r="M743" s="59">
        <f t="shared" si="86"/>
        <v>66</v>
      </c>
      <c r="N743" s="59">
        <f t="shared" si="83"/>
        <v>64</v>
      </c>
      <c r="O743" s="60">
        <f t="shared" si="80"/>
        <v>743</v>
      </c>
      <c r="P743" s="65"/>
    </row>
    <row r="744" spans="3:16">
      <c r="C744" s="83" t="s">
        <v>72</v>
      </c>
      <c r="D744" s="75"/>
      <c r="E744" s="75"/>
      <c r="F744" s="81" t="s">
        <v>151</v>
      </c>
      <c r="G744" s="55" t="s">
        <v>1280</v>
      </c>
      <c r="H744" s="55" t="s">
        <v>124</v>
      </c>
      <c r="I744" s="59" t="s">
        <v>1281</v>
      </c>
      <c r="J744" s="60" t="s">
        <v>1282</v>
      </c>
      <c r="K744" s="63" t="str">
        <f t="shared" si="84"/>
        <v>XGF-HO8AInput</v>
      </c>
      <c r="L744" s="59">
        <f t="shared" si="85"/>
        <v>130</v>
      </c>
      <c r="M744" s="59">
        <f t="shared" si="86"/>
        <v>66</v>
      </c>
      <c r="N744" s="59">
        <f t="shared" si="83"/>
        <v>64</v>
      </c>
      <c r="O744" s="60">
        <f t="shared" si="80"/>
        <v>744</v>
      </c>
      <c r="P744" s="65"/>
    </row>
    <row r="745" spans="3:16">
      <c r="C745" s="83" t="s">
        <v>72</v>
      </c>
      <c r="D745" s="75"/>
      <c r="E745" s="75"/>
      <c r="F745" s="81" t="s">
        <v>151</v>
      </c>
      <c r="G745" s="55" t="s">
        <v>1283</v>
      </c>
      <c r="H745" s="55" t="s">
        <v>124</v>
      </c>
      <c r="I745" s="59">
        <v>3</v>
      </c>
      <c r="J745" s="60" t="s">
        <v>1284</v>
      </c>
      <c r="K745" s="63" t="str">
        <f t="shared" si="84"/>
        <v>XGF-HO8AInput</v>
      </c>
      <c r="L745" s="59">
        <f t="shared" si="85"/>
        <v>130</v>
      </c>
      <c r="M745" s="59">
        <f t="shared" si="86"/>
        <v>66</v>
      </c>
      <c r="N745" s="59">
        <f t="shared" si="83"/>
        <v>64</v>
      </c>
      <c r="O745" s="60">
        <f t="shared" si="80"/>
        <v>745</v>
      </c>
      <c r="P745" s="65"/>
    </row>
    <row r="746" spans="3:16">
      <c r="C746" s="83" t="s">
        <v>72</v>
      </c>
      <c r="D746" s="75"/>
      <c r="E746" s="75"/>
      <c r="F746" s="81" t="s">
        <v>151</v>
      </c>
      <c r="G746" s="55" t="s">
        <v>1285</v>
      </c>
      <c r="H746" s="55" t="s">
        <v>124</v>
      </c>
      <c r="I746" s="59">
        <v>3.1</v>
      </c>
      <c r="J746" s="60" t="s">
        <v>1286</v>
      </c>
      <c r="K746" s="63" t="str">
        <f t="shared" si="84"/>
        <v>XGF-HO8AInput</v>
      </c>
      <c r="L746" s="59">
        <f t="shared" si="85"/>
        <v>130</v>
      </c>
      <c r="M746" s="59">
        <f t="shared" si="86"/>
        <v>66</v>
      </c>
      <c r="N746" s="59">
        <f t="shared" si="83"/>
        <v>64</v>
      </c>
      <c r="O746" s="60">
        <f t="shared" si="80"/>
        <v>746</v>
      </c>
      <c r="P746" s="65"/>
    </row>
    <row r="747" spans="3:16">
      <c r="C747" s="83" t="s">
        <v>72</v>
      </c>
      <c r="D747" s="75"/>
      <c r="E747" s="75"/>
      <c r="F747" s="81" t="s">
        <v>151</v>
      </c>
      <c r="G747" s="55" t="s">
        <v>1287</v>
      </c>
      <c r="H747" s="55" t="s">
        <v>124</v>
      </c>
      <c r="I747" s="59">
        <v>3.2</v>
      </c>
      <c r="J747" s="60" t="s">
        <v>1288</v>
      </c>
      <c r="K747" s="63" t="str">
        <f t="shared" si="84"/>
        <v>XGF-HO8AInput</v>
      </c>
      <c r="L747" s="59">
        <f t="shared" si="85"/>
        <v>130</v>
      </c>
      <c r="M747" s="59">
        <f t="shared" si="86"/>
        <v>66</v>
      </c>
      <c r="N747" s="59">
        <f t="shared" si="83"/>
        <v>64</v>
      </c>
      <c r="O747" s="60">
        <f t="shared" si="80"/>
        <v>747</v>
      </c>
      <c r="P747" s="65"/>
    </row>
    <row r="748" spans="3:16">
      <c r="C748" s="83" t="s">
        <v>72</v>
      </c>
      <c r="D748" s="75"/>
      <c r="E748" s="75"/>
      <c r="F748" s="81" t="s">
        <v>151</v>
      </c>
      <c r="G748" s="55" t="s">
        <v>1289</v>
      </c>
      <c r="H748" s="55" t="s">
        <v>124</v>
      </c>
      <c r="I748" s="59">
        <v>3.3</v>
      </c>
      <c r="J748" s="60" t="s">
        <v>1290</v>
      </c>
      <c r="K748" s="63" t="str">
        <f t="shared" si="84"/>
        <v>XGF-HO8AInput</v>
      </c>
      <c r="L748" s="59">
        <f t="shared" si="85"/>
        <v>130</v>
      </c>
      <c r="M748" s="59">
        <f t="shared" si="86"/>
        <v>66</v>
      </c>
      <c r="N748" s="59">
        <f t="shared" si="83"/>
        <v>64</v>
      </c>
      <c r="O748" s="60">
        <f t="shared" si="80"/>
        <v>748</v>
      </c>
      <c r="P748" s="65"/>
    </row>
    <row r="749" spans="3:16">
      <c r="C749" s="83" t="s">
        <v>72</v>
      </c>
      <c r="D749" s="75"/>
      <c r="E749" s="75"/>
      <c r="F749" s="81" t="s">
        <v>151</v>
      </c>
      <c r="G749" s="55" t="s">
        <v>1291</v>
      </c>
      <c r="H749" s="55" t="s">
        <v>124</v>
      </c>
      <c r="I749" s="59">
        <v>3.4</v>
      </c>
      <c r="J749" s="60" t="s">
        <v>1292</v>
      </c>
      <c r="K749" s="63" t="str">
        <f t="shared" si="84"/>
        <v>XGF-HO8AInput</v>
      </c>
      <c r="L749" s="59">
        <f t="shared" si="85"/>
        <v>130</v>
      </c>
      <c r="M749" s="59">
        <f t="shared" si="86"/>
        <v>66</v>
      </c>
      <c r="N749" s="59">
        <f t="shared" si="83"/>
        <v>64</v>
      </c>
      <c r="O749" s="60">
        <f t="shared" si="80"/>
        <v>749</v>
      </c>
      <c r="P749" s="65"/>
    </row>
    <row r="750" spans="3:16">
      <c r="C750" s="83" t="s">
        <v>72</v>
      </c>
      <c r="D750" s="75"/>
      <c r="E750" s="75"/>
      <c r="F750" s="81" t="s">
        <v>151</v>
      </c>
      <c r="G750" s="55" t="s">
        <v>1293</v>
      </c>
      <c r="H750" s="55" t="s">
        <v>124</v>
      </c>
      <c r="I750" s="59">
        <v>3.6</v>
      </c>
      <c r="J750" s="60" t="s">
        <v>1294</v>
      </c>
      <c r="K750" s="63" t="str">
        <f t="shared" si="84"/>
        <v>XGF-HO8AInput</v>
      </c>
      <c r="L750" s="59">
        <f t="shared" si="85"/>
        <v>130</v>
      </c>
      <c r="M750" s="59">
        <f t="shared" si="86"/>
        <v>66</v>
      </c>
      <c r="N750" s="59">
        <f t="shared" si="83"/>
        <v>64</v>
      </c>
      <c r="O750" s="60">
        <f t="shared" si="80"/>
        <v>750</v>
      </c>
      <c r="P750" s="65"/>
    </row>
    <row r="751" spans="3:16">
      <c r="C751" s="83" t="s">
        <v>72</v>
      </c>
      <c r="D751" s="75"/>
      <c r="E751" s="75"/>
      <c r="F751" s="81" t="s">
        <v>151</v>
      </c>
      <c r="G751" s="55" t="s">
        <v>1295</v>
      </c>
      <c r="H751" s="55" t="s">
        <v>124</v>
      </c>
      <c r="I751" s="59">
        <v>3.8</v>
      </c>
      <c r="J751" s="60" t="s">
        <v>1296</v>
      </c>
      <c r="K751" s="63" t="str">
        <f t="shared" si="84"/>
        <v>XGF-HO8AInput</v>
      </c>
      <c r="L751" s="59">
        <f t="shared" si="85"/>
        <v>130</v>
      </c>
      <c r="M751" s="59">
        <f t="shared" si="86"/>
        <v>66</v>
      </c>
      <c r="N751" s="59">
        <f t="shared" si="83"/>
        <v>64</v>
      </c>
      <c r="O751" s="60">
        <f t="shared" si="80"/>
        <v>751</v>
      </c>
      <c r="P751" s="65"/>
    </row>
    <row r="752" spans="3:16">
      <c r="C752" s="83" t="s">
        <v>72</v>
      </c>
      <c r="D752" s="75"/>
      <c r="E752" s="75"/>
      <c r="F752" s="81" t="s">
        <v>151</v>
      </c>
      <c r="G752" s="55" t="s">
        <v>1297</v>
      </c>
      <c r="H752" s="55" t="s">
        <v>124</v>
      </c>
      <c r="I752" s="59">
        <v>3.9</v>
      </c>
      <c r="J752" s="60" t="s">
        <v>1298</v>
      </c>
      <c r="K752" s="63" t="str">
        <f t="shared" si="84"/>
        <v>XGF-HO8AInput</v>
      </c>
      <c r="L752" s="59">
        <f t="shared" si="85"/>
        <v>130</v>
      </c>
      <c r="M752" s="59">
        <f t="shared" si="86"/>
        <v>66</v>
      </c>
      <c r="N752" s="59">
        <f t="shared" si="83"/>
        <v>64</v>
      </c>
      <c r="O752" s="60">
        <f t="shared" si="80"/>
        <v>752</v>
      </c>
      <c r="P752" s="65"/>
    </row>
    <row r="753" spans="3:16">
      <c r="C753" s="83" t="s">
        <v>72</v>
      </c>
      <c r="D753" s="75"/>
      <c r="E753" s="75"/>
      <c r="F753" s="81" t="s">
        <v>151</v>
      </c>
      <c r="G753" s="55" t="s">
        <v>1299</v>
      </c>
      <c r="H753" s="55" t="s">
        <v>124</v>
      </c>
      <c r="I753" s="59" t="s">
        <v>1300</v>
      </c>
      <c r="J753" s="60" t="s">
        <v>1301</v>
      </c>
      <c r="K753" s="63" t="str">
        <f t="shared" si="84"/>
        <v>XGF-HO8AInput</v>
      </c>
      <c r="L753" s="59">
        <f t="shared" si="85"/>
        <v>130</v>
      </c>
      <c r="M753" s="59">
        <f t="shared" si="86"/>
        <v>66</v>
      </c>
      <c r="N753" s="59">
        <f t="shared" si="83"/>
        <v>64</v>
      </c>
      <c r="O753" s="60">
        <f t="shared" si="80"/>
        <v>753</v>
      </c>
      <c r="P753" s="65"/>
    </row>
    <row r="754" spans="3:16">
      <c r="C754" s="83" t="s">
        <v>72</v>
      </c>
      <c r="D754" s="75"/>
      <c r="E754" s="75"/>
      <c r="F754" s="81" t="s">
        <v>151</v>
      </c>
      <c r="G754" s="55" t="s">
        <v>1302</v>
      </c>
      <c r="H754" s="55" t="s">
        <v>124</v>
      </c>
      <c r="I754" s="59" t="s">
        <v>1303</v>
      </c>
      <c r="J754" s="60" t="s">
        <v>1304</v>
      </c>
      <c r="K754" s="63" t="str">
        <f t="shared" si="84"/>
        <v>XGF-HO8AInput</v>
      </c>
      <c r="L754" s="59">
        <f t="shared" si="85"/>
        <v>130</v>
      </c>
      <c r="M754" s="59">
        <f t="shared" si="86"/>
        <v>66</v>
      </c>
      <c r="N754" s="59">
        <f t="shared" si="83"/>
        <v>64</v>
      </c>
      <c r="O754" s="60">
        <f t="shared" si="80"/>
        <v>754</v>
      </c>
      <c r="P754" s="65"/>
    </row>
    <row r="755" spans="3:16">
      <c r="C755" s="83" t="s">
        <v>72</v>
      </c>
      <c r="D755" s="75"/>
      <c r="E755" s="75"/>
      <c r="F755" s="81" t="s">
        <v>151</v>
      </c>
      <c r="G755" s="55" t="s">
        <v>1305</v>
      </c>
      <c r="H755" s="55" t="s">
        <v>124</v>
      </c>
      <c r="I755" s="59" t="s">
        <v>1306</v>
      </c>
      <c r="J755" s="60" t="s">
        <v>1307</v>
      </c>
      <c r="K755" s="63" t="str">
        <f t="shared" si="84"/>
        <v>XGF-HO8AInput</v>
      </c>
      <c r="L755" s="59">
        <f t="shared" si="85"/>
        <v>130</v>
      </c>
      <c r="M755" s="59">
        <f t="shared" si="86"/>
        <v>66</v>
      </c>
      <c r="N755" s="59">
        <f t="shared" si="83"/>
        <v>64</v>
      </c>
      <c r="O755" s="60">
        <f t="shared" si="80"/>
        <v>755</v>
      </c>
      <c r="P755" s="65"/>
    </row>
    <row r="756" spans="3:16">
      <c r="C756" s="83" t="s">
        <v>72</v>
      </c>
      <c r="D756" s="75"/>
      <c r="E756" s="75"/>
      <c r="F756" s="81" t="s">
        <v>151</v>
      </c>
      <c r="G756" s="55" t="s">
        <v>1308</v>
      </c>
      <c r="H756" s="55" t="s">
        <v>124</v>
      </c>
      <c r="I756" s="59" t="s">
        <v>1309</v>
      </c>
      <c r="J756" s="60" t="s">
        <v>1310</v>
      </c>
      <c r="K756" s="63" t="str">
        <f t="shared" si="84"/>
        <v>XGF-HO8AInput</v>
      </c>
      <c r="L756" s="59">
        <f t="shared" si="85"/>
        <v>130</v>
      </c>
      <c r="M756" s="59">
        <f t="shared" si="86"/>
        <v>66</v>
      </c>
      <c r="N756" s="59">
        <f t="shared" si="83"/>
        <v>64</v>
      </c>
      <c r="O756" s="60">
        <f t="shared" si="80"/>
        <v>756</v>
      </c>
      <c r="P756" s="65"/>
    </row>
    <row r="757" spans="3:16">
      <c r="C757" s="83" t="s">
        <v>72</v>
      </c>
      <c r="D757" s="75"/>
      <c r="E757" s="75"/>
      <c r="F757" s="81" t="s">
        <v>151</v>
      </c>
      <c r="G757" s="55" t="s">
        <v>1311</v>
      </c>
      <c r="H757" s="55" t="s">
        <v>139</v>
      </c>
      <c r="I757" s="59">
        <v>4</v>
      </c>
      <c r="J757" s="60" t="s">
        <v>1071</v>
      </c>
      <c r="K757" s="63" t="str">
        <f t="shared" si="84"/>
        <v>XGF-HO8AInput</v>
      </c>
      <c r="L757" s="59">
        <f t="shared" si="85"/>
        <v>130</v>
      </c>
      <c r="M757" s="59">
        <f t="shared" si="86"/>
        <v>66</v>
      </c>
      <c r="N757" s="59">
        <f t="shared" si="83"/>
        <v>64</v>
      </c>
      <c r="O757" s="60">
        <f t="shared" si="80"/>
        <v>757</v>
      </c>
      <c r="P757" s="65"/>
    </row>
    <row r="758" spans="3:16">
      <c r="C758" s="83" t="s">
        <v>72</v>
      </c>
      <c r="D758" s="75"/>
      <c r="E758" s="75"/>
      <c r="F758" s="81" t="s">
        <v>151</v>
      </c>
      <c r="G758" s="55" t="s">
        <v>1312</v>
      </c>
      <c r="H758" s="55" t="s">
        <v>139</v>
      </c>
      <c r="I758" s="59">
        <v>5</v>
      </c>
      <c r="J758" s="60" t="s">
        <v>1073</v>
      </c>
      <c r="K758" s="63" t="str">
        <f t="shared" si="84"/>
        <v>XGF-HO8AInput</v>
      </c>
      <c r="L758" s="59">
        <f t="shared" si="85"/>
        <v>130</v>
      </c>
      <c r="M758" s="59">
        <f t="shared" si="86"/>
        <v>66</v>
      </c>
      <c r="N758" s="59">
        <f t="shared" si="83"/>
        <v>64</v>
      </c>
      <c r="O758" s="60">
        <f t="shared" si="80"/>
        <v>758</v>
      </c>
      <c r="P758" s="65"/>
    </row>
    <row r="759" spans="3:16">
      <c r="C759" s="83" t="s">
        <v>72</v>
      </c>
      <c r="D759" s="75"/>
      <c r="E759" s="75"/>
      <c r="F759" s="81" t="s">
        <v>151</v>
      </c>
      <c r="G759" s="55" t="s">
        <v>1313</v>
      </c>
      <c r="H759" s="55" t="s">
        <v>139</v>
      </c>
      <c r="I759" s="59">
        <v>6</v>
      </c>
      <c r="J759" s="60" t="s">
        <v>1091</v>
      </c>
      <c r="K759" s="63" t="str">
        <f t="shared" si="84"/>
        <v>XGF-HO8AInput</v>
      </c>
      <c r="L759" s="59">
        <f t="shared" si="85"/>
        <v>130</v>
      </c>
      <c r="M759" s="59">
        <f t="shared" si="86"/>
        <v>66</v>
      </c>
      <c r="N759" s="59">
        <f t="shared" si="83"/>
        <v>64</v>
      </c>
      <c r="O759" s="60">
        <f t="shared" si="80"/>
        <v>759</v>
      </c>
      <c r="P759" s="65"/>
    </row>
    <row r="760" spans="3:16">
      <c r="C760" s="83" t="s">
        <v>72</v>
      </c>
      <c r="D760" s="75"/>
      <c r="E760" s="75"/>
      <c r="F760" s="81" t="s">
        <v>151</v>
      </c>
      <c r="G760" s="55" t="s">
        <v>1314</v>
      </c>
      <c r="H760" s="55" t="s">
        <v>139</v>
      </c>
      <c r="I760" s="59">
        <v>7</v>
      </c>
      <c r="J760" s="60" t="s">
        <v>1093</v>
      </c>
      <c r="K760" s="63" t="str">
        <f t="shared" si="84"/>
        <v>XGF-HO8AInput</v>
      </c>
      <c r="L760" s="59">
        <f t="shared" si="85"/>
        <v>130</v>
      </c>
      <c r="M760" s="59">
        <f t="shared" si="86"/>
        <v>66</v>
      </c>
      <c r="N760" s="59">
        <f t="shared" si="83"/>
        <v>64</v>
      </c>
      <c r="O760" s="60">
        <f t="shared" si="80"/>
        <v>760</v>
      </c>
      <c r="P760" s="65"/>
    </row>
    <row r="761" spans="3:16">
      <c r="C761" s="83" t="s">
        <v>72</v>
      </c>
      <c r="D761" s="75"/>
      <c r="E761" s="75"/>
      <c r="F761" s="81" t="s">
        <v>151</v>
      </c>
      <c r="G761" s="55" t="s">
        <v>1315</v>
      </c>
      <c r="H761" s="55" t="s">
        <v>139</v>
      </c>
      <c r="I761" s="59">
        <v>8</v>
      </c>
      <c r="J761" s="60" t="s">
        <v>1316</v>
      </c>
      <c r="K761" s="63" t="str">
        <f t="shared" si="84"/>
        <v>XGF-HO8AInput</v>
      </c>
      <c r="L761" s="59">
        <f t="shared" si="85"/>
        <v>130</v>
      </c>
      <c r="M761" s="59">
        <f t="shared" si="86"/>
        <v>66</v>
      </c>
      <c r="N761" s="59">
        <f t="shared" si="83"/>
        <v>64</v>
      </c>
      <c r="O761" s="60">
        <f t="shared" si="80"/>
        <v>761</v>
      </c>
      <c r="P761" s="65"/>
    </row>
    <row r="762" spans="3:16">
      <c r="C762" s="83" t="s">
        <v>72</v>
      </c>
      <c r="D762" s="75"/>
      <c r="E762" s="75"/>
      <c r="F762" s="81" t="s">
        <v>151</v>
      </c>
      <c r="G762" s="55" t="s">
        <v>1317</v>
      </c>
      <c r="H762" s="55" t="s">
        <v>139</v>
      </c>
      <c r="I762" s="59">
        <v>9</v>
      </c>
      <c r="J762" s="60" t="s">
        <v>1318</v>
      </c>
      <c r="K762" s="63" t="str">
        <f t="shared" si="84"/>
        <v>XGF-HO8AInput</v>
      </c>
      <c r="L762" s="59">
        <f t="shared" si="85"/>
        <v>130</v>
      </c>
      <c r="M762" s="59">
        <f t="shared" si="86"/>
        <v>66</v>
      </c>
      <c r="N762" s="59">
        <f t="shared" si="83"/>
        <v>64</v>
      </c>
      <c r="O762" s="60">
        <f t="shared" si="80"/>
        <v>762</v>
      </c>
      <c r="P762" s="65"/>
    </row>
    <row r="763" spans="3:16">
      <c r="C763" s="83" t="s">
        <v>72</v>
      </c>
      <c r="D763" s="75"/>
      <c r="E763" s="75"/>
      <c r="F763" s="81" t="s">
        <v>151</v>
      </c>
      <c r="G763" s="55" t="s">
        <v>1319</v>
      </c>
      <c r="H763" s="55" t="s">
        <v>139</v>
      </c>
      <c r="I763" s="59">
        <v>10</v>
      </c>
      <c r="J763" s="60" t="s">
        <v>1320</v>
      </c>
      <c r="K763" s="63" t="str">
        <f t="shared" si="84"/>
        <v>XGF-HO8AInput</v>
      </c>
      <c r="L763" s="59">
        <f t="shared" si="85"/>
        <v>130</v>
      </c>
      <c r="M763" s="59">
        <f t="shared" si="86"/>
        <v>66</v>
      </c>
      <c r="N763" s="59">
        <f t="shared" si="83"/>
        <v>64</v>
      </c>
      <c r="O763" s="60">
        <f t="shared" si="80"/>
        <v>763</v>
      </c>
      <c r="P763" s="65"/>
    </row>
    <row r="764" spans="3:16">
      <c r="C764" s="83" t="s">
        <v>72</v>
      </c>
      <c r="D764" s="75"/>
      <c r="E764" s="75"/>
      <c r="F764" s="81" t="s">
        <v>151</v>
      </c>
      <c r="G764" s="55" t="s">
        <v>1321</v>
      </c>
      <c r="H764" s="55" t="s">
        <v>139</v>
      </c>
      <c r="I764" s="59">
        <v>11</v>
      </c>
      <c r="J764" s="60" t="s">
        <v>1322</v>
      </c>
      <c r="K764" s="63" t="str">
        <f t="shared" si="84"/>
        <v>XGF-HO8AInput</v>
      </c>
      <c r="L764" s="59">
        <f t="shared" si="85"/>
        <v>130</v>
      </c>
      <c r="M764" s="59">
        <f t="shared" si="86"/>
        <v>66</v>
      </c>
      <c r="N764" s="59">
        <f t="shared" si="83"/>
        <v>64</v>
      </c>
      <c r="O764" s="60">
        <f t="shared" si="80"/>
        <v>764</v>
      </c>
      <c r="P764" s="65"/>
    </row>
    <row r="765" spans="3:16">
      <c r="C765" s="83" t="s">
        <v>72</v>
      </c>
      <c r="D765" s="75"/>
      <c r="E765" s="75"/>
      <c r="F765" s="81" t="s">
        <v>151</v>
      </c>
      <c r="G765" s="55" t="s">
        <v>1323</v>
      </c>
      <c r="H765" s="55" t="s">
        <v>139</v>
      </c>
      <c r="I765" s="59">
        <v>12</v>
      </c>
      <c r="J765" s="60" t="s">
        <v>1324</v>
      </c>
      <c r="K765" s="63" t="str">
        <f t="shared" si="84"/>
        <v>XGF-HO8AInput</v>
      </c>
      <c r="L765" s="59">
        <f t="shared" si="85"/>
        <v>130</v>
      </c>
      <c r="M765" s="59">
        <f t="shared" si="86"/>
        <v>66</v>
      </c>
      <c r="N765" s="59">
        <f t="shared" si="83"/>
        <v>64</v>
      </c>
      <c r="O765" s="60">
        <f t="shared" si="80"/>
        <v>765</v>
      </c>
      <c r="P765" s="65"/>
    </row>
    <row r="766" spans="3:16">
      <c r="C766" s="83" t="s">
        <v>72</v>
      </c>
      <c r="D766" s="75"/>
      <c r="E766" s="75"/>
      <c r="F766" s="81" t="s">
        <v>151</v>
      </c>
      <c r="G766" s="55" t="s">
        <v>1325</v>
      </c>
      <c r="H766" s="55" t="s">
        <v>139</v>
      </c>
      <c r="I766" s="59">
        <v>13</v>
      </c>
      <c r="J766" s="60" t="s">
        <v>1326</v>
      </c>
      <c r="K766" s="63" t="str">
        <f t="shared" si="84"/>
        <v>XGF-HO8AInput</v>
      </c>
      <c r="L766" s="59">
        <f t="shared" si="85"/>
        <v>130</v>
      </c>
      <c r="M766" s="59">
        <f t="shared" si="86"/>
        <v>66</v>
      </c>
      <c r="N766" s="59">
        <f t="shared" si="83"/>
        <v>64</v>
      </c>
      <c r="O766" s="60">
        <f t="shared" si="80"/>
        <v>766</v>
      </c>
      <c r="P766" s="65"/>
    </row>
    <row r="767" spans="3:16">
      <c r="C767" s="83" t="s">
        <v>72</v>
      </c>
      <c r="D767" s="75"/>
      <c r="E767" s="75"/>
      <c r="F767" s="81" t="s">
        <v>151</v>
      </c>
      <c r="G767" s="55" t="s">
        <v>1327</v>
      </c>
      <c r="H767" s="55" t="s">
        <v>139</v>
      </c>
      <c r="I767" s="59">
        <v>14</v>
      </c>
      <c r="J767" s="60" t="s">
        <v>1328</v>
      </c>
      <c r="K767" s="63" t="str">
        <f t="shared" si="84"/>
        <v>XGF-HO8AInput</v>
      </c>
      <c r="L767" s="59">
        <f t="shared" si="85"/>
        <v>130</v>
      </c>
      <c r="M767" s="59">
        <f t="shared" si="86"/>
        <v>66</v>
      </c>
      <c r="N767" s="59">
        <f t="shared" si="83"/>
        <v>64</v>
      </c>
      <c r="O767" s="60">
        <f t="shared" si="80"/>
        <v>767</v>
      </c>
      <c r="P767" s="65"/>
    </row>
    <row r="768" spans="3:16">
      <c r="C768" s="83" t="s">
        <v>72</v>
      </c>
      <c r="D768" s="75"/>
      <c r="E768" s="75"/>
      <c r="F768" s="81" t="s">
        <v>151</v>
      </c>
      <c r="G768" s="55" t="s">
        <v>1329</v>
      </c>
      <c r="H768" s="55" t="s">
        <v>139</v>
      </c>
      <c r="I768" s="59">
        <v>15</v>
      </c>
      <c r="J768" s="60" t="s">
        <v>1330</v>
      </c>
      <c r="K768" s="63" t="str">
        <f t="shared" si="84"/>
        <v>XGF-HO8AInput</v>
      </c>
      <c r="L768" s="59">
        <f t="shared" si="85"/>
        <v>130</v>
      </c>
      <c r="M768" s="59">
        <f t="shared" si="86"/>
        <v>66</v>
      </c>
      <c r="N768" s="59">
        <f t="shared" si="83"/>
        <v>64</v>
      </c>
      <c r="O768" s="60">
        <f t="shared" si="80"/>
        <v>768</v>
      </c>
      <c r="P768" s="65"/>
    </row>
    <row r="769" spans="3:16">
      <c r="C769" s="83" t="s">
        <v>72</v>
      </c>
      <c r="D769" s="75"/>
      <c r="E769" s="75"/>
      <c r="F769" s="81" t="s">
        <v>151</v>
      </c>
      <c r="G769" s="55" t="s">
        <v>1331</v>
      </c>
      <c r="H769" s="55" t="s">
        <v>139</v>
      </c>
      <c r="I769" s="59">
        <v>16</v>
      </c>
      <c r="J769" s="60" t="s">
        <v>1332</v>
      </c>
      <c r="K769" s="63" t="str">
        <f t="shared" si="84"/>
        <v>XGF-HO8AInput</v>
      </c>
      <c r="L769" s="59">
        <f t="shared" si="85"/>
        <v>130</v>
      </c>
      <c r="M769" s="59">
        <f t="shared" si="86"/>
        <v>66</v>
      </c>
      <c r="N769" s="59">
        <f t="shared" si="83"/>
        <v>64</v>
      </c>
      <c r="O769" s="60">
        <f t="shared" si="80"/>
        <v>769</v>
      </c>
      <c r="P769" s="65"/>
    </row>
    <row r="770" spans="3:16">
      <c r="C770" s="83" t="s">
        <v>72</v>
      </c>
      <c r="D770" s="75"/>
      <c r="E770" s="75"/>
      <c r="F770" s="81" t="s">
        <v>151</v>
      </c>
      <c r="G770" s="55" t="s">
        <v>1333</v>
      </c>
      <c r="H770" s="55" t="s">
        <v>139</v>
      </c>
      <c r="I770" s="59">
        <v>17</v>
      </c>
      <c r="J770" s="60" t="s">
        <v>1334</v>
      </c>
      <c r="K770" s="63" t="str">
        <f t="shared" si="84"/>
        <v>XGF-HO8AInput</v>
      </c>
      <c r="L770" s="59">
        <f t="shared" si="85"/>
        <v>130</v>
      </c>
      <c r="M770" s="59">
        <f t="shared" si="86"/>
        <v>66</v>
      </c>
      <c r="N770" s="59">
        <f t="shared" si="83"/>
        <v>64</v>
      </c>
      <c r="O770" s="60">
        <f t="shared" ref="O770:O833" si="87">ROW(C770)</f>
        <v>770</v>
      </c>
      <c r="P770" s="65"/>
    </row>
    <row r="771" spans="3:16">
      <c r="C771" s="83" t="s">
        <v>72</v>
      </c>
      <c r="D771" s="75"/>
      <c r="E771" s="75"/>
      <c r="F771" s="81" t="s">
        <v>151</v>
      </c>
      <c r="G771" s="55" t="s">
        <v>1335</v>
      </c>
      <c r="H771" s="55" t="s">
        <v>139</v>
      </c>
      <c r="I771" s="59">
        <v>18</v>
      </c>
      <c r="J771" s="60" t="s">
        <v>1336</v>
      </c>
      <c r="K771" s="63" t="str">
        <f t="shared" si="84"/>
        <v>XGF-HO8AInput</v>
      </c>
      <c r="L771" s="59">
        <f t="shared" si="85"/>
        <v>130</v>
      </c>
      <c r="M771" s="59">
        <f t="shared" si="86"/>
        <v>66</v>
      </c>
      <c r="N771" s="59">
        <f>L771-M771</f>
        <v>64</v>
      </c>
      <c r="O771" s="60">
        <f t="shared" si="87"/>
        <v>771</v>
      </c>
      <c r="P771" s="65"/>
    </row>
    <row r="772" spans="3:16">
      <c r="C772" s="83" t="s">
        <v>72</v>
      </c>
      <c r="D772" s="75"/>
      <c r="E772" s="75"/>
      <c r="F772" s="81" t="s">
        <v>151</v>
      </c>
      <c r="G772" s="55" t="s">
        <v>1337</v>
      </c>
      <c r="H772" s="55" t="s">
        <v>139</v>
      </c>
      <c r="I772" s="59">
        <v>19</v>
      </c>
      <c r="J772" s="60" t="s">
        <v>1338</v>
      </c>
      <c r="K772" s="63" t="str">
        <f t="shared" si="84"/>
        <v>XGF-HO8AInput</v>
      </c>
      <c r="L772" s="59">
        <f t="shared" si="85"/>
        <v>130</v>
      </c>
      <c r="M772" s="59">
        <f t="shared" si="86"/>
        <v>66</v>
      </c>
      <c r="N772" s="59">
        <f>L772-M772</f>
        <v>64</v>
      </c>
      <c r="O772" s="60">
        <f t="shared" si="87"/>
        <v>772</v>
      </c>
      <c r="P772" s="65"/>
    </row>
    <row r="773" spans="3:16">
      <c r="C773" s="83" t="s">
        <v>72</v>
      </c>
      <c r="D773" s="75"/>
      <c r="E773" s="75"/>
      <c r="F773" s="81" t="s">
        <v>151</v>
      </c>
      <c r="G773" s="62" t="s">
        <v>6</v>
      </c>
      <c r="H773" s="55" t="s">
        <v>139</v>
      </c>
      <c r="I773" s="59">
        <v>20</v>
      </c>
      <c r="J773" s="60" t="s">
        <v>140</v>
      </c>
      <c r="K773" s="63" t="str">
        <f t="shared" si="84"/>
        <v>XGF-HO8AInput</v>
      </c>
      <c r="L773" s="59">
        <f t="shared" si="85"/>
        <v>130</v>
      </c>
      <c r="M773" s="59">
        <f t="shared" si="86"/>
        <v>66</v>
      </c>
      <c r="N773" s="59">
        <f>L773-M773</f>
        <v>64</v>
      </c>
      <c r="O773" s="60">
        <f t="shared" si="87"/>
        <v>773</v>
      </c>
      <c r="P773" s="65"/>
    </row>
    <row r="774" spans="3:16">
      <c r="C774" s="83" t="s">
        <v>72</v>
      </c>
      <c r="D774" s="75"/>
      <c r="E774" s="75"/>
      <c r="F774" s="81" t="s">
        <v>166</v>
      </c>
      <c r="G774" s="55" t="s">
        <v>1339</v>
      </c>
      <c r="H774" s="55" t="s">
        <v>124</v>
      </c>
      <c r="I774" s="59">
        <v>0</v>
      </c>
      <c r="J774" s="60" t="s">
        <v>1111</v>
      </c>
      <c r="K774" s="63"/>
      <c r="L774" s="59"/>
      <c r="M774" s="59"/>
      <c r="N774" s="59"/>
      <c r="O774" s="60">
        <f t="shared" si="87"/>
        <v>774</v>
      </c>
      <c r="P774" s="65"/>
    </row>
    <row r="775" spans="3:16">
      <c r="C775" s="83" t="s">
        <v>72</v>
      </c>
      <c r="D775" s="75"/>
      <c r="E775" s="75"/>
      <c r="F775" s="81" t="s">
        <v>166</v>
      </c>
      <c r="G775" s="55" t="s">
        <v>1340</v>
      </c>
      <c r="H775" s="55" t="s">
        <v>124</v>
      </c>
      <c r="I775" s="59">
        <v>0.1</v>
      </c>
      <c r="J775" s="60" t="s">
        <v>1115</v>
      </c>
      <c r="K775" s="63"/>
      <c r="L775" s="59"/>
      <c r="M775" s="59"/>
      <c r="N775" s="59"/>
      <c r="O775" s="60">
        <f t="shared" si="87"/>
        <v>775</v>
      </c>
      <c r="P775" s="65"/>
    </row>
    <row r="776" spans="3:16">
      <c r="C776" s="83" t="s">
        <v>72</v>
      </c>
      <c r="D776" s="75"/>
      <c r="E776" s="75"/>
      <c r="F776" s="81" t="s">
        <v>166</v>
      </c>
      <c r="G776" s="55" t="s">
        <v>1341</v>
      </c>
      <c r="H776" s="55" t="s">
        <v>124</v>
      </c>
      <c r="I776" s="59">
        <v>0.2</v>
      </c>
      <c r="J776" s="60" t="s">
        <v>1113</v>
      </c>
      <c r="K776" s="63"/>
      <c r="L776" s="59"/>
      <c r="M776" s="59"/>
      <c r="N776" s="59"/>
      <c r="O776" s="60">
        <f t="shared" si="87"/>
        <v>776</v>
      </c>
      <c r="P776" s="65"/>
    </row>
    <row r="777" spans="3:16">
      <c r="C777" s="83" t="s">
        <v>72</v>
      </c>
      <c r="D777" s="75"/>
      <c r="E777" s="75"/>
      <c r="F777" s="81" t="s">
        <v>166</v>
      </c>
      <c r="G777" s="72" t="s">
        <v>3501</v>
      </c>
      <c r="H777" s="55" t="s">
        <v>124</v>
      </c>
      <c r="I777" s="59">
        <v>0.3</v>
      </c>
      <c r="J777" s="60" t="s">
        <v>1342</v>
      </c>
      <c r="K777" s="63"/>
      <c r="L777" s="59"/>
      <c r="M777" s="59"/>
      <c r="N777" s="59"/>
      <c r="O777" s="60">
        <f t="shared" si="87"/>
        <v>777</v>
      </c>
      <c r="P777" s="65"/>
    </row>
    <row r="778" spans="3:16">
      <c r="C778" s="83" t="s">
        <v>72</v>
      </c>
      <c r="D778" s="75"/>
      <c r="E778" s="75"/>
      <c r="F778" s="81" t="s">
        <v>166</v>
      </c>
      <c r="G778" s="55" t="s">
        <v>1343</v>
      </c>
      <c r="H778" s="55" t="s">
        <v>124</v>
      </c>
      <c r="I778" s="59">
        <v>0.4</v>
      </c>
      <c r="J778" s="60" t="s">
        <v>1126</v>
      </c>
      <c r="K778" s="63"/>
      <c r="L778" s="59"/>
      <c r="M778" s="59"/>
      <c r="N778" s="59"/>
      <c r="O778" s="60">
        <f t="shared" si="87"/>
        <v>778</v>
      </c>
      <c r="P778" s="65"/>
    </row>
    <row r="779" spans="3:16">
      <c r="C779" s="83" t="s">
        <v>72</v>
      </c>
      <c r="D779" s="75"/>
      <c r="E779" s="75"/>
      <c r="F779" s="81" t="s">
        <v>166</v>
      </c>
      <c r="G779" s="55" t="s">
        <v>1344</v>
      </c>
      <c r="H779" s="55" t="s">
        <v>124</v>
      </c>
      <c r="I779" s="59">
        <v>0.5</v>
      </c>
      <c r="J779" s="60" t="s">
        <v>1118</v>
      </c>
      <c r="K779" s="63"/>
      <c r="L779" s="59"/>
      <c r="M779" s="59"/>
      <c r="N779" s="59"/>
      <c r="O779" s="60">
        <f t="shared" si="87"/>
        <v>779</v>
      </c>
      <c r="P779" s="65"/>
    </row>
    <row r="780" spans="3:16">
      <c r="C780" s="83" t="s">
        <v>72</v>
      </c>
      <c r="D780" s="75"/>
      <c r="E780" s="75"/>
      <c r="F780" s="81" t="s">
        <v>166</v>
      </c>
      <c r="G780" s="55" t="s">
        <v>1345</v>
      </c>
      <c r="H780" s="55" t="s">
        <v>124</v>
      </c>
      <c r="I780" s="59">
        <v>0.6</v>
      </c>
      <c r="J780" s="60" t="s">
        <v>1120</v>
      </c>
      <c r="K780" s="63"/>
      <c r="L780" s="59"/>
      <c r="M780" s="59"/>
      <c r="N780" s="59"/>
      <c r="O780" s="60">
        <f t="shared" si="87"/>
        <v>780</v>
      </c>
      <c r="P780" s="65"/>
    </row>
    <row r="781" spans="3:16">
      <c r="C781" s="83" t="s">
        <v>72</v>
      </c>
      <c r="D781" s="75"/>
      <c r="E781" s="75"/>
      <c r="F781" s="81" t="s">
        <v>166</v>
      </c>
      <c r="G781" s="55" t="s">
        <v>1346</v>
      </c>
      <c r="H781" s="55" t="s">
        <v>124</v>
      </c>
      <c r="I781" s="59">
        <v>0.7</v>
      </c>
      <c r="J781" s="60" t="s">
        <v>1122</v>
      </c>
      <c r="K781" s="63"/>
      <c r="L781" s="59"/>
      <c r="M781" s="59"/>
      <c r="N781" s="59"/>
      <c r="O781" s="60">
        <f t="shared" si="87"/>
        <v>781</v>
      </c>
      <c r="P781" s="65"/>
    </row>
    <row r="782" spans="3:16">
      <c r="C782" s="83" t="s">
        <v>72</v>
      </c>
      <c r="D782" s="75"/>
      <c r="E782" s="75"/>
      <c r="F782" s="81" t="s">
        <v>166</v>
      </c>
      <c r="G782" s="55" t="s">
        <v>1347</v>
      </c>
      <c r="H782" s="55" t="s">
        <v>124</v>
      </c>
      <c r="I782" s="59">
        <v>0.8</v>
      </c>
      <c r="J782" s="60" t="s">
        <v>1136</v>
      </c>
      <c r="K782" s="63"/>
      <c r="L782" s="59"/>
      <c r="M782" s="59"/>
      <c r="N782" s="59"/>
      <c r="O782" s="60">
        <f t="shared" si="87"/>
        <v>782</v>
      </c>
      <c r="P782" s="65"/>
    </row>
    <row r="783" spans="3:16">
      <c r="C783" s="83" t="s">
        <v>72</v>
      </c>
      <c r="D783" s="75"/>
      <c r="E783" s="75"/>
      <c r="F783" s="81" t="s">
        <v>166</v>
      </c>
      <c r="G783" s="55" t="s">
        <v>1348</v>
      </c>
      <c r="H783" s="55" t="s">
        <v>124</v>
      </c>
      <c r="I783" s="59">
        <v>0.9</v>
      </c>
      <c r="J783" s="60" t="s">
        <v>1140</v>
      </c>
      <c r="K783" s="63"/>
      <c r="L783" s="59"/>
      <c r="M783" s="59"/>
      <c r="N783" s="59"/>
      <c r="O783" s="60">
        <f t="shared" si="87"/>
        <v>783</v>
      </c>
      <c r="P783" s="65"/>
    </row>
    <row r="784" spans="3:16">
      <c r="C784" s="83" t="s">
        <v>72</v>
      </c>
      <c r="D784" s="75"/>
      <c r="E784" s="75"/>
      <c r="F784" s="81" t="s">
        <v>166</v>
      </c>
      <c r="G784" s="55" t="s">
        <v>1349</v>
      </c>
      <c r="H784" s="55" t="s">
        <v>124</v>
      </c>
      <c r="I784" s="59" t="s">
        <v>988</v>
      </c>
      <c r="J784" s="60" t="s">
        <v>1138</v>
      </c>
      <c r="K784" s="63"/>
      <c r="L784" s="59"/>
      <c r="M784" s="59"/>
      <c r="N784" s="59"/>
      <c r="O784" s="60">
        <f t="shared" si="87"/>
        <v>784</v>
      </c>
      <c r="P784" s="65"/>
    </row>
    <row r="785" spans="3:16">
      <c r="C785" s="83" t="s">
        <v>72</v>
      </c>
      <c r="D785" s="75"/>
      <c r="E785" s="75"/>
      <c r="F785" s="81" t="s">
        <v>166</v>
      </c>
      <c r="G785" s="72" t="s">
        <v>3502</v>
      </c>
      <c r="H785" s="55" t="s">
        <v>124</v>
      </c>
      <c r="I785" s="59" t="s">
        <v>991</v>
      </c>
      <c r="J785" s="60" t="s">
        <v>1141</v>
      </c>
      <c r="K785" s="63"/>
      <c r="L785" s="59"/>
      <c r="M785" s="59"/>
      <c r="N785" s="59"/>
      <c r="O785" s="60">
        <f t="shared" si="87"/>
        <v>785</v>
      </c>
      <c r="P785" s="65"/>
    </row>
    <row r="786" spans="3:16">
      <c r="C786" s="83" t="s">
        <v>72</v>
      </c>
      <c r="D786" s="75"/>
      <c r="E786" s="75"/>
      <c r="F786" s="81" t="s">
        <v>166</v>
      </c>
      <c r="G786" s="55" t="s">
        <v>1350</v>
      </c>
      <c r="H786" s="55" t="s">
        <v>124</v>
      </c>
      <c r="I786" s="59" t="s">
        <v>1130</v>
      </c>
      <c r="J786" s="60" t="s">
        <v>1150</v>
      </c>
      <c r="K786" s="63"/>
      <c r="L786" s="59"/>
      <c r="M786" s="59"/>
      <c r="N786" s="59"/>
      <c r="O786" s="60">
        <f t="shared" si="87"/>
        <v>786</v>
      </c>
      <c r="P786" s="65"/>
    </row>
    <row r="787" spans="3:16">
      <c r="C787" s="83" t="s">
        <v>72</v>
      </c>
      <c r="D787" s="75"/>
      <c r="E787" s="75"/>
      <c r="F787" s="81" t="s">
        <v>166</v>
      </c>
      <c r="G787" s="55" t="s">
        <v>1351</v>
      </c>
      <c r="H787" s="55" t="s">
        <v>124</v>
      </c>
      <c r="I787" s="59" t="s">
        <v>1133</v>
      </c>
      <c r="J787" s="60" t="s">
        <v>1143</v>
      </c>
      <c r="K787" s="63"/>
      <c r="L787" s="59"/>
      <c r="M787" s="59"/>
      <c r="N787" s="59"/>
      <c r="O787" s="60">
        <f t="shared" si="87"/>
        <v>787</v>
      </c>
      <c r="P787" s="65"/>
    </row>
    <row r="788" spans="3:16">
      <c r="C788" s="83" t="s">
        <v>72</v>
      </c>
      <c r="D788" s="75"/>
      <c r="E788" s="75"/>
      <c r="F788" s="81" t="s">
        <v>166</v>
      </c>
      <c r="G788" s="55" t="s">
        <v>1352</v>
      </c>
      <c r="H788" s="55" t="s">
        <v>124</v>
      </c>
      <c r="I788" s="59" t="s">
        <v>1050</v>
      </c>
      <c r="J788" s="60" t="s">
        <v>1145</v>
      </c>
      <c r="K788" s="63"/>
      <c r="L788" s="59"/>
      <c r="M788" s="59"/>
      <c r="N788" s="59"/>
      <c r="O788" s="60">
        <f t="shared" si="87"/>
        <v>788</v>
      </c>
      <c r="P788" s="65"/>
    </row>
    <row r="789" spans="3:16">
      <c r="C789" s="83" t="s">
        <v>72</v>
      </c>
      <c r="D789" s="75"/>
      <c r="E789" s="75"/>
      <c r="F789" s="81" t="s">
        <v>166</v>
      </c>
      <c r="G789" s="55" t="s">
        <v>1353</v>
      </c>
      <c r="H789" s="55" t="s">
        <v>124</v>
      </c>
      <c r="I789" s="59" t="s">
        <v>126</v>
      </c>
      <c r="J789" s="60" t="s">
        <v>1148</v>
      </c>
      <c r="K789" s="63"/>
      <c r="L789" s="59"/>
      <c r="M789" s="59"/>
      <c r="N789" s="59"/>
      <c r="O789" s="60">
        <f t="shared" si="87"/>
        <v>789</v>
      </c>
      <c r="P789" s="65"/>
    </row>
    <row r="790" spans="3:16">
      <c r="C790" s="83" t="s">
        <v>72</v>
      </c>
      <c r="D790" s="75"/>
      <c r="E790" s="75"/>
      <c r="F790" s="81" t="s">
        <v>166</v>
      </c>
      <c r="G790" s="55" t="s">
        <v>1354</v>
      </c>
      <c r="H790" s="55" t="s">
        <v>124</v>
      </c>
      <c r="I790" s="59">
        <v>1</v>
      </c>
      <c r="J790" s="60" t="s">
        <v>1355</v>
      </c>
      <c r="K790" s="63"/>
      <c r="L790" s="59"/>
      <c r="M790" s="59"/>
      <c r="N790" s="59"/>
      <c r="O790" s="60">
        <f t="shared" si="87"/>
        <v>790</v>
      </c>
      <c r="P790" s="65"/>
    </row>
    <row r="791" spans="3:16">
      <c r="C791" s="83" t="s">
        <v>72</v>
      </c>
      <c r="D791" s="75"/>
      <c r="E791" s="75"/>
      <c r="F791" s="81" t="s">
        <v>166</v>
      </c>
      <c r="G791" s="55" t="s">
        <v>1356</v>
      </c>
      <c r="H791" s="55" t="s">
        <v>124</v>
      </c>
      <c r="I791" s="59">
        <v>1.1000000000000001</v>
      </c>
      <c r="J791" s="60" t="s">
        <v>1357</v>
      </c>
      <c r="K791" s="63"/>
      <c r="L791" s="59"/>
      <c r="M791" s="59"/>
      <c r="N791" s="59"/>
      <c r="O791" s="60">
        <f t="shared" si="87"/>
        <v>791</v>
      </c>
      <c r="P791" s="65"/>
    </row>
    <row r="792" spans="3:16">
      <c r="C792" s="83" t="s">
        <v>72</v>
      </c>
      <c r="D792" s="75"/>
      <c r="E792" s="75"/>
      <c r="F792" s="81" t="s">
        <v>166</v>
      </c>
      <c r="G792" s="55" t="s">
        <v>1358</v>
      </c>
      <c r="H792" s="55" t="s">
        <v>124</v>
      </c>
      <c r="I792" s="59">
        <v>1.2</v>
      </c>
      <c r="J792" s="60" t="s">
        <v>1359</v>
      </c>
      <c r="K792" s="63"/>
      <c r="L792" s="59"/>
      <c r="M792" s="59"/>
      <c r="N792" s="59"/>
      <c r="O792" s="60">
        <f t="shared" si="87"/>
        <v>792</v>
      </c>
      <c r="P792" s="65"/>
    </row>
    <row r="793" spans="3:16">
      <c r="C793" s="83" t="s">
        <v>72</v>
      </c>
      <c r="D793" s="75"/>
      <c r="E793" s="75"/>
      <c r="F793" s="81" t="s">
        <v>166</v>
      </c>
      <c r="G793" s="72" t="s">
        <v>3503</v>
      </c>
      <c r="H793" s="55" t="s">
        <v>124</v>
      </c>
      <c r="I793" s="59">
        <v>1.3</v>
      </c>
      <c r="J793" s="60" t="s">
        <v>1360</v>
      </c>
      <c r="K793" s="63"/>
      <c r="L793" s="59"/>
      <c r="M793" s="59"/>
      <c r="N793" s="59"/>
      <c r="O793" s="60">
        <f t="shared" si="87"/>
        <v>793</v>
      </c>
      <c r="P793" s="65"/>
    </row>
    <row r="794" spans="3:16">
      <c r="C794" s="83" t="s">
        <v>72</v>
      </c>
      <c r="D794" s="75"/>
      <c r="E794" s="75"/>
      <c r="F794" s="81" t="s">
        <v>166</v>
      </c>
      <c r="G794" s="55" t="s">
        <v>1361</v>
      </c>
      <c r="H794" s="55" t="s">
        <v>124</v>
      </c>
      <c r="I794" s="59">
        <v>1.4</v>
      </c>
      <c r="J794" s="60" t="s">
        <v>1362</v>
      </c>
      <c r="K794" s="63"/>
      <c r="L794" s="59"/>
      <c r="M794" s="59"/>
      <c r="N794" s="59"/>
      <c r="O794" s="60">
        <f t="shared" si="87"/>
        <v>794</v>
      </c>
      <c r="P794" s="65"/>
    </row>
    <row r="795" spans="3:16">
      <c r="C795" s="83" t="s">
        <v>72</v>
      </c>
      <c r="D795" s="75"/>
      <c r="E795" s="75"/>
      <c r="F795" s="81" t="s">
        <v>166</v>
      </c>
      <c r="G795" s="55" t="s">
        <v>1363</v>
      </c>
      <c r="H795" s="55" t="s">
        <v>124</v>
      </c>
      <c r="I795" s="59">
        <v>1.5</v>
      </c>
      <c r="J795" s="60" t="s">
        <v>1364</v>
      </c>
      <c r="K795" s="63"/>
      <c r="L795" s="59"/>
      <c r="M795" s="59"/>
      <c r="N795" s="59"/>
      <c r="O795" s="60">
        <f t="shared" si="87"/>
        <v>795</v>
      </c>
      <c r="P795" s="65"/>
    </row>
    <row r="796" spans="3:16">
      <c r="C796" s="83" t="s">
        <v>72</v>
      </c>
      <c r="D796" s="75"/>
      <c r="E796" s="75"/>
      <c r="F796" s="81" t="s">
        <v>166</v>
      </c>
      <c r="G796" s="55" t="s">
        <v>1365</v>
      </c>
      <c r="H796" s="55" t="s">
        <v>124</v>
      </c>
      <c r="I796" s="59">
        <v>1.6</v>
      </c>
      <c r="J796" s="60" t="s">
        <v>1366</v>
      </c>
      <c r="K796" s="63"/>
      <c r="L796" s="59"/>
      <c r="M796" s="59"/>
      <c r="N796" s="59"/>
      <c r="O796" s="60">
        <f t="shared" si="87"/>
        <v>796</v>
      </c>
      <c r="P796" s="65"/>
    </row>
    <row r="797" spans="3:16">
      <c r="C797" s="83" t="s">
        <v>72</v>
      </c>
      <c r="D797" s="75"/>
      <c r="E797" s="75"/>
      <c r="F797" s="81" t="s">
        <v>166</v>
      </c>
      <c r="G797" s="55" t="s">
        <v>1367</v>
      </c>
      <c r="H797" s="55" t="s">
        <v>124</v>
      </c>
      <c r="I797" s="59">
        <v>1.7</v>
      </c>
      <c r="J797" s="60" t="s">
        <v>1368</v>
      </c>
      <c r="K797" s="63"/>
      <c r="L797" s="59"/>
      <c r="M797" s="59"/>
      <c r="N797" s="59"/>
      <c r="O797" s="60">
        <f t="shared" si="87"/>
        <v>797</v>
      </c>
      <c r="P797" s="65"/>
    </row>
    <row r="798" spans="3:16">
      <c r="C798" s="83" t="s">
        <v>72</v>
      </c>
      <c r="D798" s="75"/>
      <c r="E798" s="75"/>
      <c r="F798" s="81" t="s">
        <v>166</v>
      </c>
      <c r="G798" s="55" t="s">
        <v>1369</v>
      </c>
      <c r="H798" s="55" t="s">
        <v>124</v>
      </c>
      <c r="I798" s="59">
        <v>1.8</v>
      </c>
      <c r="J798" s="60" t="s">
        <v>1370</v>
      </c>
      <c r="K798" s="63"/>
      <c r="L798" s="59"/>
      <c r="M798" s="59"/>
      <c r="N798" s="59"/>
      <c r="O798" s="60">
        <f t="shared" si="87"/>
        <v>798</v>
      </c>
      <c r="P798" s="65"/>
    </row>
    <row r="799" spans="3:16">
      <c r="C799" s="83" t="s">
        <v>72</v>
      </c>
      <c r="D799" s="75"/>
      <c r="E799" s="75"/>
      <c r="F799" s="81" t="s">
        <v>166</v>
      </c>
      <c r="G799" s="55" t="s">
        <v>1371</v>
      </c>
      <c r="H799" s="55" t="s">
        <v>124</v>
      </c>
      <c r="I799" s="59">
        <v>1.9</v>
      </c>
      <c r="J799" s="60" t="s">
        <v>1372</v>
      </c>
      <c r="K799" s="63"/>
      <c r="L799" s="59"/>
      <c r="M799" s="59"/>
      <c r="N799" s="59"/>
      <c r="O799" s="60">
        <f t="shared" si="87"/>
        <v>799</v>
      </c>
      <c r="P799" s="65"/>
    </row>
    <row r="800" spans="3:16">
      <c r="C800" s="83" t="s">
        <v>72</v>
      </c>
      <c r="D800" s="75"/>
      <c r="E800" s="75"/>
      <c r="F800" s="81" t="s">
        <v>166</v>
      </c>
      <c r="G800" s="55" t="s">
        <v>1373</v>
      </c>
      <c r="H800" s="55" t="s">
        <v>124</v>
      </c>
      <c r="I800" s="59" t="s">
        <v>136</v>
      </c>
      <c r="J800" s="60" t="s">
        <v>1374</v>
      </c>
      <c r="K800" s="63"/>
      <c r="L800" s="59"/>
      <c r="M800" s="59"/>
      <c r="N800" s="59"/>
      <c r="O800" s="60">
        <f t="shared" si="87"/>
        <v>800</v>
      </c>
      <c r="P800" s="65"/>
    </row>
    <row r="801" spans="3:16">
      <c r="C801" s="83" t="s">
        <v>72</v>
      </c>
      <c r="D801" s="75"/>
      <c r="E801" s="75"/>
      <c r="F801" s="81" t="s">
        <v>166</v>
      </c>
      <c r="G801" s="72" t="s">
        <v>3504</v>
      </c>
      <c r="H801" s="55" t="s">
        <v>124</v>
      </c>
      <c r="I801" s="59" t="s">
        <v>138</v>
      </c>
      <c r="J801" s="60" t="s">
        <v>1375</v>
      </c>
      <c r="K801" s="63"/>
      <c r="L801" s="59"/>
      <c r="M801" s="59"/>
      <c r="N801" s="59"/>
      <c r="O801" s="60">
        <f t="shared" si="87"/>
        <v>801</v>
      </c>
      <c r="P801" s="65"/>
    </row>
    <row r="802" spans="3:16">
      <c r="C802" s="83" t="s">
        <v>72</v>
      </c>
      <c r="D802" s="75"/>
      <c r="E802" s="75"/>
      <c r="F802" s="81" t="s">
        <v>166</v>
      </c>
      <c r="G802" s="55" t="s">
        <v>1376</v>
      </c>
      <c r="H802" s="55" t="s">
        <v>124</v>
      </c>
      <c r="I802" s="59" t="s">
        <v>201</v>
      </c>
      <c r="J802" s="60" t="s">
        <v>1377</v>
      </c>
      <c r="K802" s="63"/>
      <c r="L802" s="59"/>
      <c r="M802" s="59"/>
      <c r="N802" s="59"/>
      <c r="O802" s="60">
        <f t="shared" si="87"/>
        <v>802</v>
      </c>
      <c r="P802" s="65"/>
    </row>
    <row r="803" spans="3:16">
      <c r="C803" s="83" t="s">
        <v>72</v>
      </c>
      <c r="D803" s="75"/>
      <c r="E803" s="75"/>
      <c r="F803" s="81" t="s">
        <v>166</v>
      </c>
      <c r="G803" s="55" t="s">
        <v>1378</v>
      </c>
      <c r="H803" s="55" t="s">
        <v>124</v>
      </c>
      <c r="I803" s="59" t="s">
        <v>204</v>
      </c>
      <c r="J803" s="60" t="s">
        <v>1379</v>
      </c>
      <c r="K803" s="63"/>
      <c r="L803" s="59"/>
      <c r="M803" s="59"/>
      <c r="N803" s="59"/>
      <c r="O803" s="60">
        <f t="shared" si="87"/>
        <v>803</v>
      </c>
      <c r="P803" s="65"/>
    </row>
    <row r="804" spans="3:16">
      <c r="C804" s="83" t="s">
        <v>72</v>
      </c>
      <c r="D804" s="75"/>
      <c r="E804" s="75"/>
      <c r="F804" s="81" t="s">
        <v>166</v>
      </c>
      <c r="G804" s="55" t="s">
        <v>1380</v>
      </c>
      <c r="H804" s="55" t="s">
        <v>124</v>
      </c>
      <c r="I804" s="59" t="s">
        <v>207</v>
      </c>
      <c r="J804" s="60" t="s">
        <v>1381</v>
      </c>
      <c r="K804" s="63"/>
      <c r="L804" s="59"/>
      <c r="M804" s="59"/>
      <c r="N804" s="59"/>
      <c r="O804" s="60">
        <f t="shared" si="87"/>
        <v>804</v>
      </c>
      <c r="P804" s="65"/>
    </row>
    <row r="805" spans="3:16">
      <c r="C805" s="83" t="s">
        <v>72</v>
      </c>
      <c r="D805" s="75"/>
      <c r="E805" s="75"/>
      <c r="F805" s="81" t="s">
        <v>166</v>
      </c>
      <c r="G805" s="55" t="s">
        <v>1382</v>
      </c>
      <c r="H805" s="55" t="s">
        <v>124</v>
      </c>
      <c r="I805" s="59" t="s">
        <v>210</v>
      </c>
      <c r="J805" s="60" t="s">
        <v>1383</v>
      </c>
      <c r="K805" s="63"/>
      <c r="L805" s="59"/>
      <c r="M805" s="59"/>
      <c r="N805" s="59"/>
      <c r="O805" s="60">
        <f t="shared" si="87"/>
        <v>805</v>
      </c>
      <c r="P805" s="65"/>
    </row>
    <row r="806" spans="3:16">
      <c r="C806" s="83" t="s">
        <v>72</v>
      </c>
      <c r="D806" s="75"/>
      <c r="E806" s="75"/>
      <c r="F806" s="81" t="s">
        <v>166</v>
      </c>
      <c r="G806" s="55" t="s">
        <v>1384</v>
      </c>
      <c r="H806" s="55" t="s">
        <v>124</v>
      </c>
      <c r="I806" s="59">
        <v>2</v>
      </c>
      <c r="J806" s="60" t="s">
        <v>1385</v>
      </c>
      <c r="K806" s="63"/>
      <c r="L806" s="59"/>
      <c r="M806" s="59"/>
      <c r="N806" s="59"/>
      <c r="O806" s="60">
        <f t="shared" si="87"/>
        <v>806</v>
      </c>
      <c r="P806" s="65"/>
    </row>
    <row r="807" spans="3:16">
      <c r="C807" s="83" t="s">
        <v>72</v>
      </c>
      <c r="D807" s="75"/>
      <c r="E807" s="75"/>
      <c r="F807" s="81" t="s">
        <v>166</v>
      </c>
      <c r="G807" s="55" t="s">
        <v>1386</v>
      </c>
      <c r="H807" s="55" t="s">
        <v>124</v>
      </c>
      <c r="I807" s="59">
        <v>2.1</v>
      </c>
      <c r="J807" s="60" t="s">
        <v>1387</v>
      </c>
      <c r="K807" s="63"/>
      <c r="L807" s="59"/>
      <c r="M807" s="59"/>
      <c r="N807" s="59"/>
      <c r="O807" s="60">
        <f t="shared" si="87"/>
        <v>807</v>
      </c>
      <c r="P807" s="65"/>
    </row>
    <row r="808" spans="3:16">
      <c r="C808" s="83" t="s">
        <v>72</v>
      </c>
      <c r="D808" s="75"/>
      <c r="E808" s="75"/>
      <c r="F808" s="81" t="s">
        <v>166</v>
      </c>
      <c r="G808" s="55" t="s">
        <v>1388</v>
      </c>
      <c r="H808" s="55" t="s">
        <v>124</v>
      </c>
      <c r="I808" s="59">
        <v>2.2000000000000002</v>
      </c>
      <c r="J808" s="60" t="s">
        <v>1389</v>
      </c>
      <c r="K808" s="63"/>
      <c r="L808" s="59"/>
      <c r="M808" s="59"/>
      <c r="N808" s="59"/>
      <c r="O808" s="60">
        <f t="shared" si="87"/>
        <v>808</v>
      </c>
      <c r="P808" s="65"/>
    </row>
    <row r="809" spans="3:16">
      <c r="C809" s="83" t="s">
        <v>72</v>
      </c>
      <c r="D809" s="75"/>
      <c r="E809" s="75"/>
      <c r="F809" s="81" t="s">
        <v>166</v>
      </c>
      <c r="G809" s="72" t="s">
        <v>3505</v>
      </c>
      <c r="H809" s="55" t="s">
        <v>124</v>
      </c>
      <c r="I809" s="59">
        <v>2.2999999999999998</v>
      </c>
      <c r="J809" s="60" t="s">
        <v>1390</v>
      </c>
      <c r="K809" s="63"/>
      <c r="L809" s="59"/>
      <c r="M809" s="59"/>
      <c r="N809" s="59"/>
      <c r="O809" s="60">
        <f t="shared" si="87"/>
        <v>809</v>
      </c>
      <c r="P809" s="65"/>
    </row>
    <row r="810" spans="3:16">
      <c r="C810" s="83" t="s">
        <v>72</v>
      </c>
      <c r="D810" s="75"/>
      <c r="E810" s="75"/>
      <c r="F810" s="81" t="s">
        <v>166</v>
      </c>
      <c r="G810" s="55" t="s">
        <v>1391</v>
      </c>
      <c r="H810" s="55" t="s">
        <v>124</v>
      </c>
      <c r="I810" s="59">
        <v>2.4</v>
      </c>
      <c r="J810" s="60" t="s">
        <v>1392</v>
      </c>
      <c r="K810" s="63"/>
      <c r="L810" s="59"/>
      <c r="M810" s="59"/>
      <c r="N810" s="59"/>
      <c r="O810" s="60">
        <f t="shared" si="87"/>
        <v>810</v>
      </c>
      <c r="P810" s="65"/>
    </row>
    <row r="811" spans="3:16">
      <c r="C811" s="83" t="s">
        <v>72</v>
      </c>
      <c r="D811" s="75"/>
      <c r="E811" s="75"/>
      <c r="F811" s="81" t="s">
        <v>166</v>
      </c>
      <c r="G811" s="55" t="s">
        <v>1393</v>
      </c>
      <c r="H811" s="55" t="s">
        <v>124</v>
      </c>
      <c r="I811" s="59">
        <v>2.5</v>
      </c>
      <c r="J811" s="60" t="s">
        <v>1394</v>
      </c>
      <c r="K811" s="63"/>
      <c r="L811" s="59"/>
      <c r="M811" s="59"/>
      <c r="N811" s="59"/>
      <c r="O811" s="60">
        <f t="shared" si="87"/>
        <v>811</v>
      </c>
      <c r="P811" s="65"/>
    </row>
    <row r="812" spans="3:16">
      <c r="C812" s="83" t="s">
        <v>72</v>
      </c>
      <c r="D812" s="75"/>
      <c r="E812" s="75"/>
      <c r="F812" s="81" t="s">
        <v>166</v>
      </c>
      <c r="G812" s="55" t="s">
        <v>1395</v>
      </c>
      <c r="H812" s="55" t="s">
        <v>124</v>
      </c>
      <c r="I812" s="59">
        <v>2.6</v>
      </c>
      <c r="J812" s="60" t="s">
        <v>1396</v>
      </c>
      <c r="K812" s="63"/>
      <c r="L812" s="59"/>
      <c r="M812" s="59"/>
      <c r="N812" s="59"/>
      <c r="O812" s="60">
        <f t="shared" si="87"/>
        <v>812</v>
      </c>
      <c r="P812" s="65"/>
    </row>
    <row r="813" spans="3:16">
      <c r="C813" s="83" t="s">
        <v>72</v>
      </c>
      <c r="D813" s="75"/>
      <c r="E813" s="75"/>
      <c r="F813" s="81" t="s">
        <v>166</v>
      </c>
      <c r="G813" s="55" t="s">
        <v>1397</v>
      </c>
      <c r="H813" s="55" t="s">
        <v>124</v>
      </c>
      <c r="I813" s="59">
        <v>2.7</v>
      </c>
      <c r="J813" s="60" t="s">
        <v>1398</v>
      </c>
      <c r="K813" s="63"/>
      <c r="L813" s="59"/>
      <c r="M813" s="59"/>
      <c r="N813" s="59"/>
      <c r="O813" s="60">
        <f t="shared" si="87"/>
        <v>813</v>
      </c>
      <c r="P813" s="65"/>
    </row>
    <row r="814" spans="3:16">
      <c r="C814" s="83" t="s">
        <v>72</v>
      </c>
      <c r="D814" s="75"/>
      <c r="E814" s="75"/>
      <c r="F814" s="81" t="s">
        <v>166</v>
      </c>
      <c r="G814" s="55" t="s">
        <v>1399</v>
      </c>
      <c r="H814" s="55" t="s">
        <v>124</v>
      </c>
      <c r="I814" s="59">
        <v>2.8</v>
      </c>
      <c r="J814" s="60" t="s">
        <v>1400</v>
      </c>
      <c r="K814" s="63"/>
      <c r="L814" s="59"/>
      <c r="M814" s="59"/>
      <c r="N814" s="59"/>
      <c r="O814" s="60">
        <f t="shared" si="87"/>
        <v>814</v>
      </c>
      <c r="P814" s="65"/>
    </row>
    <row r="815" spans="3:16">
      <c r="C815" s="83" t="s">
        <v>72</v>
      </c>
      <c r="D815" s="75"/>
      <c r="E815" s="75"/>
      <c r="F815" s="81" t="s">
        <v>166</v>
      </c>
      <c r="G815" s="55" t="s">
        <v>1401</v>
      </c>
      <c r="H815" s="55" t="s">
        <v>124</v>
      </c>
      <c r="I815" s="59">
        <v>2.9</v>
      </c>
      <c r="J815" s="60" t="s">
        <v>1402</v>
      </c>
      <c r="K815" s="63"/>
      <c r="L815" s="59"/>
      <c r="M815" s="59"/>
      <c r="N815" s="59"/>
      <c r="O815" s="60">
        <f t="shared" si="87"/>
        <v>815</v>
      </c>
      <c r="P815" s="65"/>
    </row>
    <row r="816" spans="3:16">
      <c r="C816" s="83" t="s">
        <v>72</v>
      </c>
      <c r="D816" s="75"/>
      <c r="E816" s="75"/>
      <c r="F816" s="81" t="s">
        <v>166</v>
      </c>
      <c r="G816" s="55" t="s">
        <v>1403</v>
      </c>
      <c r="H816" s="55" t="s">
        <v>124</v>
      </c>
      <c r="I816" s="59" t="s">
        <v>1272</v>
      </c>
      <c r="J816" s="60" t="s">
        <v>1404</v>
      </c>
      <c r="K816" s="63"/>
      <c r="L816" s="59"/>
      <c r="M816" s="59"/>
      <c r="N816" s="59"/>
      <c r="O816" s="60">
        <f t="shared" si="87"/>
        <v>816</v>
      </c>
      <c r="P816" s="65"/>
    </row>
    <row r="817" spans="3:16">
      <c r="C817" s="83" t="s">
        <v>72</v>
      </c>
      <c r="D817" s="75"/>
      <c r="E817" s="75"/>
      <c r="F817" s="81" t="s">
        <v>166</v>
      </c>
      <c r="G817" s="72" t="s">
        <v>3506</v>
      </c>
      <c r="H817" s="55" t="s">
        <v>124</v>
      </c>
      <c r="I817" s="59" t="s">
        <v>1275</v>
      </c>
      <c r="J817" s="60" t="s">
        <v>1405</v>
      </c>
      <c r="K817" s="63"/>
      <c r="L817" s="59"/>
      <c r="M817" s="59"/>
      <c r="N817" s="59"/>
      <c r="O817" s="60">
        <f t="shared" si="87"/>
        <v>817</v>
      </c>
      <c r="P817" s="65"/>
    </row>
    <row r="818" spans="3:16">
      <c r="C818" s="83" t="s">
        <v>72</v>
      </c>
      <c r="D818" s="75"/>
      <c r="E818" s="75"/>
      <c r="F818" s="81" t="s">
        <v>166</v>
      </c>
      <c r="G818" s="55" t="s">
        <v>1406</v>
      </c>
      <c r="H818" s="55" t="s">
        <v>124</v>
      </c>
      <c r="I818" s="59" t="s">
        <v>1278</v>
      </c>
      <c r="J818" s="60" t="s">
        <v>1407</v>
      </c>
      <c r="K818" s="63"/>
      <c r="L818" s="59"/>
      <c r="M818" s="59"/>
      <c r="N818" s="59"/>
      <c r="O818" s="60">
        <f t="shared" si="87"/>
        <v>818</v>
      </c>
      <c r="P818" s="65"/>
    </row>
    <row r="819" spans="3:16">
      <c r="C819" s="83" t="s">
        <v>72</v>
      </c>
      <c r="D819" s="75"/>
      <c r="E819" s="75"/>
      <c r="F819" s="81" t="s">
        <v>166</v>
      </c>
      <c r="G819" s="55" t="s">
        <v>1408</v>
      </c>
      <c r="H819" s="55" t="s">
        <v>124</v>
      </c>
      <c r="I819" s="59" t="s">
        <v>1409</v>
      </c>
      <c r="J819" s="60" t="s">
        <v>1410</v>
      </c>
      <c r="K819" s="63"/>
      <c r="L819" s="59"/>
      <c r="M819" s="59"/>
      <c r="N819" s="59"/>
      <c r="O819" s="60">
        <f t="shared" si="87"/>
        <v>819</v>
      </c>
      <c r="P819" s="65"/>
    </row>
    <row r="820" spans="3:16">
      <c r="C820" s="83" t="s">
        <v>72</v>
      </c>
      <c r="D820" s="75"/>
      <c r="E820" s="75"/>
      <c r="F820" s="81" t="s">
        <v>166</v>
      </c>
      <c r="G820" s="55" t="s">
        <v>1411</v>
      </c>
      <c r="H820" s="55" t="s">
        <v>124</v>
      </c>
      <c r="I820" s="59" t="s">
        <v>1281</v>
      </c>
      <c r="J820" s="60" t="s">
        <v>1412</v>
      </c>
      <c r="K820" s="63"/>
      <c r="L820" s="59"/>
      <c r="M820" s="59"/>
      <c r="N820" s="59"/>
      <c r="O820" s="60">
        <f t="shared" si="87"/>
        <v>820</v>
      </c>
      <c r="P820" s="65"/>
    </row>
    <row r="821" spans="3:16">
      <c r="C821" s="83" t="s">
        <v>72</v>
      </c>
      <c r="D821" s="75"/>
      <c r="E821" s="75"/>
      <c r="F821" s="81" t="s">
        <v>166</v>
      </c>
      <c r="G821" s="55" t="s">
        <v>1413</v>
      </c>
      <c r="H821" s="55" t="s">
        <v>124</v>
      </c>
      <c r="I821" s="59" t="s">
        <v>1414</v>
      </c>
      <c r="J821" s="60" t="s">
        <v>1415</v>
      </c>
      <c r="K821" s="63"/>
      <c r="L821" s="59"/>
      <c r="M821" s="59"/>
      <c r="N821" s="59"/>
      <c r="O821" s="60">
        <f t="shared" si="87"/>
        <v>821</v>
      </c>
      <c r="P821" s="65"/>
    </row>
    <row r="822" spans="3:16">
      <c r="C822" s="83" t="s">
        <v>72</v>
      </c>
      <c r="D822" s="75"/>
      <c r="E822" s="75"/>
      <c r="F822" s="81" t="s">
        <v>166</v>
      </c>
      <c r="G822" s="55" t="s">
        <v>1416</v>
      </c>
      <c r="H822" s="55" t="s">
        <v>124</v>
      </c>
      <c r="I822" s="59">
        <v>3</v>
      </c>
      <c r="J822" s="60" t="s">
        <v>1417</v>
      </c>
      <c r="K822" s="63"/>
      <c r="L822" s="59"/>
      <c r="M822" s="59"/>
      <c r="N822" s="59"/>
      <c r="O822" s="60">
        <f t="shared" si="87"/>
        <v>822</v>
      </c>
      <c r="P822" s="65"/>
    </row>
    <row r="823" spans="3:16">
      <c r="C823" s="83" t="s">
        <v>72</v>
      </c>
      <c r="D823" s="75"/>
      <c r="E823" s="75"/>
      <c r="F823" s="81" t="s">
        <v>166</v>
      </c>
      <c r="G823" s="55" t="s">
        <v>1418</v>
      </c>
      <c r="H823" s="55" t="s">
        <v>124</v>
      </c>
      <c r="I823" s="59">
        <v>3.1</v>
      </c>
      <c r="J823" s="60" t="s">
        <v>1419</v>
      </c>
      <c r="K823" s="63"/>
      <c r="L823" s="59"/>
      <c r="M823" s="59"/>
      <c r="N823" s="59"/>
      <c r="O823" s="60">
        <f t="shared" si="87"/>
        <v>823</v>
      </c>
      <c r="P823" s="65"/>
    </row>
    <row r="824" spans="3:16">
      <c r="C824" s="83" t="s">
        <v>72</v>
      </c>
      <c r="D824" s="75"/>
      <c r="E824" s="75"/>
      <c r="F824" s="81" t="s">
        <v>166</v>
      </c>
      <c r="G824" s="55" t="s">
        <v>1420</v>
      </c>
      <c r="H824" s="55" t="s">
        <v>124</v>
      </c>
      <c r="I824" s="59">
        <v>3.2</v>
      </c>
      <c r="J824" s="60" t="s">
        <v>1421</v>
      </c>
      <c r="K824" s="63"/>
      <c r="L824" s="59"/>
      <c r="M824" s="59"/>
      <c r="N824" s="59"/>
      <c r="O824" s="60">
        <f t="shared" si="87"/>
        <v>824</v>
      </c>
      <c r="P824" s="65"/>
    </row>
    <row r="825" spans="3:16">
      <c r="C825" s="83" t="s">
        <v>72</v>
      </c>
      <c r="D825" s="75"/>
      <c r="E825" s="75"/>
      <c r="F825" s="81" t="s">
        <v>166</v>
      </c>
      <c r="G825" s="72" t="s">
        <v>3507</v>
      </c>
      <c r="H825" s="55" t="s">
        <v>124</v>
      </c>
      <c r="I825" s="59">
        <v>3.3</v>
      </c>
      <c r="J825" s="60" t="s">
        <v>1422</v>
      </c>
      <c r="K825" s="63"/>
      <c r="L825" s="59"/>
      <c r="M825" s="59"/>
      <c r="N825" s="59"/>
      <c r="O825" s="60">
        <f t="shared" si="87"/>
        <v>825</v>
      </c>
      <c r="P825" s="65"/>
    </row>
    <row r="826" spans="3:16">
      <c r="C826" s="83" t="s">
        <v>72</v>
      </c>
      <c r="D826" s="75"/>
      <c r="E826" s="75"/>
      <c r="F826" s="81" t="s">
        <v>166</v>
      </c>
      <c r="G826" s="55" t="s">
        <v>1423</v>
      </c>
      <c r="H826" s="55" t="s">
        <v>124</v>
      </c>
      <c r="I826" s="59">
        <v>3.4</v>
      </c>
      <c r="J826" s="60" t="s">
        <v>1424</v>
      </c>
      <c r="K826" s="63"/>
      <c r="L826" s="59"/>
      <c r="M826" s="59"/>
      <c r="N826" s="59"/>
      <c r="O826" s="60">
        <f t="shared" si="87"/>
        <v>826</v>
      </c>
      <c r="P826" s="65"/>
    </row>
    <row r="827" spans="3:16">
      <c r="C827" s="83" t="s">
        <v>72</v>
      </c>
      <c r="D827" s="75"/>
      <c r="E827" s="75"/>
      <c r="F827" s="81" t="s">
        <v>166</v>
      </c>
      <c r="G827" s="55" t="s">
        <v>1425</v>
      </c>
      <c r="H827" s="55" t="s">
        <v>124</v>
      </c>
      <c r="I827" s="59">
        <v>3.5</v>
      </c>
      <c r="J827" s="60" t="s">
        <v>1426</v>
      </c>
      <c r="K827" s="63"/>
      <c r="L827" s="59"/>
      <c r="M827" s="59"/>
      <c r="N827" s="59"/>
      <c r="O827" s="60">
        <f t="shared" si="87"/>
        <v>827</v>
      </c>
      <c r="P827" s="65"/>
    </row>
    <row r="828" spans="3:16">
      <c r="C828" s="83" t="s">
        <v>72</v>
      </c>
      <c r="D828" s="75"/>
      <c r="E828" s="75"/>
      <c r="F828" s="81" t="s">
        <v>166</v>
      </c>
      <c r="G828" s="55" t="s">
        <v>1427</v>
      </c>
      <c r="H828" s="55" t="s">
        <v>124</v>
      </c>
      <c r="I828" s="59">
        <v>3.6</v>
      </c>
      <c r="J828" s="60" t="s">
        <v>1428</v>
      </c>
      <c r="K828" s="63"/>
      <c r="L828" s="59"/>
      <c r="M828" s="59"/>
      <c r="N828" s="59"/>
      <c r="O828" s="60">
        <f t="shared" si="87"/>
        <v>828</v>
      </c>
      <c r="P828" s="65"/>
    </row>
    <row r="829" spans="3:16">
      <c r="C829" s="83" t="s">
        <v>72</v>
      </c>
      <c r="D829" s="75"/>
      <c r="E829" s="75"/>
      <c r="F829" s="81" t="s">
        <v>166</v>
      </c>
      <c r="G829" s="55" t="s">
        <v>1429</v>
      </c>
      <c r="H829" s="55" t="s">
        <v>124</v>
      </c>
      <c r="I829" s="59">
        <v>3.7</v>
      </c>
      <c r="J829" s="60" t="s">
        <v>1430</v>
      </c>
      <c r="K829" s="63"/>
      <c r="L829" s="59"/>
      <c r="M829" s="59"/>
      <c r="N829" s="59"/>
      <c r="O829" s="60">
        <f t="shared" si="87"/>
        <v>829</v>
      </c>
      <c r="P829" s="65"/>
    </row>
    <row r="830" spans="3:16">
      <c r="C830" s="83" t="s">
        <v>72</v>
      </c>
      <c r="D830" s="75"/>
      <c r="E830" s="75"/>
      <c r="F830" s="81" t="s">
        <v>166</v>
      </c>
      <c r="G830" s="55" t="s">
        <v>1431</v>
      </c>
      <c r="H830" s="55" t="s">
        <v>124</v>
      </c>
      <c r="I830" s="59">
        <v>3.8</v>
      </c>
      <c r="J830" s="60" t="s">
        <v>1432</v>
      </c>
      <c r="K830" s="63"/>
      <c r="L830" s="59"/>
      <c r="M830" s="59"/>
      <c r="N830" s="59"/>
      <c r="O830" s="60">
        <f t="shared" si="87"/>
        <v>830</v>
      </c>
      <c r="P830" s="65"/>
    </row>
    <row r="831" spans="3:16">
      <c r="C831" s="83" t="s">
        <v>72</v>
      </c>
      <c r="D831" s="75"/>
      <c r="E831" s="75"/>
      <c r="F831" s="81" t="s">
        <v>166</v>
      </c>
      <c r="G831" s="55" t="s">
        <v>1433</v>
      </c>
      <c r="H831" s="55" t="s">
        <v>124</v>
      </c>
      <c r="I831" s="59">
        <v>3.9</v>
      </c>
      <c r="J831" s="60" t="s">
        <v>1434</v>
      </c>
      <c r="K831" s="63"/>
      <c r="L831" s="59"/>
      <c r="M831" s="59"/>
      <c r="N831" s="59"/>
      <c r="O831" s="60">
        <f t="shared" si="87"/>
        <v>831</v>
      </c>
      <c r="P831" s="65"/>
    </row>
    <row r="832" spans="3:16">
      <c r="C832" s="83" t="s">
        <v>72</v>
      </c>
      <c r="D832" s="75"/>
      <c r="E832" s="75"/>
      <c r="F832" s="81" t="s">
        <v>166</v>
      </c>
      <c r="G832" s="55" t="s">
        <v>1435</v>
      </c>
      <c r="H832" s="55" t="s">
        <v>124</v>
      </c>
      <c r="I832" s="59" t="s">
        <v>1300</v>
      </c>
      <c r="J832" s="60" t="s">
        <v>1436</v>
      </c>
      <c r="K832" s="63"/>
      <c r="L832" s="59"/>
      <c r="M832" s="59"/>
      <c r="N832" s="59"/>
      <c r="O832" s="60">
        <f t="shared" si="87"/>
        <v>832</v>
      </c>
      <c r="P832" s="65"/>
    </row>
    <row r="833" spans="3:22">
      <c r="C833" s="83" t="s">
        <v>72</v>
      </c>
      <c r="D833" s="75"/>
      <c r="E833" s="75"/>
      <c r="F833" s="81" t="s">
        <v>166</v>
      </c>
      <c r="G833" s="72" t="s">
        <v>3508</v>
      </c>
      <c r="H833" s="55" t="s">
        <v>124</v>
      </c>
      <c r="I833" s="59" t="s">
        <v>1303</v>
      </c>
      <c r="J833" s="60" t="s">
        <v>1437</v>
      </c>
      <c r="K833" s="63"/>
      <c r="L833" s="59"/>
      <c r="M833" s="59"/>
      <c r="N833" s="59"/>
      <c r="O833" s="60">
        <f t="shared" si="87"/>
        <v>833</v>
      </c>
      <c r="P833" s="65"/>
    </row>
    <row r="834" spans="3:22">
      <c r="C834" s="83" t="s">
        <v>72</v>
      </c>
      <c r="D834" s="75"/>
      <c r="E834" s="75"/>
      <c r="F834" s="81" t="s">
        <v>166</v>
      </c>
      <c r="G834" s="55" t="s">
        <v>1438</v>
      </c>
      <c r="H834" s="55" t="s">
        <v>124</v>
      </c>
      <c r="I834" s="59" t="s">
        <v>1306</v>
      </c>
      <c r="J834" s="60" t="s">
        <v>1439</v>
      </c>
      <c r="K834" s="63"/>
      <c r="L834" s="59"/>
      <c r="M834" s="59"/>
      <c r="N834" s="59"/>
      <c r="O834" s="60">
        <f t="shared" ref="O834:O897" si="88">ROW(C834)</f>
        <v>834</v>
      </c>
      <c r="P834" s="65"/>
    </row>
    <row r="835" spans="3:22">
      <c r="C835" s="83" t="s">
        <v>72</v>
      </c>
      <c r="D835" s="75"/>
      <c r="E835" s="75"/>
      <c r="F835" s="81" t="s">
        <v>166</v>
      </c>
      <c r="G835" s="55" t="s">
        <v>1440</v>
      </c>
      <c r="H835" s="55" t="s">
        <v>124</v>
      </c>
      <c r="I835" s="59" t="s">
        <v>1441</v>
      </c>
      <c r="J835" s="60" t="s">
        <v>1442</v>
      </c>
      <c r="K835" s="63"/>
      <c r="L835" s="59"/>
      <c r="M835" s="59"/>
      <c r="N835" s="59"/>
      <c r="O835" s="60">
        <f t="shared" si="88"/>
        <v>835</v>
      </c>
      <c r="P835" s="65"/>
    </row>
    <row r="836" spans="3:22">
      <c r="C836" s="83" t="s">
        <v>72</v>
      </c>
      <c r="D836" s="75"/>
      <c r="E836" s="75"/>
      <c r="F836" s="81" t="s">
        <v>166</v>
      </c>
      <c r="G836" s="55" t="s">
        <v>1443</v>
      </c>
      <c r="H836" s="55" t="s">
        <v>124</v>
      </c>
      <c r="I836" s="59" t="s">
        <v>1309</v>
      </c>
      <c r="J836" s="60" t="s">
        <v>1444</v>
      </c>
      <c r="K836" s="63"/>
      <c r="L836" s="59"/>
      <c r="M836" s="59"/>
      <c r="N836" s="59"/>
      <c r="O836" s="60">
        <f t="shared" si="88"/>
        <v>836</v>
      </c>
      <c r="P836" s="65"/>
    </row>
    <row r="837" spans="3:22">
      <c r="C837" s="83" t="s">
        <v>72</v>
      </c>
      <c r="D837" s="75"/>
      <c r="E837" s="75"/>
      <c r="F837" s="81" t="s">
        <v>166</v>
      </c>
      <c r="G837" s="55" t="s">
        <v>1445</v>
      </c>
      <c r="H837" s="55" t="s">
        <v>124</v>
      </c>
      <c r="I837" s="59" t="s">
        <v>1446</v>
      </c>
      <c r="J837" s="60" t="s">
        <v>1447</v>
      </c>
      <c r="K837" s="63"/>
      <c r="L837" s="59"/>
      <c r="M837" s="59"/>
      <c r="N837" s="59"/>
      <c r="O837" s="60">
        <f t="shared" si="88"/>
        <v>837</v>
      </c>
      <c r="P837" s="65"/>
    </row>
    <row r="838" spans="3:22">
      <c r="C838" s="83" t="s">
        <v>73</v>
      </c>
      <c r="D838" s="75">
        <v>58</v>
      </c>
      <c r="E838" s="75">
        <v>2</v>
      </c>
      <c r="F838" s="81" t="s">
        <v>151</v>
      </c>
      <c r="G838" s="55" t="s">
        <v>1690</v>
      </c>
      <c r="H838" s="55" t="s">
        <v>124</v>
      </c>
      <c r="I838" s="59">
        <v>0</v>
      </c>
      <c r="J838" s="60" t="s">
        <v>1691</v>
      </c>
      <c r="K838" s="63" t="str">
        <f t="shared" ref="K838:K852" si="89">C838&amp;F838</f>
        <v>XGF-RD4AInput</v>
      </c>
      <c r="L838" s="59">
        <f t="shared" ref="L838:L869" si="90">COUNTIF($C$2:$C$2062,C838)</f>
        <v>76</v>
      </c>
      <c r="M838" s="59">
        <f t="shared" ref="M838:M869" si="91">COUNTIF($K$2:$K$2062,K838)</f>
        <v>68</v>
      </c>
      <c r="N838" s="59">
        <f t="shared" ref="N838:N898" si="92">L838-M838</f>
        <v>8</v>
      </c>
      <c r="O838" s="60">
        <f t="shared" si="88"/>
        <v>838</v>
      </c>
      <c r="P838" s="65" t="s">
        <v>3214</v>
      </c>
      <c r="Q838">
        <f>O838</f>
        <v>838</v>
      </c>
      <c r="R838" t="s">
        <v>3215</v>
      </c>
      <c r="S838">
        <v>914</v>
      </c>
      <c r="T838" t="str">
        <f>P838&amp;Q838&amp;R838&amp;S838</f>
        <v>All data map'!$F$838:$J$914</v>
      </c>
      <c r="V838" t="s">
        <v>3254</v>
      </c>
    </row>
    <row r="839" spans="3:22">
      <c r="C839" s="83" t="s">
        <v>73</v>
      </c>
      <c r="D839" s="75"/>
      <c r="E839" s="75"/>
      <c r="F839" s="81" t="s">
        <v>151</v>
      </c>
      <c r="G839" s="55" t="s">
        <v>1692</v>
      </c>
      <c r="H839" s="55" t="s">
        <v>124</v>
      </c>
      <c r="I839" s="59">
        <v>0.1</v>
      </c>
      <c r="J839" s="60" t="s">
        <v>1693</v>
      </c>
      <c r="K839" s="63" t="str">
        <f t="shared" si="89"/>
        <v>XGF-RD4AInput</v>
      </c>
      <c r="L839" s="59">
        <f t="shared" si="90"/>
        <v>76</v>
      </c>
      <c r="M839" s="59">
        <f t="shared" si="91"/>
        <v>68</v>
      </c>
      <c r="N839" s="59">
        <f t="shared" si="92"/>
        <v>8</v>
      </c>
      <c r="O839" s="60">
        <f t="shared" si="88"/>
        <v>839</v>
      </c>
      <c r="P839" s="65"/>
    </row>
    <row r="840" spans="3:22">
      <c r="C840" s="83" t="s">
        <v>73</v>
      </c>
      <c r="D840" s="75"/>
      <c r="E840" s="75"/>
      <c r="F840" s="81" t="s">
        <v>151</v>
      </c>
      <c r="G840" s="55" t="s">
        <v>1694</v>
      </c>
      <c r="H840" s="55" t="s">
        <v>124</v>
      </c>
      <c r="I840" s="59">
        <v>0.2</v>
      </c>
      <c r="J840" s="60" t="s">
        <v>1695</v>
      </c>
      <c r="K840" s="63" t="str">
        <f t="shared" si="89"/>
        <v>XGF-RD4AInput</v>
      </c>
      <c r="L840" s="59">
        <f t="shared" si="90"/>
        <v>76</v>
      </c>
      <c r="M840" s="59">
        <f t="shared" si="91"/>
        <v>68</v>
      </c>
      <c r="N840" s="59">
        <f t="shared" si="92"/>
        <v>8</v>
      </c>
      <c r="O840" s="60">
        <f t="shared" si="88"/>
        <v>840</v>
      </c>
      <c r="P840" s="65"/>
    </row>
    <row r="841" spans="3:22">
      <c r="C841" s="83" t="s">
        <v>73</v>
      </c>
      <c r="D841" s="75"/>
      <c r="E841" s="75"/>
      <c r="F841" s="81" t="s">
        <v>151</v>
      </c>
      <c r="G841" s="55" t="s">
        <v>1696</v>
      </c>
      <c r="H841" s="55" t="s">
        <v>124</v>
      </c>
      <c r="I841" s="59">
        <v>0.3</v>
      </c>
      <c r="J841" s="60" t="s">
        <v>1697</v>
      </c>
      <c r="K841" s="63" t="str">
        <f t="shared" si="89"/>
        <v>XGF-RD4AInput</v>
      </c>
      <c r="L841" s="59">
        <f t="shared" si="90"/>
        <v>76</v>
      </c>
      <c r="M841" s="59">
        <f t="shared" si="91"/>
        <v>68</v>
      </c>
      <c r="N841" s="59">
        <f t="shared" si="92"/>
        <v>8</v>
      </c>
      <c r="O841" s="60">
        <f t="shared" si="88"/>
        <v>841</v>
      </c>
      <c r="P841" s="65"/>
    </row>
    <row r="842" spans="3:22">
      <c r="C842" s="83" t="s">
        <v>73</v>
      </c>
      <c r="D842" s="75"/>
      <c r="E842" s="75"/>
      <c r="F842" s="81" t="s">
        <v>151</v>
      </c>
      <c r="G842" s="55" t="s">
        <v>1698</v>
      </c>
      <c r="H842" s="55" t="s">
        <v>124</v>
      </c>
      <c r="I842" s="59" t="s">
        <v>1133</v>
      </c>
      <c r="J842" s="60" t="s">
        <v>1699</v>
      </c>
      <c r="K842" s="63" t="str">
        <f t="shared" si="89"/>
        <v>XGF-RD4AInput</v>
      </c>
      <c r="L842" s="59">
        <f t="shared" si="90"/>
        <v>76</v>
      </c>
      <c r="M842" s="59">
        <f t="shared" si="91"/>
        <v>68</v>
      </c>
      <c r="N842" s="59">
        <f t="shared" si="92"/>
        <v>8</v>
      </c>
      <c r="O842" s="60">
        <f t="shared" si="88"/>
        <v>842</v>
      </c>
      <c r="P842" s="65"/>
    </row>
    <row r="843" spans="3:22">
      <c r="C843" s="83" t="s">
        <v>73</v>
      </c>
      <c r="D843" s="75"/>
      <c r="E843" s="75"/>
      <c r="F843" s="81" t="s">
        <v>151</v>
      </c>
      <c r="G843" s="55" t="s">
        <v>1700</v>
      </c>
      <c r="H843" s="55" t="s">
        <v>124</v>
      </c>
      <c r="I843" s="59" t="s">
        <v>1050</v>
      </c>
      <c r="J843" s="60" t="s">
        <v>1701</v>
      </c>
      <c r="K843" s="63" t="str">
        <f t="shared" si="89"/>
        <v>XGF-RD4AInput</v>
      </c>
      <c r="L843" s="59">
        <f t="shared" si="90"/>
        <v>76</v>
      </c>
      <c r="M843" s="59">
        <f t="shared" si="91"/>
        <v>68</v>
      </c>
      <c r="N843" s="59">
        <f t="shared" si="92"/>
        <v>8</v>
      </c>
      <c r="O843" s="60">
        <f t="shared" si="88"/>
        <v>843</v>
      </c>
      <c r="P843" s="65"/>
    </row>
    <row r="844" spans="3:22">
      <c r="C844" s="83" t="s">
        <v>73</v>
      </c>
      <c r="D844" s="75"/>
      <c r="E844" s="75"/>
      <c r="F844" s="81" t="s">
        <v>151</v>
      </c>
      <c r="G844" s="55" t="s">
        <v>1702</v>
      </c>
      <c r="H844" s="55" t="s">
        <v>124</v>
      </c>
      <c r="I844" s="59" t="s">
        <v>126</v>
      </c>
      <c r="J844" s="60" t="s">
        <v>1703</v>
      </c>
      <c r="K844" s="63" t="str">
        <f t="shared" si="89"/>
        <v>XGF-RD4AInput</v>
      </c>
      <c r="L844" s="59">
        <f t="shared" si="90"/>
        <v>76</v>
      </c>
      <c r="M844" s="59">
        <f t="shared" si="91"/>
        <v>68</v>
      </c>
      <c r="N844" s="59">
        <f t="shared" si="92"/>
        <v>8</v>
      </c>
      <c r="O844" s="60">
        <f t="shared" si="88"/>
        <v>844</v>
      </c>
      <c r="P844" s="65"/>
    </row>
    <row r="845" spans="3:22">
      <c r="C845" s="83" t="s">
        <v>73</v>
      </c>
      <c r="D845" s="75"/>
      <c r="E845" s="75"/>
      <c r="F845" s="81" t="s">
        <v>151</v>
      </c>
      <c r="G845" s="55" t="s">
        <v>1704</v>
      </c>
      <c r="H845" s="55" t="s">
        <v>124</v>
      </c>
      <c r="I845" s="59">
        <v>1</v>
      </c>
      <c r="J845" s="60" t="s">
        <v>1705</v>
      </c>
      <c r="K845" s="63" t="str">
        <f t="shared" si="89"/>
        <v>XGF-RD4AInput</v>
      </c>
      <c r="L845" s="59">
        <f t="shared" si="90"/>
        <v>76</v>
      </c>
      <c r="M845" s="59">
        <f t="shared" si="91"/>
        <v>68</v>
      </c>
      <c r="N845" s="59">
        <f t="shared" si="92"/>
        <v>8</v>
      </c>
      <c r="O845" s="60">
        <f t="shared" si="88"/>
        <v>845</v>
      </c>
      <c r="P845" s="65"/>
    </row>
    <row r="846" spans="3:22">
      <c r="C846" s="83" t="s">
        <v>73</v>
      </c>
      <c r="D846" s="75"/>
      <c r="E846" s="75"/>
      <c r="F846" s="81" t="s">
        <v>151</v>
      </c>
      <c r="G846" s="55" t="s">
        <v>1706</v>
      </c>
      <c r="H846" s="55" t="s">
        <v>124</v>
      </c>
      <c r="I846" s="59">
        <v>1.1000000000000001</v>
      </c>
      <c r="J846" s="60" t="s">
        <v>1707</v>
      </c>
      <c r="K846" s="63" t="str">
        <f t="shared" si="89"/>
        <v>XGF-RD4AInput</v>
      </c>
      <c r="L846" s="59">
        <f t="shared" si="90"/>
        <v>76</v>
      </c>
      <c r="M846" s="59">
        <f t="shared" si="91"/>
        <v>68</v>
      </c>
      <c r="N846" s="59">
        <f t="shared" si="92"/>
        <v>8</v>
      </c>
      <c r="O846" s="60">
        <f t="shared" si="88"/>
        <v>846</v>
      </c>
      <c r="P846" s="65"/>
    </row>
    <row r="847" spans="3:22">
      <c r="C847" s="83" t="s">
        <v>73</v>
      </c>
      <c r="D847" s="75"/>
      <c r="E847" s="75"/>
      <c r="F847" s="81" t="s">
        <v>151</v>
      </c>
      <c r="G847" s="55" t="s">
        <v>1708</v>
      </c>
      <c r="H847" s="55" t="s">
        <v>124</v>
      </c>
      <c r="I847" s="59">
        <v>1.2</v>
      </c>
      <c r="J847" s="60" t="s">
        <v>1709</v>
      </c>
      <c r="K847" s="63" t="str">
        <f t="shared" si="89"/>
        <v>XGF-RD4AInput</v>
      </c>
      <c r="L847" s="59">
        <f t="shared" si="90"/>
        <v>76</v>
      </c>
      <c r="M847" s="59">
        <f t="shared" si="91"/>
        <v>68</v>
      </c>
      <c r="N847" s="59">
        <f t="shared" si="92"/>
        <v>8</v>
      </c>
      <c r="O847" s="60">
        <f t="shared" si="88"/>
        <v>847</v>
      </c>
      <c r="P847" s="65"/>
    </row>
    <row r="848" spans="3:22">
      <c r="C848" s="83" t="s">
        <v>73</v>
      </c>
      <c r="D848" s="75"/>
      <c r="E848" s="75"/>
      <c r="F848" s="81" t="s">
        <v>151</v>
      </c>
      <c r="G848" s="55" t="s">
        <v>1710</v>
      </c>
      <c r="H848" s="55" t="s">
        <v>124</v>
      </c>
      <c r="I848" s="59">
        <v>1.3</v>
      </c>
      <c r="J848" s="60" t="s">
        <v>1711</v>
      </c>
      <c r="K848" s="63" t="str">
        <f t="shared" si="89"/>
        <v>XGF-RD4AInput</v>
      </c>
      <c r="L848" s="59">
        <f t="shared" si="90"/>
        <v>76</v>
      </c>
      <c r="M848" s="59">
        <f t="shared" si="91"/>
        <v>68</v>
      </c>
      <c r="N848" s="59">
        <f t="shared" si="92"/>
        <v>8</v>
      </c>
      <c r="O848" s="60">
        <f t="shared" si="88"/>
        <v>848</v>
      </c>
      <c r="P848" s="65"/>
    </row>
    <row r="849" spans="3:16">
      <c r="C849" s="83" t="s">
        <v>73</v>
      </c>
      <c r="D849" s="75"/>
      <c r="E849" s="75"/>
      <c r="F849" s="81" t="s">
        <v>151</v>
      </c>
      <c r="G849" s="55" t="s">
        <v>1712</v>
      </c>
      <c r="H849" s="55" t="s">
        <v>124</v>
      </c>
      <c r="I849" s="59">
        <v>1.4</v>
      </c>
      <c r="J849" s="60" t="s">
        <v>1713</v>
      </c>
      <c r="K849" s="63" t="str">
        <f t="shared" si="89"/>
        <v>XGF-RD4AInput</v>
      </c>
      <c r="L849" s="59">
        <f t="shared" si="90"/>
        <v>76</v>
      </c>
      <c r="M849" s="59">
        <f t="shared" si="91"/>
        <v>68</v>
      </c>
      <c r="N849" s="59">
        <f t="shared" si="92"/>
        <v>8</v>
      </c>
      <c r="O849" s="60">
        <f t="shared" si="88"/>
        <v>849</v>
      </c>
      <c r="P849" s="65"/>
    </row>
    <row r="850" spans="3:16">
      <c r="C850" s="83" t="s">
        <v>73</v>
      </c>
      <c r="D850" s="75"/>
      <c r="E850" s="75"/>
      <c r="F850" s="81" t="s">
        <v>151</v>
      </c>
      <c r="G850" s="55" t="s">
        <v>1714</v>
      </c>
      <c r="H850" s="55" t="s">
        <v>124</v>
      </c>
      <c r="I850" s="59">
        <v>1.5</v>
      </c>
      <c r="J850" s="60" t="s">
        <v>1715</v>
      </c>
      <c r="K850" s="63" t="str">
        <f t="shared" si="89"/>
        <v>XGF-RD4AInput</v>
      </c>
      <c r="L850" s="59">
        <f t="shared" si="90"/>
        <v>76</v>
      </c>
      <c r="M850" s="59">
        <f t="shared" si="91"/>
        <v>68</v>
      </c>
      <c r="N850" s="59">
        <f t="shared" si="92"/>
        <v>8</v>
      </c>
      <c r="O850" s="60">
        <f t="shared" si="88"/>
        <v>850</v>
      </c>
      <c r="P850" s="65"/>
    </row>
    <row r="851" spans="3:16">
      <c r="C851" s="83" t="s">
        <v>73</v>
      </c>
      <c r="D851" s="75"/>
      <c r="E851" s="75"/>
      <c r="F851" s="81" t="s">
        <v>151</v>
      </c>
      <c r="G851" s="55" t="s">
        <v>1716</v>
      </c>
      <c r="H851" s="55" t="s">
        <v>124</v>
      </c>
      <c r="I851" s="59">
        <v>1.6</v>
      </c>
      <c r="J851" s="60" t="s">
        <v>1717</v>
      </c>
      <c r="K851" s="63" t="str">
        <f t="shared" si="89"/>
        <v>XGF-RD4AInput</v>
      </c>
      <c r="L851" s="59">
        <f t="shared" si="90"/>
        <v>76</v>
      </c>
      <c r="M851" s="59">
        <f t="shared" si="91"/>
        <v>68</v>
      </c>
      <c r="N851" s="59">
        <f t="shared" si="92"/>
        <v>8</v>
      </c>
      <c r="O851" s="60">
        <f t="shared" si="88"/>
        <v>851</v>
      </c>
      <c r="P851" s="65"/>
    </row>
    <row r="852" spans="3:16">
      <c r="C852" s="83" t="s">
        <v>73</v>
      </c>
      <c r="D852" s="75"/>
      <c r="E852" s="75"/>
      <c r="F852" s="81" t="s">
        <v>151</v>
      </c>
      <c r="G852" s="55" t="s">
        <v>1718</v>
      </c>
      <c r="H852" s="55" t="s">
        <v>124</v>
      </c>
      <c r="I852" s="59">
        <v>1.7</v>
      </c>
      <c r="J852" s="60" t="s">
        <v>1719</v>
      </c>
      <c r="K852" s="63" t="str">
        <f t="shared" si="89"/>
        <v>XGF-RD4AInput</v>
      </c>
      <c r="L852" s="59">
        <f t="shared" si="90"/>
        <v>76</v>
      </c>
      <c r="M852" s="59">
        <f t="shared" si="91"/>
        <v>68</v>
      </c>
      <c r="N852" s="59">
        <f t="shared" si="92"/>
        <v>8</v>
      </c>
      <c r="O852" s="60">
        <f t="shared" si="88"/>
        <v>852</v>
      </c>
      <c r="P852" s="65"/>
    </row>
    <row r="853" spans="3:16">
      <c r="C853" s="83" t="s">
        <v>73</v>
      </c>
      <c r="D853" s="75"/>
      <c r="E853" s="75"/>
      <c r="F853" s="81" t="s">
        <v>151</v>
      </c>
      <c r="G853" s="55" t="s">
        <v>1720</v>
      </c>
      <c r="H853" s="55" t="s">
        <v>124</v>
      </c>
      <c r="I853" s="59">
        <v>1.8</v>
      </c>
      <c r="J853" s="60" t="s">
        <v>1721</v>
      </c>
      <c r="K853" s="63" t="str">
        <f t="shared" ref="K853:K916" si="93">C853&amp;F853</f>
        <v>XGF-RD4AInput</v>
      </c>
      <c r="L853" s="59">
        <f t="shared" si="90"/>
        <v>76</v>
      </c>
      <c r="M853" s="59">
        <f t="shared" si="91"/>
        <v>68</v>
      </c>
      <c r="N853" s="59">
        <f t="shared" si="92"/>
        <v>8</v>
      </c>
      <c r="O853" s="60">
        <f t="shared" si="88"/>
        <v>853</v>
      </c>
      <c r="P853" s="65"/>
    </row>
    <row r="854" spans="3:16">
      <c r="C854" s="83" t="s">
        <v>73</v>
      </c>
      <c r="D854" s="75"/>
      <c r="E854" s="75"/>
      <c r="F854" s="81" t="s">
        <v>151</v>
      </c>
      <c r="G854" s="55" t="s">
        <v>1722</v>
      </c>
      <c r="H854" s="55" t="s">
        <v>124</v>
      </c>
      <c r="I854" s="59">
        <v>1.9</v>
      </c>
      <c r="J854" s="60" t="s">
        <v>1723</v>
      </c>
      <c r="K854" s="63" t="str">
        <f t="shared" si="93"/>
        <v>XGF-RD4AInput</v>
      </c>
      <c r="L854" s="59">
        <f t="shared" si="90"/>
        <v>76</v>
      </c>
      <c r="M854" s="59">
        <f t="shared" si="91"/>
        <v>68</v>
      </c>
      <c r="N854" s="59">
        <f t="shared" si="92"/>
        <v>8</v>
      </c>
      <c r="O854" s="60">
        <f t="shared" si="88"/>
        <v>854</v>
      </c>
      <c r="P854" s="65"/>
    </row>
    <row r="855" spans="3:16">
      <c r="C855" s="83" t="s">
        <v>73</v>
      </c>
      <c r="D855" s="75"/>
      <c r="E855" s="75"/>
      <c r="F855" s="81" t="s">
        <v>151</v>
      </c>
      <c r="G855" s="55" t="s">
        <v>1724</v>
      </c>
      <c r="H855" s="55" t="s">
        <v>124</v>
      </c>
      <c r="I855" s="59" t="s">
        <v>136</v>
      </c>
      <c r="J855" s="60" t="s">
        <v>1725</v>
      </c>
      <c r="K855" s="63" t="str">
        <f t="shared" si="93"/>
        <v>XGF-RD4AInput</v>
      </c>
      <c r="L855" s="59">
        <f t="shared" si="90"/>
        <v>76</v>
      </c>
      <c r="M855" s="59">
        <f t="shared" si="91"/>
        <v>68</v>
      </c>
      <c r="N855" s="59">
        <f t="shared" si="92"/>
        <v>8</v>
      </c>
      <c r="O855" s="60">
        <f t="shared" si="88"/>
        <v>855</v>
      </c>
      <c r="P855" s="65"/>
    </row>
    <row r="856" spans="3:16">
      <c r="C856" s="83" t="s">
        <v>73</v>
      </c>
      <c r="D856" s="75"/>
      <c r="E856" s="75"/>
      <c r="F856" s="81" t="s">
        <v>151</v>
      </c>
      <c r="G856" s="55" t="s">
        <v>1726</v>
      </c>
      <c r="H856" s="55" t="s">
        <v>124</v>
      </c>
      <c r="I856" s="59" t="s">
        <v>138</v>
      </c>
      <c r="J856" s="60" t="s">
        <v>1727</v>
      </c>
      <c r="K856" s="63" t="str">
        <f t="shared" si="93"/>
        <v>XGF-RD4AInput</v>
      </c>
      <c r="L856" s="59">
        <f t="shared" si="90"/>
        <v>76</v>
      </c>
      <c r="M856" s="59">
        <f t="shared" si="91"/>
        <v>68</v>
      </c>
      <c r="N856" s="59">
        <f t="shared" si="92"/>
        <v>8</v>
      </c>
      <c r="O856" s="60">
        <f t="shared" si="88"/>
        <v>856</v>
      </c>
      <c r="P856" s="65"/>
    </row>
    <row r="857" spans="3:16">
      <c r="C857" s="83" t="s">
        <v>73</v>
      </c>
      <c r="D857" s="75"/>
      <c r="E857" s="75"/>
      <c r="F857" s="81" t="s">
        <v>151</v>
      </c>
      <c r="G857" s="55" t="s">
        <v>1728</v>
      </c>
      <c r="H857" s="55" t="s">
        <v>124</v>
      </c>
      <c r="I857" s="59">
        <v>2</v>
      </c>
      <c r="J857" s="60" t="s">
        <v>1729</v>
      </c>
      <c r="K857" s="63" t="str">
        <f t="shared" si="93"/>
        <v>XGF-RD4AInput</v>
      </c>
      <c r="L857" s="59">
        <f t="shared" si="90"/>
        <v>76</v>
      </c>
      <c r="M857" s="59">
        <f t="shared" si="91"/>
        <v>68</v>
      </c>
      <c r="N857" s="59">
        <f t="shared" si="92"/>
        <v>8</v>
      </c>
      <c r="O857" s="60">
        <f t="shared" si="88"/>
        <v>857</v>
      </c>
      <c r="P857" s="65"/>
    </row>
    <row r="858" spans="3:16">
      <c r="C858" s="83" t="s">
        <v>73</v>
      </c>
      <c r="D858" s="75"/>
      <c r="E858" s="75"/>
      <c r="F858" s="81" t="s">
        <v>151</v>
      </c>
      <c r="G858" s="55" t="s">
        <v>1730</v>
      </c>
      <c r="H858" s="55" t="s">
        <v>124</v>
      </c>
      <c r="I858" s="59">
        <v>2.1</v>
      </c>
      <c r="J858" s="60" t="s">
        <v>1731</v>
      </c>
      <c r="K858" s="63" t="str">
        <f t="shared" si="93"/>
        <v>XGF-RD4AInput</v>
      </c>
      <c r="L858" s="59">
        <f t="shared" si="90"/>
        <v>76</v>
      </c>
      <c r="M858" s="59">
        <f t="shared" si="91"/>
        <v>68</v>
      </c>
      <c r="N858" s="59">
        <f t="shared" si="92"/>
        <v>8</v>
      </c>
      <c r="O858" s="60">
        <f t="shared" si="88"/>
        <v>858</v>
      </c>
      <c r="P858" s="65"/>
    </row>
    <row r="859" spans="3:16">
      <c r="C859" s="83" t="s">
        <v>73</v>
      </c>
      <c r="D859" s="75"/>
      <c r="E859" s="75"/>
      <c r="F859" s="81" t="s">
        <v>151</v>
      </c>
      <c r="G859" s="55" t="s">
        <v>1732</v>
      </c>
      <c r="H859" s="55" t="s">
        <v>124</v>
      </c>
      <c r="I859" s="59">
        <v>2.2000000000000002</v>
      </c>
      <c r="J859" s="60" t="s">
        <v>1733</v>
      </c>
      <c r="K859" s="63" t="str">
        <f t="shared" si="93"/>
        <v>XGF-RD4AInput</v>
      </c>
      <c r="L859" s="59">
        <f t="shared" si="90"/>
        <v>76</v>
      </c>
      <c r="M859" s="59">
        <f t="shared" si="91"/>
        <v>68</v>
      </c>
      <c r="N859" s="59">
        <f t="shared" si="92"/>
        <v>8</v>
      </c>
      <c r="O859" s="60">
        <f t="shared" si="88"/>
        <v>859</v>
      </c>
      <c r="P859" s="65"/>
    </row>
    <row r="860" spans="3:16">
      <c r="C860" s="83" t="s">
        <v>73</v>
      </c>
      <c r="D860" s="75"/>
      <c r="E860" s="75"/>
      <c r="F860" s="81" t="s">
        <v>151</v>
      </c>
      <c r="G860" s="55" t="s">
        <v>1734</v>
      </c>
      <c r="H860" s="55" t="s">
        <v>124</v>
      </c>
      <c r="I860" s="59">
        <v>2.2999999999999998</v>
      </c>
      <c r="J860" s="60" t="s">
        <v>1735</v>
      </c>
      <c r="K860" s="63" t="str">
        <f t="shared" si="93"/>
        <v>XGF-RD4AInput</v>
      </c>
      <c r="L860" s="59">
        <f t="shared" si="90"/>
        <v>76</v>
      </c>
      <c r="M860" s="59">
        <f t="shared" si="91"/>
        <v>68</v>
      </c>
      <c r="N860" s="59">
        <f t="shared" si="92"/>
        <v>8</v>
      </c>
      <c r="O860" s="60">
        <f t="shared" si="88"/>
        <v>860</v>
      </c>
      <c r="P860" s="65"/>
    </row>
    <row r="861" spans="3:16">
      <c r="C861" s="83" t="s">
        <v>73</v>
      </c>
      <c r="D861" s="75"/>
      <c r="E861" s="75"/>
      <c r="F861" s="81" t="s">
        <v>151</v>
      </c>
      <c r="G861" s="55" t="s">
        <v>1736</v>
      </c>
      <c r="H861" s="55" t="s">
        <v>124</v>
      </c>
      <c r="I861" s="59">
        <v>2.4</v>
      </c>
      <c r="J861" s="60" t="s">
        <v>1737</v>
      </c>
      <c r="K861" s="63" t="str">
        <f t="shared" si="93"/>
        <v>XGF-RD4AInput</v>
      </c>
      <c r="L861" s="59">
        <f t="shared" si="90"/>
        <v>76</v>
      </c>
      <c r="M861" s="59">
        <f t="shared" si="91"/>
        <v>68</v>
      </c>
      <c r="N861" s="59">
        <f t="shared" si="92"/>
        <v>8</v>
      </c>
      <c r="O861" s="60">
        <f t="shared" si="88"/>
        <v>861</v>
      </c>
      <c r="P861" s="65"/>
    </row>
    <row r="862" spans="3:16">
      <c r="C862" s="83" t="s">
        <v>73</v>
      </c>
      <c r="D862" s="75"/>
      <c r="E862" s="75"/>
      <c r="F862" s="81" t="s">
        <v>151</v>
      </c>
      <c r="G862" s="55" t="s">
        <v>1738</v>
      </c>
      <c r="H862" s="55" t="s">
        <v>124</v>
      </c>
      <c r="I862" s="59">
        <v>2.5</v>
      </c>
      <c r="J862" s="60" t="s">
        <v>1739</v>
      </c>
      <c r="K862" s="63" t="str">
        <f t="shared" si="93"/>
        <v>XGF-RD4AInput</v>
      </c>
      <c r="L862" s="59">
        <f t="shared" si="90"/>
        <v>76</v>
      </c>
      <c r="M862" s="59">
        <f t="shared" si="91"/>
        <v>68</v>
      </c>
      <c r="N862" s="59">
        <f t="shared" si="92"/>
        <v>8</v>
      </c>
      <c r="O862" s="60">
        <f t="shared" si="88"/>
        <v>862</v>
      </c>
      <c r="P862" s="65"/>
    </row>
    <row r="863" spans="3:16">
      <c r="C863" s="83" t="s">
        <v>73</v>
      </c>
      <c r="D863" s="75"/>
      <c r="E863" s="75"/>
      <c r="F863" s="81" t="s">
        <v>151</v>
      </c>
      <c r="G863" s="55" t="s">
        <v>1740</v>
      </c>
      <c r="H863" s="55" t="s">
        <v>124</v>
      </c>
      <c r="I863" s="59">
        <v>2.6</v>
      </c>
      <c r="J863" s="60" t="s">
        <v>1741</v>
      </c>
      <c r="K863" s="63" t="str">
        <f t="shared" si="93"/>
        <v>XGF-RD4AInput</v>
      </c>
      <c r="L863" s="59">
        <f t="shared" si="90"/>
        <v>76</v>
      </c>
      <c r="M863" s="59">
        <f t="shared" si="91"/>
        <v>68</v>
      </c>
      <c r="N863" s="59">
        <f t="shared" si="92"/>
        <v>8</v>
      </c>
      <c r="O863" s="60">
        <f t="shared" si="88"/>
        <v>863</v>
      </c>
      <c r="P863" s="65"/>
    </row>
    <row r="864" spans="3:16">
      <c r="C864" s="83" t="s">
        <v>73</v>
      </c>
      <c r="D864" s="75"/>
      <c r="E864" s="75"/>
      <c r="F864" s="81" t="s">
        <v>151</v>
      </c>
      <c r="G864" s="55" t="s">
        <v>1742</v>
      </c>
      <c r="H864" s="55" t="s">
        <v>124</v>
      </c>
      <c r="I864" s="59">
        <v>2.7</v>
      </c>
      <c r="J864" s="60" t="s">
        <v>1743</v>
      </c>
      <c r="K864" s="63" t="str">
        <f t="shared" si="93"/>
        <v>XGF-RD4AInput</v>
      </c>
      <c r="L864" s="59">
        <f t="shared" si="90"/>
        <v>76</v>
      </c>
      <c r="M864" s="59">
        <f t="shared" si="91"/>
        <v>68</v>
      </c>
      <c r="N864" s="59">
        <f t="shared" si="92"/>
        <v>8</v>
      </c>
      <c r="O864" s="60">
        <f t="shared" si="88"/>
        <v>864</v>
      </c>
      <c r="P864" s="65"/>
    </row>
    <row r="865" spans="3:16">
      <c r="C865" s="83" t="s">
        <v>73</v>
      </c>
      <c r="D865" s="75"/>
      <c r="E865" s="75"/>
      <c r="F865" s="81" t="s">
        <v>151</v>
      </c>
      <c r="G865" s="55" t="s">
        <v>1744</v>
      </c>
      <c r="H865" s="55" t="s">
        <v>124</v>
      </c>
      <c r="I865" s="59">
        <v>2.8</v>
      </c>
      <c r="J865" s="60" t="s">
        <v>1745</v>
      </c>
      <c r="K865" s="63" t="str">
        <f t="shared" si="93"/>
        <v>XGF-RD4AInput</v>
      </c>
      <c r="L865" s="59">
        <f t="shared" si="90"/>
        <v>76</v>
      </c>
      <c r="M865" s="59">
        <f t="shared" si="91"/>
        <v>68</v>
      </c>
      <c r="N865" s="59">
        <f t="shared" si="92"/>
        <v>8</v>
      </c>
      <c r="O865" s="60">
        <f t="shared" si="88"/>
        <v>865</v>
      </c>
      <c r="P865" s="65"/>
    </row>
    <row r="866" spans="3:16">
      <c r="C866" s="83" t="s">
        <v>73</v>
      </c>
      <c r="D866" s="75"/>
      <c r="E866" s="75"/>
      <c r="F866" s="81" t="s">
        <v>151</v>
      </c>
      <c r="G866" s="55" t="s">
        <v>1746</v>
      </c>
      <c r="H866" s="55" t="s">
        <v>124</v>
      </c>
      <c r="I866" s="59">
        <v>2.9</v>
      </c>
      <c r="J866" s="60" t="s">
        <v>1747</v>
      </c>
      <c r="K866" s="63" t="str">
        <f t="shared" si="93"/>
        <v>XGF-RD4AInput</v>
      </c>
      <c r="L866" s="59">
        <f t="shared" si="90"/>
        <v>76</v>
      </c>
      <c r="M866" s="59">
        <f t="shared" si="91"/>
        <v>68</v>
      </c>
      <c r="N866" s="59">
        <f t="shared" si="92"/>
        <v>8</v>
      </c>
      <c r="O866" s="60">
        <f t="shared" si="88"/>
        <v>866</v>
      </c>
      <c r="P866" s="65"/>
    </row>
    <row r="867" spans="3:16">
      <c r="C867" s="83" t="s">
        <v>73</v>
      </c>
      <c r="D867" s="75"/>
      <c r="E867" s="75"/>
      <c r="F867" s="81" t="s">
        <v>151</v>
      </c>
      <c r="G867" s="55" t="s">
        <v>1748</v>
      </c>
      <c r="H867" s="55" t="s">
        <v>124</v>
      </c>
      <c r="I867" s="59" t="s">
        <v>1272</v>
      </c>
      <c r="J867" s="60" t="s">
        <v>1749</v>
      </c>
      <c r="K867" s="63" t="str">
        <f t="shared" si="93"/>
        <v>XGF-RD4AInput</v>
      </c>
      <c r="L867" s="59">
        <f t="shared" si="90"/>
        <v>76</v>
      </c>
      <c r="M867" s="59">
        <f t="shared" si="91"/>
        <v>68</v>
      </c>
      <c r="N867" s="59">
        <f t="shared" si="92"/>
        <v>8</v>
      </c>
      <c r="O867" s="60">
        <f t="shared" si="88"/>
        <v>867</v>
      </c>
      <c r="P867" s="65"/>
    </row>
    <row r="868" spans="3:16">
      <c r="C868" s="83" t="s">
        <v>73</v>
      </c>
      <c r="D868" s="75"/>
      <c r="E868" s="75"/>
      <c r="F868" s="81" t="s">
        <v>151</v>
      </c>
      <c r="G868" s="55" t="s">
        <v>1750</v>
      </c>
      <c r="H868" s="55" t="s">
        <v>124</v>
      </c>
      <c r="I868" s="59" t="s">
        <v>1275</v>
      </c>
      <c r="J868" s="60" t="s">
        <v>1751</v>
      </c>
      <c r="K868" s="63" t="str">
        <f t="shared" si="93"/>
        <v>XGF-RD4AInput</v>
      </c>
      <c r="L868" s="59">
        <f t="shared" si="90"/>
        <v>76</v>
      </c>
      <c r="M868" s="59">
        <f t="shared" si="91"/>
        <v>68</v>
      </c>
      <c r="N868" s="59">
        <f t="shared" si="92"/>
        <v>8</v>
      </c>
      <c r="O868" s="60">
        <f t="shared" si="88"/>
        <v>868</v>
      </c>
      <c r="P868" s="65"/>
    </row>
    <row r="869" spans="3:16">
      <c r="C869" s="83" t="s">
        <v>73</v>
      </c>
      <c r="D869" s="75"/>
      <c r="E869" s="75"/>
      <c r="F869" s="81" t="s">
        <v>151</v>
      </c>
      <c r="G869" s="55" t="s">
        <v>1752</v>
      </c>
      <c r="H869" s="55" t="s">
        <v>124</v>
      </c>
      <c r="I869" s="59" t="s">
        <v>1278</v>
      </c>
      <c r="J869" s="60" t="s">
        <v>1753</v>
      </c>
      <c r="K869" s="63" t="str">
        <f t="shared" si="93"/>
        <v>XGF-RD4AInput</v>
      </c>
      <c r="L869" s="59">
        <f t="shared" si="90"/>
        <v>76</v>
      </c>
      <c r="M869" s="59">
        <f t="shared" si="91"/>
        <v>68</v>
      </c>
      <c r="N869" s="59">
        <f t="shared" si="92"/>
        <v>8</v>
      </c>
      <c r="O869" s="60">
        <f t="shared" si="88"/>
        <v>869</v>
      </c>
      <c r="P869" s="65"/>
    </row>
    <row r="870" spans="3:16">
      <c r="C870" s="83" t="s">
        <v>73</v>
      </c>
      <c r="D870" s="75"/>
      <c r="E870" s="75"/>
      <c r="F870" s="81" t="s">
        <v>151</v>
      </c>
      <c r="G870" s="55" t="s">
        <v>1754</v>
      </c>
      <c r="H870" s="55" t="s">
        <v>124</v>
      </c>
      <c r="I870" s="59" t="s">
        <v>1409</v>
      </c>
      <c r="J870" s="60" t="s">
        <v>1755</v>
      </c>
      <c r="K870" s="63" t="str">
        <f t="shared" si="93"/>
        <v>XGF-RD4AInput</v>
      </c>
      <c r="L870" s="59">
        <f t="shared" ref="L870:L905" si="94">COUNTIF($C$2:$C$2062,C870)</f>
        <v>76</v>
      </c>
      <c r="M870" s="59">
        <f t="shared" ref="M870:M905" si="95">COUNTIF($K$2:$K$2062,K870)</f>
        <v>68</v>
      </c>
      <c r="N870" s="59">
        <f t="shared" si="92"/>
        <v>8</v>
      </c>
      <c r="O870" s="60">
        <f t="shared" si="88"/>
        <v>870</v>
      </c>
      <c r="P870" s="65"/>
    </row>
    <row r="871" spans="3:16">
      <c r="C871" s="83" t="s">
        <v>73</v>
      </c>
      <c r="D871" s="75"/>
      <c r="E871" s="75"/>
      <c r="F871" s="81" t="s">
        <v>151</v>
      </c>
      <c r="G871" s="55" t="s">
        <v>1756</v>
      </c>
      <c r="H871" s="55" t="s">
        <v>124</v>
      </c>
      <c r="I871" s="59" t="s">
        <v>1281</v>
      </c>
      <c r="J871" s="60" t="s">
        <v>1757</v>
      </c>
      <c r="K871" s="63" t="str">
        <f t="shared" si="93"/>
        <v>XGF-RD4AInput</v>
      </c>
      <c r="L871" s="59">
        <f t="shared" si="94"/>
        <v>76</v>
      </c>
      <c r="M871" s="59">
        <f t="shared" si="95"/>
        <v>68</v>
      </c>
      <c r="N871" s="59">
        <f t="shared" si="92"/>
        <v>8</v>
      </c>
      <c r="O871" s="60">
        <f t="shared" si="88"/>
        <v>871</v>
      </c>
      <c r="P871" s="65"/>
    </row>
    <row r="872" spans="3:16">
      <c r="C872" s="83" t="s">
        <v>73</v>
      </c>
      <c r="D872" s="75"/>
      <c r="E872" s="75"/>
      <c r="F872" s="81" t="s">
        <v>151</v>
      </c>
      <c r="G872" s="55" t="s">
        <v>1758</v>
      </c>
      <c r="H872" s="55" t="s">
        <v>124</v>
      </c>
      <c r="I872" s="59" t="s">
        <v>1414</v>
      </c>
      <c r="J872" s="60" t="s">
        <v>1759</v>
      </c>
      <c r="K872" s="63" t="str">
        <f t="shared" si="93"/>
        <v>XGF-RD4AInput</v>
      </c>
      <c r="L872" s="59">
        <f t="shared" si="94"/>
        <v>76</v>
      </c>
      <c r="M872" s="59">
        <f t="shared" si="95"/>
        <v>68</v>
      </c>
      <c r="N872" s="59">
        <f t="shared" si="92"/>
        <v>8</v>
      </c>
      <c r="O872" s="60">
        <f t="shared" si="88"/>
        <v>872</v>
      </c>
      <c r="P872" s="65"/>
    </row>
    <row r="873" spans="3:16">
      <c r="C873" s="83" t="s">
        <v>73</v>
      </c>
      <c r="D873" s="75"/>
      <c r="E873" s="75"/>
      <c r="F873" s="81" t="s">
        <v>151</v>
      </c>
      <c r="G873" s="55" t="s">
        <v>1760</v>
      </c>
      <c r="H873" s="55" t="s">
        <v>124</v>
      </c>
      <c r="I873" s="59">
        <v>3</v>
      </c>
      <c r="J873" s="60" t="s">
        <v>1761</v>
      </c>
      <c r="K873" s="63" t="str">
        <f t="shared" si="93"/>
        <v>XGF-RD4AInput</v>
      </c>
      <c r="L873" s="59">
        <f t="shared" si="94"/>
        <v>76</v>
      </c>
      <c r="M873" s="59">
        <f t="shared" si="95"/>
        <v>68</v>
      </c>
      <c r="N873" s="59">
        <f t="shared" si="92"/>
        <v>8</v>
      </c>
      <c r="O873" s="60">
        <f t="shared" si="88"/>
        <v>873</v>
      </c>
      <c r="P873" s="65"/>
    </row>
    <row r="874" spans="3:16">
      <c r="C874" s="83" t="s">
        <v>73</v>
      </c>
      <c r="D874" s="75"/>
      <c r="E874" s="75"/>
      <c r="F874" s="81" t="s">
        <v>151</v>
      </c>
      <c r="G874" s="55" t="s">
        <v>1762</v>
      </c>
      <c r="H874" s="55" t="s">
        <v>124</v>
      </c>
      <c r="I874" s="59">
        <v>3.1</v>
      </c>
      <c r="J874" s="60" t="s">
        <v>1763</v>
      </c>
      <c r="K874" s="63" t="str">
        <f t="shared" si="93"/>
        <v>XGF-RD4AInput</v>
      </c>
      <c r="L874" s="59">
        <f t="shared" si="94"/>
        <v>76</v>
      </c>
      <c r="M874" s="59">
        <f t="shared" si="95"/>
        <v>68</v>
      </c>
      <c r="N874" s="59">
        <f t="shared" si="92"/>
        <v>8</v>
      </c>
      <c r="O874" s="60">
        <f t="shared" si="88"/>
        <v>874</v>
      </c>
      <c r="P874" s="65"/>
    </row>
    <row r="875" spans="3:16">
      <c r="C875" s="83" t="s">
        <v>73</v>
      </c>
      <c r="D875" s="75"/>
      <c r="E875" s="75"/>
      <c r="F875" s="81" t="s">
        <v>151</v>
      </c>
      <c r="G875" s="55" t="s">
        <v>1764</v>
      </c>
      <c r="H875" s="55" t="s">
        <v>124</v>
      </c>
      <c r="I875" s="59">
        <v>3.4</v>
      </c>
      <c r="J875" s="60" t="s">
        <v>1765</v>
      </c>
      <c r="K875" s="63" t="str">
        <f t="shared" si="93"/>
        <v>XGF-RD4AInput</v>
      </c>
      <c r="L875" s="59">
        <f t="shared" si="94"/>
        <v>76</v>
      </c>
      <c r="M875" s="59">
        <f t="shared" si="95"/>
        <v>68</v>
      </c>
      <c r="N875" s="59">
        <f t="shared" si="92"/>
        <v>8</v>
      </c>
      <c r="O875" s="60">
        <f t="shared" si="88"/>
        <v>875</v>
      </c>
      <c r="P875" s="65"/>
    </row>
    <row r="876" spans="3:16">
      <c r="C876" s="83" t="s">
        <v>73</v>
      </c>
      <c r="D876" s="75"/>
      <c r="E876" s="75"/>
      <c r="F876" s="81" t="s">
        <v>151</v>
      </c>
      <c r="G876" s="55" t="s">
        <v>1766</v>
      </c>
      <c r="H876" s="55" t="s">
        <v>124</v>
      </c>
      <c r="I876" s="59">
        <v>3.5</v>
      </c>
      <c r="J876" s="60" t="s">
        <v>1767</v>
      </c>
      <c r="K876" s="63" t="str">
        <f t="shared" si="93"/>
        <v>XGF-RD4AInput</v>
      </c>
      <c r="L876" s="59">
        <f t="shared" si="94"/>
        <v>76</v>
      </c>
      <c r="M876" s="59">
        <f t="shared" si="95"/>
        <v>68</v>
      </c>
      <c r="N876" s="59">
        <f t="shared" si="92"/>
        <v>8</v>
      </c>
      <c r="O876" s="60">
        <f t="shared" si="88"/>
        <v>876</v>
      </c>
      <c r="P876" s="65"/>
    </row>
    <row r="877" spans="3:16">
      <c r="C877" s="83" t="s">
        <v>73</v>
      </c>
      <c r="D877" s="75"/>
      <c r="E877" s="75"/>
      <c r="F877" s="81" t="s">
        <v>151</v>
      </c>
      <c r="G877" s="55" t="s">
        <v>1768</v>
      </c>
      <c r="H877" s="55" t="s">
        <v>124</v>
      </c>
      <c r="I877" s="59">
        <v>3.8</v>
      </c>
      <c r="J877" s="60" t="s">
        <v>1769</v>
      </c>
      <c r="K877" s="63" t="str">
        <f t="shared" si="93"/>
        <v>XGF-RD4AInput</v>
      </c>
      <c r="L877" s="59">
        <f t="shared" si="94"/>
        <v>76</v>
      </c>
      <c r="M877" s="59">
        <f t="shared" si="95"/>
        <v>68</v>
      </c>
      <c r="N877" s="59">
        <f t="shared" si="92"/>
        <v>8</v>
      </c>
      <c r="O877" s="60">
        <f t="shared" si="88"/>
        <v>877</v>
      </c>
      <c r="P877" s="65"/>
    </row>
    <row r="878" spans="3:16">
      <c r="C878" s="83" t="s">
        <v>73</v>
      </c>
      <c r="D878" s="75"/>
      <c r="E878" s="75"/>
      <c r="F878" s="81" t="s">
        <v>151</v>
      </c>
      <c r="G878" s="55" t="s">
        <v>1770</v>
      </c>
      <c r="H878" s="55" t="s">
        <v>124</v>
      </c>
      <c r="I878" s="59">
        <v>3.9</v>
      </c>
      <c r="J878" s="60" t="s">
        <v>1771</v>
      </c>
      <c r="K878" s="63" t="str">
        <f t="shared" si="93"/>
        <v>XGF-RD4AInput</v>
      </c>
      <c r="L878" s="59">
        <f t="shared" si="94"/>
        <v>76</v>
      </c>
      <c r="M878" s="59">
        <f t="shared" si="95"/>
        <v>68</v>
      </c>
      <c r="N878" s="59">
        <f t="shared" si="92"/>
        <v>8</v>
      </c>
      <c r="O878" s="60">
        <f t="shared" si="88"/>
        <v>878</v>
      </c>
      <c r="P878" s="65"/>
    </row>
    <row r="879" spans="3:16">
      <c r="C879" s="83" t="s">
        <v>73</v>
      </c>
      <c r="D879" s="75"/>
      <c r="E879" s="75"/>
      <c r="F879" s="81" t="s">
        <v>151</v>
      </c>
      <c r="G879" s="55" t="s">
        <v>1772</v>
      </c>
      <c r="H879" s="55" t="s">
        <v>124</v>
      </c>
      <c r="I879" s="59" t="s">
        <v>1306</v>
      </c>
      <c r="J879" s="60" t="s">
        <v>1773</v>
      </c>
      <c r="K879" s="63" t="str">
        <f t="shared" si="93"/>
        <v>XGF-RD4AInput</v>
      </c>
      <c r="L879" s="59">
        <f t="shared" si="94"/>
        <v>76</v>
      </c>
      <c r="M879" s="59">
        <f t="shared" si="95"/>
        <v>68</v>
      </c>
      <c r="N879" s="59">
        <f t="shared" si="92"/>
        <v>8</v>
      </c>
      <c r="O879" s="60">
        <f t="shared" si="88"/>
        <v>879</v>
      </c>
      <c r="P879" s="65"/>
    </row>
    <row r="880" spans="3:16">
      <c r="C880" s="83" t="s">
        <v>73</v>
      </c>
      <c r="D880" s="75"/>
      <c r="E880" s="75"/>
      <c r="F880" s="81" t="s">
        <v>151</v>
      </c>
      <c r="G880" s="55" t="s">
        <v>1774</v>
      </c>
      <c r="H880" s="55" t="s">
        <v>124</v>
      </c>
      <c r="I880" s="59" t="s">
        <v>1441</v>
      </c>
      <c r="J880" s="60" t="s">
        <v>1775</v>
      </c>
      <c r="K880" s="63" t="str">
        <f t="shared" si="93"/>
        <v>XGF-RD4AInput</v>
      </c>
      <c r="L880" s="59">
        <f t="shared" si="94"/>
        <v>76</v>
      </c>
      <c r="M880" s="59">
        <f t="shared" si="95"/>
        <v>68</v>
      </c>
      <c r="N880" s="59">
        <f t="shared" si="92"/>
        <v>8</v>
      </c>
      <c r="O880" s="60">
        <f t="shared" si="88"/>
        <v>880</v>
      </c>
      <c r="P880" s="65"/>
    </row>
    <row r="881" spans="3:16">
      <c r="C881" s="83" t="s">
        <v>73</v>
      </c>
      <c r="D881" s="75"/>
      <c r="E881" s="75"/>
      <c r="F881" s="81" t="s">
        <v>151</v>
      </c>
      <c r="G881" s="55" t="s">
        <v>1776</v>
      </c>
      <c r="H881" s="55" t="s">
        <v>139</v>
      </c>
      <c r="I881" s="59">
        <v>4</v>
      </c>
      <c r="J881" s="60" t="s">
        <v>1777</v>
      </c>
      <c r="K881" s="63" t="str">
        <f t="shared" si="93"/>
        <v>XGF-RD4AInput</v>
      </c>
      <c r="L881" s="59">
        <f t="shared" si="94"/>
        <v>76</v>
      </c>
      <c r="M881" s="59">
        <f t="shared" si="95"/>
        <v>68</v>
      </c>
      <c r="N881" s="59">
        <f t="shared" si="92"/>
        <v>8</v>
      </c>
      <c r="O881" s="60">
        <f t="shared" si="88"/>
        <v>881</v>
      </c>
      <c r="P881" s="65"/>
    </row>
    <row r="882" spans="3:16">
      <c r="C882" s="83" t="s">
        <v>73</v>
      </c>
      <c r="D882" s="75"/>
      <c r="E882" s="75"/>
      <c r="F882" s="81" t="s">
        <v>151</v>
      </c>
      <c r="G882" s="55" t="s">
        <v>1778</v>
      </c>
      <c r="H882" s="55" t="s">
        <v>139</v>
      </c>
      <c r="I882" s="59">
        <v>5</v>
      </c>
      <c r="J882" s="60" t="s">
        <v>1779</v>
      </c>
      <c r="K882" s="63" t="str">
        <f t="shared" si="93"/>
        <v>XGF-RD4AInput</v>
      </c>
      <c r="L882" s="59">
        <f t="shared" si="94"/>
        <v>76</v>
      </c>
      <c r="M882" s="59">
        <f t="shared" si="95"/>
        <v>68</v>
      </c>
      <c r="N882" s="59">
        <f t="shared" si="92"/>
        <v>8</v>
      </c>
      <c r="O882" s="60">
        <f t="shared" si="88"/>
        <v>882</v>
      </c>
      <c r="P882" s="65"/>
    </row>
    <row r="883" spans="3:16">
      <c r="C883" s="83" t="s">
        <v>73</v>
      </c>
      <c r="D883" s="75"/>
      <c r="E883" s="75"/>
      <c r="F883" s="81" t="s">
        <v>151</v>
      </c>
      <c r="G883" s="55" t="s">
        <v>1780</v>
      </c>
      <c r="H883" s="55" t="s">
        <v>139</v>
      </c>
      <c r="I883" s="59">
        <v>6</v>
      </c>
      <c r="J883" s="60" t="s">
        <v>1781</v>
      </c>
      <c r="K883" s="63" t="str">
        <f t="shared" si="93"/>
        <v>XGF-RD4AInput</v>
      </c>
      <c r="L883" s="59">
        <f t="shared" si="94"/>
        <v>76</v>
      </c>
      <c r="M883" s="59">
        <f t="shared" si="95"/>
        <v>68</v>
      </c>
      <c r="N883" s="59">
        <f t="shared" si="92"/>
        <v>8</v>
      </c>
      <c r="O883" s="60">
        <f t="shared" si="88"/>
        <v>883</v>
      </c>
      <c r="P883" s="65"/>
    </row>
    <row r="884" spans="3:16">
      <c r="C884" s="83" t="s">
        <v>73</v>
      </c>
      <c r="D884" s="75"/>
      <c r="E884" s="75"/>
      <c r="F884" s="81" t="s">
        <v>151</v>
      </c>
      <c r="G884" s="55" t="s">
        <v>1782</v>
      </c>
      <c r="H884" s="55" t="s">
        <v>139</v>
      </c>
      <c r="I884" s="59">
        <v>7</v>
      </c>
      <c r="J884" s="60" t="s">
        <v>1783</v>
      </c>
      <c r="K884" s="63" t="str">
        <f t="shared" si="93"/>
        <v>XGF-RD4AInput</v>
      </c>
      <c r="L884" s="59">
        <f t="shared" si="94"/>
        <v>76</v>
      </c>
      <c r="M884" s="59">
        <f t="shared" si="95"/>
        <v>68</v>
      </c>
      <c r="N884" s="59">
        <f t="shared" si="92"/>
        <v>8</v>
      </c>
      <c r="O884" s="60">
        <f t="shared" si="88"/>
        <v>884</v>
      </c>
      <c r="P884" s="65"/>
    </row>
    <row r="885" spans="3:16">
      <c r="C885" s="83" t="s">
        <v>73</v>
      </c>
      <c r="D885" s="75"/>
      <c r="E885" s="75"/>
      <c r="F885" s="81" t="s">
        <v>151</v>
      </c>
      <c r="G885" s="55" t="s">
        <v>1784</v>
      </c>
      <c r="H885" s="55" t="s">
        <v>139</v>
      </c>
      <c r="I885" s="59">
        <v>8</v>
      </c>
      <c r="J885" s="60" t="s">
        <v>1785</v>
      </c>
      <c r="K885" s="63" t="str">
        <f t="shared" si="93"/>
        <v>XGF-RD4AInput</v>
      </c>
      <c r="L885" s="59">
        <f t="shared" si="94"/>
        <v>76</v>
      </c>
      <c r="M885" s="59">
        <f t="shared" si="95"/>
        <v>68</v>
      </c>
      <c r="N885" s="59">
        <f t="shared" si="92"/>
        <v>8</v>
      </c>
      <c r="O885" s="60">
        <f t="shared" si="88"/>
        <v>885</v>
      </c>
      <c r="P885" s="65"/>
    </row>
    <row r="886" spans="3:16">
      <c r="C886" s="83" t="s">
        <v>73</v>
      </c>
      <c r="D886" s="75"/>
      <c r="E886" s="75"/>
      <c r="F886" s="81" t="s">
        <v>151</v>
      </c>
      <c r="G886" s="55" t="s">
        <v>1786</v>
      </c>
      <c r="H886" s="55" t="s">
        <v>139</v>
      </c>
      <c r="I886" s="59">
        <v>9</v>
      </c>
      <c r="J886" s="60" t="s">
        <v>1787</v>
      </c>
      <c r="K886" s="63" t="str">
        <f t="shared" si="93"/>
        <v>XGF-RD4AInput</v>
      </c>
      <c r="L886" s="59">
        <f t="shared" si="94"/>
        <v>76</v>
      </c>
      <c r="M886" s="59">
        <f t="shared" si="95"/>
        <v>68</v>
      </c>
      <c r="N886" s="59">
        <f t="shared" si="92"/>
        <v>8</v>
      </c>
      <c r="O886" s="60">
        <f t="shared" si="88"/>
        <v>886</v>
      </c>
      <c r="P886" s="65"/>
    </row>
    <row r="887" spans="3:16">
      <c r="C887" s="83" t="s">
        <v>73</v>
      </c>
      <c r="D887" s="75"/>
      <c r="E887" s="75"/>
      <c r="F887" s="81" t="s">
        <v>151</v>
      </c>
      <c r="G887" s="55" t="s">
        <v>1788</v>
      </c>
      <c r="H887" s="55" t="s">
        <v>139</v>
      </c>
      <c r="I887" s="59">
        <v>10</v>
      </c>
      <c r="J887" s="60" t="s">
        <v>1789</v>
      </c>
      <c r="K887" s="63" t="str">
        <f t="shared" si="93"/>
        <v>XGF-RD4AInput</v>
      </c>
      <c r="L887" s="59">
        <f t="shared" si="94"/>
        <v>76</v>
      </c>
      <c r="M887" s="59">
        <f t="shared" si="95"/>
        <v>68</v>
      </c>
      <c r="N887" s="59">
        <f t="shared" si="92"/>
        <v>8</v>
      </c>
      <c r="O887" s="60">
        <f t="shared" si="88"/>
        <v>887</v>
      </c>
      <c r="P887" s="65"/>
    </row>
    <row r="888" spans="3:16">
      <c r="C888" s="83" t="s">
        <v>73</v>
      </c>
      <c r="D888" s="75"/>
      <c r="E888" s="75"/>
      <c r="F888" s="81" t="s">
        <v>151</v>
      </c>
      <c r="G888" s="55" t="s">
        <v>1790</v>
      </c>
      <c r="H888" s="55" t="s">
        <v>139</v>
      </c>
      <c r="I888" s="59">
        <v>11</v>
      </c>
      <c r="J888" s="60" t="s">
        <v>1791</v>
      </c>
      <c r="K888" s="63" t="str">
        <f t="shared" si="93"/>
        <v>XGF-RD4AInput</v>
      </c>
      <c r="L888" s="59">
        <f t="shared" si="94"/>
        <v>76</v>
      </c>
      <c r="M888" s="59">
        <f t="shared" si="95"/>
        <v>68</v>
      </c>
      <c r="N888" s="59">
        <f t="shared" si="92"/>
        <v>8</v>
      </c>
      <c r="O888" s="60">
        <f t="shared" si="88"/>
        <v>888</v>
      </c>
      <c r="P888" s="65"/>
    </row>
    <row r="889" spans="3:16">
      <c r="C889" s="83" t="s">
        <v>73</v>
      </c>
      <c r="D889" s="75"/>
      <c r="E889" s="75"/>
      <c r="F889" s="81" t="s">
        <v>151</v>
      </c>
      <c r="G889" s="55" t="s">
        <v>1792</v>
      </c>
      <c r="H889" s="55" t="s">
        <v>139</v>
      </c>
      <c r="I889" s="59">
        <v>12</v>
      </c>
      <c r="J889" s="60" t="s">
        <v>1793</v>
      </c>
      <c r="K889" s="63" t="str">
        <f t="shared" si="93"/>
        <v>XGF-RD4AInput</v>
      </c>
      <c r="L889" s="59">
        <f t="shared" si="94"/>
        <v>76</v>
      </c>
      <c r="M889" s="59">
        <f t="shared" si="95"/>
        <v>68</v>
      </c>
      <c r="N889" s="59">
        <f t="shared" si="92"/>
        <v>8</v>
      </c>
      <c r="O889" s="60">
        <f t="shared" si="88"/>
        <v>889</v>
      </c>
      <c r="P889" s="65"/>
    </row>
    <row r="890" spans="3:16">
      <c r="C890" s="83" t="s">
        <v>73</v>
      </c>
      <c r="D890" s="75"/>
      <c r="E890" s="75"/>
      <c r="F890" s="81" t="s">
        <v>151</v>
      </c>
      <c r="G890" s="55" t="s">
        <v>1794</v>
      </c>
      <c r="H890" s="55" t="s">
        <v>139</v>
      </c>
      <c r="I890" s="59">
        <v>13</v>
      </c>
      <c r="J890" s="60" t="s">
        <v>1795</v>
      </c>
      <c r="K890" s="63" t="str">
        <f t="shared" si="93"/>
        <v>XGF-RD4AInput</v>
      </c>
      <c r="L890" s="59">
        <f t="shared" si="94"/>
        <v>76</v>
      </c>
      <c r="M890" s="59">
        <f t="shared" si="95"/>
        <v>68</v>
      </c>
      <c r="N890" s="59">
        <f t="shared" si="92"/>
        <v>8</v>
      </c>
      <c r="O890" s="60">
        <f t="shared" si="88"/>
        <v>890</v>
      </c>
      <c r="P890" s="65"/>
    </row>
    <row r="891" spans="3:16">
      <c r="C891" s="83" t="s">
        <v>73</v>
      </c>
      <c r="D891" s="75"/>
      <c r="E891" s="75"/>
      <c r="F891" s="81" t="s">
        <v>151</v>
      </c>
      <c r="G891" s="55" t="s">
        <v>1796</v>
      </c>
      <c r="H891" s="55" t="s">
        <v>139</v>
      </c>
      <c r="I891" s="59">
        <v>14</v>
      </c>
      <c r="J891" s="60" t="s">
        <v>1797</v>
      </c>
      <c r="K891" s="63" t="str">
        <f t="shared" si="93"/>
        <v>XGF-RD4AInput</v>
      </c>
      <c r="L891" s="59">
        <f t="shared" si="94"/>
        <v>76</v>
      </c>
      <c r="M891" s="59">
        <f t="shared" si="95"/>
        <v>68</v>
      </c>
      <c r="N891" s="59">
        <f t="shared" si="92"/>
        <v>8</v>
      </c>
      <c r="O891" s="60">
        <f t="shared" si="88"/>
        <v>891</v>
      </c>
      <c r="P891" s="65"/>
    </row>
    <row r="892" spans="3:16">
      <c r="C892" s="83" t="s">
        <v>73</v>
      </c>
      <c r="D892" s="75"/>
      <c r="E892" s="75"/>
      <c r="F892" s="81" t="s">
        <v>151</v>
      </c>
      <c r="G892" s="55" t="s">
        <v>1798</v>
      </c>
      <c r="H892" s="55" t="s">
        <v>139</v>
      </c>
      <c r="I892" s="59">
        <v>15</v>
      </c>
      <c r="J892" s="60" t="s">
        <v>1799</v>
      </c>
      <c r="K892" s="63" t="str">
        <f t="shared" si="93"/>
        <v>XGF-RD4AInput</v>
      </c>
      <c r="L892" s="59">
        <f t="shared" si="94"/>
        <v>76</v>
      </c>
      <c r="M892" s="59">
        <f t="shared" si="95"/>
        <v>68</v>
      </c>
      <c r="N892" s="59">
        <f t="shared" si="92"/>
        <v>8</v>
      </c>
      <c r="O892" s="60">
        <f t="shared" si="88"/>
        <v>892</v>
      </c>
      <c r="P892" s="65"/>
    </row>
    <row r="893" spans="3:16">
      <c r="C893" s="83" t="s">
        <v>73</v>
      </c>
      <c r="D893" s="75"/>
      <c r="E893" s="75"/>
      <c r="F893" s="81" t="s">
        <v>151</v>
      </c>
      <c r="G893" s="55" t="s">
        <v>1800</v>
      </c>
      <c r="H893" s="55" t="s">
        <v>139</v>
      </c>
      <c r="I893" s="59">
        <v>16</v>
      </c>
      <c r="J893" s="60" t="s">
        <v>1801</v>
      </c>
      <c r="K893" s="63" t="str">
        <f t="shared" si="93"/>
        <v>XGF-RD4AInput</v>
      </c>
      <c r="L893" s="59">
        <f t="shared" si="94"/>
        <v>76</v>
      </c>
      <c r="M893" s="59">
        <f t="shared" si="95"/>
        <v>68</v>
      </c>
      <c r="N893" s="59">
        <f t="shared" si="92"/>
        <v>8</v>
      </c>
      <c r="O893" s="60">
        <f t="shared" si="88"/>
        <v>893</v>
      </c>
      <c r="P893" s="65"/>
    </row>
    <row r="894" spans="3:16">
      <c r="C894" s="83" t="s">
        <v>73</v>
      </c>
      <c r="D894" s="75"/>
      <c r="E894" s="75"/>
      <c r="F894" s="81" t="s">
        <v>151</v>
      </c>
      <c r="G894" s="55" t="s">
        <v>1802</v>
      </c>
      <c r="H894" s="55" t="s">
        <v>139</v>
      </c>
      <c r="I894" s="59">
        <v>17</v>
      </c>
      <c r="J894" s="60" t="s">
        <v>1803</v>
      </c>
      <c r="K894" s="63" t="str">
        <f t="shared" si="93"/>
        <v>XGF-RD4AInput</v>
      </c>
      <c r="L894" s="59">
        <f t="shared" si="94"/>
        <v>76</v>
      </c>
      <c r="M894" s="59">
        <f t="shared" si="95"/>
        <v>68</v>
      </c>
      <c r="N894" s="59">
        <f t="shared" si="92"/>
        <v>8</v>
      </c>
      <c r="O894" s="60">
        <f t="shared" si="88"/>
        <v>894</v>
      </c>
      <c r="P894" s="65"/>
    </row>
    <row r="895" spans="3:16">
      <c r="C895" s="83" t="s">
        <v>73</v>
      </c>
      <c r="D895" s="75"/>
      <c r="E895" s="75"/>
      <c r="F895" s="81" t="s">
        <v>151</v>
      </c>
      <c r="G895" s="55" t="s">
        <v>1804</v>
      </c>
      <c r="H895" s="55" t="s">
        <v>139</v>
      </c>
      <c r="I895" s="59">
        <v>18</v>
      </c>
      <c r="J895" s="60" t="s">
        <v>1805</v>
      </c>
      <c r="K895" s="63" t="str">
        <f t="shared" si="93"/>
        <v>XGF-RD4AInput</v>
      </c>
      <c r="L895" s="59">
        <f t="shared" si="94"/>
        <v>76</v>
      </c>
      <c r="M895" s="59">
        <f t="shared" si="95"/>
        <v>68</v>
      </c>
      <c r="N895" s="59">
        <f t="shared" si="92"/>
        <v>8</v>
      </c>
      <c r="O895" s="60">
        <f t="shared" si="88"/>
        <v>895</v>
      </c>
      <c r="P895" s="65"/>
    </row>
    <row r="896" spans="3:16">
      <c r="C896" s="83" t="s">
        <v>73</v>
      </c>
      <c r="D896" s="75"/>
      <c r="E896" s="75"/>
      <c r="F896" s="81" t="s">
        <v>151</v>
      </c>
      <c r="G896" s="55" t="s">
        <v>1806</v>
      </c>
      <c r="H896" s="55" t="s">
        <v>139</v>
      </c>
      <c r="I896" s="59">
        <v>19</v>
      </c>
      <c r="J896" s="60" t="s">
        <v>1807</v>
      </c>
      <c r="K896" s="63" t="str">
        <f t="shared" si="93"/>
        <v>XGF-RD4AInput</v>
      </c>
      <c r="L896" s="59">
        <f t="shared" si="94"/>
        <v>76</v>
      </c>
      <c r="M896" s="59">
        <f t="shared" si="95"/>
        <v>68</v>
      </c>
      <c r="N896" s="59">
        <f t="shared" si="92"/>
        <v>8</v>
      </c>
      <c r="O896" s="60">
        <f t="shared" si="88"/>
        <v>896</v>
      </c>
      <c r="P896" s="65"/>
    </row>
    <row r="897" spans="3:16">
      <c r="C897" s="83" t="s">
        <v>73</v>
      </c>
      <c r="D897" s="75"/>
      <c r="E897" s="75"/>
      <c r="F897" s="81" t="s">
        <v>151</v>
      </c>
      <c r="G897" s="55" t="s">
        <v>1808</v>
      </c>
      <c r="H897" s="55" t="s">
        <v>139</v>
      </c>
      <c r="I897" s="59">
        <v>20</v>
      </c>
      <c r="J897" s="60" t="s">
        <v>1809</v>
      </c>
      <c r="K897" s="63" t="str">
        <f t="shared" si="93"/>
        <v>XGF-RD4AInput</v>
      </c>
      <c r="L897" s="59">
        <f t="shared" si="94"/>
        <v>76</v>
      </c>
      <c r="M897" s="59">
        <f t="shared" si="95"/>
        <v>68</v>
      </c>
      <c r="N897" s="59">
        <f t="shared" si="92"/>
        <v>8</v>
      </c>
      <c r="O897" s="60">
        <f t="shared" si="88"/>
        <v>897</v>
      </c>
      <c r="P897" s="65"/>
    </row>
    <row r="898" spans="3:16">
      <c r="C898" s="83" t="s">
        <v>73</v>
      </c>
      <c r="D898" s="75"/>
      <c r="E898" s="75"/>
      <c r="F898" s="81" t="s">
        <v>151</v>
      </c>
      <c r="G898" s="55" t="s">
        <v>1810</v>
      </c>
      <c r="H898" s="55" t="s">
        <v>139</v>
      </c>
      <c r="I898" s="59">
        <v>21</v>
      </c>
      <c r="J898" s="60" t="s">
        <v>1809</v>
      </c>
      <c r="K898" s="63" t="str">
        <f t="shared" si="93"/>
        <v>XGF-RD4AInput</v>
      </c>
      <c r="L898" s="59">
        <f t="shared" si="94"/>
        <v>76</v>
      </c>
      <c r="M898" s="59">
        <f t="shared" si="95"/>
        <v>68</v>
      </c>
      <c r="N898" s="59">
        <f t="shared" si="92"/>
        <v>8</v>
      </c>
      <c r="O898" s="60">
        <f t="shared" ref="O898:O961" si="96">ROW(C898)</f>
        <v>898</v>
      </c>
      <c r="P898" s="65"/>
    </row>
    <row r="899" spans="3:16">
      <c r="C899" s="83" t="s">
        <v>73</v>
      </c>
      <c r="D899" s="75"/>
      <c r="E899" s="75"/>
      <c r="F899" s="81" t="s">
        <v>151</v>
      </c>
      <c r="G899" s="55" t="s">
        <v>1811</v>
      </c>
      <c r="H899" s="55" t="s">
        <v>139</v>
      </c>
      <c r="I899" s="59">
        <v>22</v>
      </c>
      <c r="J899" s="60" t="s">
        <v>1812</v>
      </c>
      <c r="K899" s="63" t="str">
        <f t="shared" si="93"/>
        <v>XGF-RD4AInput</v>
      </c>
      <c r="L899" s="59">
        <f t="shared" si="94"/>
        <v>76</v>
      </c>
      <c r="M899" s="59">
        <f t="shared" si="95"/>
        <v>68</v>
      </c>
      <c r="N899" s="59">
        <f t="shared" ref="N899:N962" si="97">L899-M899</f>
        <v>8</v>
      </c>
      <c r="O899" s="60">
        <f t="shared" si="96"/>
        <v>899</v>
      </c>
      <c r="P899" s="65"/>
    </row>
    <row r="900" spans="3:16">
      <c r="C900" s="83" t="s">
        <v>73</v>
      </c>
      <c r="D900" s="75"/>
      <c r="E900" s="75"/>
      <c r="F900" s="81" t="s">
        <v>151</v>
      </c>
      <c r="G900" s="55" t="s">
        <v>1813</v>
      </c>
      <c r="H900" s="55" t="s">
        <v>139</v>
      </c>
      <c r="I900" s="59">
        <v>23</v>
      </c>
      <c r="J900" s="60" t="s">
        <v>1814</v>
      </c>
      <c r="K900" s="63" t="str">
        <f t="shared" si="93"/>
        <v>XGF-RD4AInput</v>
      </c>
      <c r="L900" s="59">
        <f t="shared" si="94"/>
        <v>76</v>
      </c>
      <c r="M900" s="59">
        <f t="shared" si="95"/>
        <v>68</v>
      </c>
      <c r="N900" s="59">
        <f t="shared" si="97"/>
        <v>8</v>
      </c>
      <c r="O900" s="60">
        <f t="shared" si="96"/>
        <v>900</v>
      </c>
      <c r="P900" s="65"/>
    </row>
    <row r="901" spans="3:16">
      <c r="C901" s="83" t="s">
        <v>73</v>
      </c>
      <c r="D901" s="75"/>
      <c r="E901" s="75"/>
      <c r="F901" s="81" t="s">
        <v>151</v>
      </c>
      <c r="G901" s="55" t="s">
        <v>1815</v>
      </c>
      <c r="H901" s="55" t="s">
        <v>139</v>
      </c>
      <c r="I901" s="59">
        <v>24</v>
      </c>
      <c r="J901" s="60" t="s">
        <v>1816</v>
      </c>
      <c r="K901" s="63" t="str">
        <f t="shared" si="93"/>
        <v>XGF-RD4AInput</v>
      </c>
      <c r="L901" s="59">
        <f t="shared" si="94"/>
        <v>76</v>
      </c>
      <c r="M901" s="59">
        <f t="shared" si="95"/>
        <v>68</v>
      </c>
      <c r="N901" s="59">
        <f t="shared" si="97"/>
        <v>8</v>
      </c>
      <c r="O901" s="60">
        <f t="shared" si="96"/>
        <v>901</v>
      </c>
      <c r="P901" s="65"/>
    </row>
    <row r="902" spans="3:16">
      <c r="C902" s="83" t="s">
        <v>73</v>
      </c>
      <c r="D902" s="75"/>
      <c r="E902" s="75"/>
      <c r="F902" s="81" t="s">
        <v>151</v>
      </c>
      <c r="G902" s="55" t="s">
        <v>1817</v>
      </c>
      <c r="H902" s="55" t="s">
        <v>139</v>
      </c>
      <c r="I902" s="59">
        <v>25</v>
      </c>
      <c r="J902" s="60" t="s">
        <v>1816</v>
      </c>
      <c r="K902" s="63" t="str">
        <f t="shared" si="93"/>
        <v>XGF-RD4AInput</v>
      </c>
      <c r="L902" s="59">
        <f t="shared" si="94"/>
        <v>76</v>
      </c>
      <c r="M902" s="59">
        <f t="shared" si="95"/>
        <v>68</v>
      </c>
      <c r="N902" s="59">
        <f t="shared" si="97"/>
        <v>8</v>
      </c>
      <c r="O902" s="60">
        <f t="shared" si="96"/>
        <v>902</v>
      </c>
      <c r="P902" s="65"/>
    </row>
    <row r="903" spans="3:16">
      <c r="C903" s="83" t="s">
        <v>73</v>
      </c>
      <c r="D903" s="75"/>
      <c r="E903" s="75"/>
      <c r="F903" s="81" t="s">
        <v>151</v>
      </c>
      <c r="G903" s="55" t="s">
        <v>1818</v>
      </c>
      <c r="H903" s="55" t="s">
        <v>139</v>
      </c>
      <c r="I903" s="59">
        <v>26</v>
      </c>
      <c r="J903" s="60" t="s">
        <v>1819</v>
      </c>
      <c r="K903" s="63" t="str">
        <f t="shared" si="93"/>
        <v>XGF-RD4AInput</v>
      </c>
      <c r="L903" s="59">
        <f t="shared" si="94"/>
        <v>76</v>
      </c>
      <c r="M903" s="59">
        <f t="shared" si="95"/>
        <v>68</v>
      </c>
      <c r="N903" s="59">
        <f t="shared" si="97"/>
        <v>8</v>
      </c>
      <c r="O903" s="60">
        <f t="shared" si="96"/>
        <v>903</v>
      </c>
      <c r="P903" s="65"/>
    </row>
    <row r="904" spans="3:16">
      <c r="C904" s="83" t="s">
        <v>73</v>
      </c>
      <c r="D904" s="75"/>
      <c r="E904" s="75"/>
      <c r="F904" s="81" t="s">
        <v>151</v>
      </c>
      <c r="G904" s="55" t="s">
        <v>1820</v>
      </c>
      <c r="H904" s="55" t="s">
        <v>139</v>
      </c>
      <c r="I904" s="59">
        <v>27</v>
      </c>
      <c r="J904" s="60" t="s">
        <v>1819</v>
      </c>
      <c r="K904" s="63" t="str">
        <f t="shared" si="93"/>
        <v>XGF-RD4AInput</v>
      </c>
      <c r="L904" s="59">
        <f t="shared" si="94"/>
        <v>76</v>
      </c>
      <c r="M904" s="59">
        <f t="shared" si="95"/>
        <v>68</v>
      </c>
      <c r="N904" s="59">
        <f t="shared" si="97"/>
        <v>8</v>
      </c>
      <c r="O904" s="60">
        <f t="shared" si="96"/>
        <v>904</v>
      </c>
      <c r="P904" s="65"/>
    </row>
    <row r="905" spans="3:16">
      <c r="C905" s="83" t="s">
        <v>73</v>
      </c>
      <c r="D905" s="75"/>
      <c r="E905" s="75"/>
      <c r="F905" s="81" t="s">
        <v>151</v>
      </c>
      <c r="G905" s="62" t="s">
        <v>6</v>
      </c>
      <c r="H905" s="55" t="s">
        <v>139</v>
      </c>
      <c r="I905" s="59">
        <v>28</v>
      </c>
      <c r="J905" s="60" t="s">
        <v>140</v>
      </c>
      <c r="K905" s="63" t="str">
        <f t="shared" si="93"/>
        <v>XGF-RD4AInput</v>
      </c>
      <c r="L905" s="59">
        <f t="shared" si="94"/>
        <v>76</v>
      </c>
      <c r="M905" s="59">
        <f t="shared" si="95"/>
        <v>68</v>
      </c>
      <c r="N905" s="59">
        <f t="shared" si="97"/>
        <v>8</v>
      </c>
      <c r="O905" s="60">
        <f t="shared" si="96"/>
        <v>905</v>
      </c>
      <c r="P905" s="65"/>
    </row>
    <row r="906" spans="3:16">
      <c r="C906" s="83" t="s">
        <v>73</v>
      </c>
      <c r="D906" s="75"/>
      <c r="E906" s="75"/>
      <c r="F906" s="81" t="s">
        <v>166</v>
      </c>
      <c r="G906" s="55" t="s">
        <v>1821</v>
      </c>
      <c r="H906" s="55" t="s">
        <v>124</v>
      </c>
      <c r="I906" s="59">
        <v>0</v>
      </c>
      <c r="J906" s="60" t="s">
        <v>1822</v>
      </c>
      <c r="K906" s="63"/>
      <c r="L906" s="59"/>
      <c r="M906" s="59"/>
      <c r="N906" s="59"/>
      <c r="O906" s="60">
        <f t="shared" si="96"/>
        <v>906</v>
      </c>
      <c r="P906" s="65"/>
    </row>
    <row r="907" spans="3:16">
      <c r="C907" s="83" t="s">
        <v>73</v>
      </c>
      <c r="D907" s="75"/>
      <c r="E907" s="75"/>
      <c r="F907" s="81" t="s">
        <v>166</v>
      </c>
      <c r="G907" s="55" t="s">
        <v>1823</v>
      </c>
      <c r="H907" s="55" t="s">
        <v>124</v>
      </c>
      <c r="I907" s="59">
        <v>0.1</v>
      </c>
      <c r="J907" s="60" t="s">
        <v>1824</v>
      </c>
      <c r="K907" s="63"/>
      <c r="L907" s="59"/>
      <c r="M907" s="59"/>
      <c r="N907" s="59"/>
      <c r="O907" s="60">
        <f t="shared" si="96"/>
        <v>907</v>
      </c>
      <c r="P907" s="65"/>
    </row>
    <row r="908" spans="3:16">
      <c r="C908" s="83" t="s">
        <v>73</v>
      </c>
      <c r="D908" s="75"/>
      <c r="E908" s="75"/>
      <c r="F908" s="81" t="s">
        <v>166</v>
      </c>
      <c r="G908" s="55" t="s">
        <v>1825</v>
      </c>
      <c r="H908" s="55" t="s">
        <v>124</v>
      </c>
      <c r="I908" s="59">
        <v>0.2</v>
      </c>
      <c r="J908" s="60" t="s">
        <v>1826</v>
      </c>
      <c r="K908" s="63"/>
      <c r="L908" s="59"/>
      <c r="M908" s="59"/>
      <c r="N908" s="59"/>
      <c r="O908" s="60">
        <f t="shared" si="96"/>
        <v>908</v>
      </c>
      <c r="P908" s="65"/>
    </row>
    <row r="909" spans="3:16">
      <c r="C909" s="83" t="s">
        <v>73</v>
      </c>
      <c r="D909" s="75"/>
      <c r="E909" s="75"/>
      <c r="F909" s="81" t="s">
        <v>166</v>
      </c>
      <c r="G909" s="55" t="s">
        <v>1827</v>
      </c>
      <c r="H909" s="55" t="s">
        <v>124</v>
      </c>
      <c r="I909" s="59">
        <v>0.3</v>
      </c>
      <c r="J909" s="60" t="s">
        <v>1828</v>
      </c>
      <c r="K909" s="63"/>
      <c r="L909" s="59"/>
      <c r="M909" s="59"/>
      <c r="N909" s="59"/>
      <c r="O909" s="60">
        <f t="shared" si="96"/>
        <v>909</v>
      </c>
      <c r="P909" s="65"/>
    </row>
    <row r="910" spans="3:16">
      <c r="C910" s="83" t="s">
        <v>73</v>
      </c>
      <c r="D910" s="75"/>
      <c r="E910" s="75"/>
      <c r="F910" s="81" t="s">
        <v>166</v>
      </c>
      <c r="G910" s="55" t="s">
        <v>1829</v>
      </c>
      <c r="H910" s="55" t="s">
        <v>124</v>
      </c>
      <c r="I910" s="59">
        <v>0.4</v>
      </c>
      <c r="J910" s="60" t="s">
        <v>1830</v>
      </c>
      <c r="K910" s="63"/>
      <c r="L910" s="59"/>
      <c r="M910" s="59"/>
      <c r="N910" s="59"/>
      <c r="O910" s="60">
        <f t="shared" si="96"/>
        <v>910</v>
      </c>
      <c r="P910" s="65"/>
    </row>
    <row r="911" spans="3:16">
      <c r="C911" s="83" t="s">
        <v>73</v>
      </c>
      <c r="D911" s="75"/>
      <c r="E911" s="75"/>
      <c r="F911" s="81" t="s">
        <v>166</v>
      </c>
      <c r="G911" s="55" t="s">
        <v>1831</v>
      </c>
      <c r="H911" s="55" t="s">
        <v>124</v>
      </c>
      <c r="I911" s="59">
        <v>0.5</v>
      </c>
      <c r="J911" s="60" t="s">
        <v>1832</v>
      </c>
      <c r="K911" s="63"/>
      <c r="L911" s="59"/>
      <c r="M911" s="59"/>
      <c r="N911" s="59"/>
      <c r="O911" s="60">
        <f t="shared" si="96"/>
        <v>911</v>
      </c>
      <c r="P911" s="65"/>
    </row>
    <row r="912" spans="3:16">
      <c r="C912" s="83" t="s">
        <v>73</v>
      </c>
      <c r="D912" s="75"/>
      <c r="E912" s="75"/>
      <c r="F912" s="81" t="s">
        <v>166</v>
      </c>
      <c r="G912" s="55" t="s">
        <v>1833</v>
      </c>
      <c r="H912" s="55" t="s">
        <v>124</v>
      </c>
      <c r="I912" s="59">
        <v>0.6</v>
      </c>
      <c r="J912" s="60" t="s">
        <v>1834</v>
      </c>
      <c r="K912" s="63"/>
      <c r="L912" s="59"/>
      <c r="M912" s="59"/>
      <c r="N912" s="59"/>
      <c r="O912" s="60">
        <f t="shared" si="96"/>
        <v>912</v>
      </c>
      <c r="P912" s="65"/>
    </row>
    <row r="913" spans="3:22">
      <c r="C913" s="83" t="s">
        <v>73</v>
      </c>
      <c r="D913" s="75"/>
      <c r="E913" s="75"/>
      <c r="F913" s="81" t="s">
        <v>166</v>
      </c>
      <c r="G913" s="55" t="s">
        <v>1835</v>
      </c>
      <c r="H913" s="55" t="s">
        <v>124</v>
      </c>
      <c r="I913" s="59">
        <v>0.7</v>
      </c>
      <c r="J913" s="60" t="s">
        <v>1836</v>
      </c>
      <c r="K913" s="63"/>
      <c r="L913" s="59"/>
      <c r="M913" s="59"/>
      <c r="N913" s="59"/>
      <c r="O913" s="60">
        <f t="shared" si="96"/>
        <v>913</v>
      </c>
      <c r="P913" s="65"/>
    </row>
    <row r="914" spans="3:22">
      <c r="C914" s="83" t="s">
        <v>74</v>
      </c>
      <c r="D914" s="75">
        <v>58</v>
      </c>
      <c r="E914" s="75">
        <v>2</v>
      </c>
      <c r="F914" s="81" t="s">
        <v>151</v>
      </c>
      <c r="G914" s="55" t="s">
        <v>1837</v>
      </c>
      <c r="H914" s="55" t="s">
        <v>124</v>
      </c>
      <c r="I914" s="59">
        <v>0</v>
      </c>
      <c r="J914" s="60" t="s">
        <v>1838</v>
      </c>
      <c r="K914" s="63" t="str">
        <f t="shared" si="93"/>
        <v>XGF-RD4SInput</v>
      </c>
      <c r="L914" s="59">
        <f t="shared" ref="L914:L945" si="98">COUNTIF($C$2:$C$2062,C914)</f>
        <v>76</v>
      </c>
      <c r="M914" s="59">
        <f t="shared" ref="M914:M945" si="99">COUNTIF($K$2:$K$2062,K914)</f>
        <v>68</v>
      </c>
      <c r="N914" s="59">
        <f t="shared" si="97"/>
        <v>8</v>
      </c>
      <c r="O914" s="60">
        <f t="shared" si="96"/>
        <v>914</v>
      </c>
      <c r="P914" s="65" t="s">
        <v>3214</v>
      </c>
      <c r="Q914">
        <f>O914</f>
        <v>914</v>
      </c>
      <c r="R914" t="s">
        <v>3215</v>
      </c>
      <c r="S914">
        <v>990</v>
      </c>
      <c r="T914" t="str">
        <f>P914&amp;Q914&amp;R914&amp;S914</f>
        <v>All data map'!$F$914:$J$990</v>
      </c>
      <c r="V914" t="s">
        <v>3255</v>
      </c>
    </row>
    <row r="915" spans="3:22">
      <c r="C915" s="83" t="s">
        <v>74</v>
      </c>
      <c r="D915" s="75"/>
      <c r="E915" s="75"/>
      <c r="F915" s="81" t="s">
        <v>151</v>
      </c>
      <c r="G915" s="55" t="s">
        <v>1839</v>
      </c>
      <c r="H915" s="55" t="s">
        <v>124</v>
      </c>
      <c r="I915" s="59">
        <v>0.1</v>
      </c>
      <c r="J915" s="60" t="s">
        <v>1840</v>
      </c>
      <c r="K915" s="63" t="str">
        <f t="shared" si="93"/>
        <v>XGF-RD4SInput</v>
      </c>
      <c r="L915" s="59">
        <f t="shared" si="98"/>
        <v>76</v>
      </c>
      <c r="M915" s="59">
        <f t="shared" si="99"/>
        <v>68</v>
      </c>
      <c r="N915" s="59">
        <f t="shared" si="97"/>
        <v>8</v>
      </c>
      <c r="O915" s="60">
        <f t="shared" si="96"/>
        <v>915</v>
      </c>
      <c r="P915" s="65"/>
    </row>
    <row r="916" spans="3:22">
      <c r="C916" s="83" t="s">
        <v>74</v>
      </c>
      <c r="D916" s="75"/>
      <c r="E916" s="75"/>
      <c r="F916" s="81" t="s">
        <v>151</v>
      </c>
      <c r="G916" s="55" t="s">
        <v>1841</v>
      </c>
      <c r="H916" s="55" t="s">
        <v>124</v>
      </c>
      <c r="I916" s="59">
        <v>0.2</v>
      </c>
      <c r="J916" s="60" t="s">
        <v>1842</v>
      </c>
      <c r="K916" s="63" t="str">
        <f t="shared" si="93"/>
        <v>XGF-RD4SInput</v>
      </c>
      <c r="L916" s="59">
        <f t="shared" si="98"/>
        <v>76</v>
      </c>
      <c r="M916" s="59">
        <f t="shared" si="99"/>
        <v>68</v>
      </c>
      <c r="N916" s="59">
        <f t="shared" si="97"/>
        <v>8</v>
      </c>
      <c r="O916" s="60">
        <f t="shared" si="96"/>
        <v>916</v>
      </c>
      <c r="P916" s="65"/>
    </row>
    <row r="917" spans="3:22">
      <c r="C917" s="83" t="s">
        <v>74</v>
      </c>
      <c r="D917" s="75"/>
      <c r="E917" s="75"/>
      <c r="F917" s="81" t="s">
        <v>151</v>
      </c>
      <c r="G917" s="55" t="s">
        <v>1843</v>
      </c>
      <c r="H917" s="55" t="s">
        <v>124</v>
      </c>
      <c r="I917" s="59">
        <v>0.3</v>
      </c>
      <c r="J917" s="60" t="s">
        <v>1844</v>
      </c>
      <c r="K917" s="63" t="str">
        <f t="shared" ref="K917:K980" si="100">C917&amp;F917</f>
        <v>XGF-RD4SInput</v>
      </c>
      <c r="L917" s="59">
        <f t="shared" si="98"/>
        <v>76</v>
      </c>
      <c r="M917" s="59">
        <f t="shared" si="99"/>
        <v>68</v>
      </c>
      <c r="N917" s="59">
        <f t="shared" si="97"/>
        <v>8</v>
      </c>
      <c r="O917" s="60">
        <f t="shared" si="96"/>
        <v>917</v>
      </c>
      <c r="P917" s="65"/>
    </row>
    <row r="918" spans="3:22">
      <c r="C918" s="83" t="s">
        <v>74</v>
      </c>
      <c r="D918" s="75"/>
      <c r="E918" s="75"/>
      <c r="F918" s="81" t="s">
        <v>151</v>
      </c>
      <c r="G918" s="55" t="s">
        <v>1845</v>
      </c>
      <c r="H918" s="55" t="s">
        <v>124</v>
      </c>
      <c r="I918" s="59" t="s">
        <v>1133</v>
      </c>
      <c r="J918" s="60" t="s">
        <v>1846</v>
      </c>
      <c r="K918" s="63" t="str">
        <f t="shared" si="100"/>
        <v>XGF-RD4SInput</v>
      </c>
      <c r="L918" s="59">
        <f t="shared" si="98"/>
        <v>76</v>
      </c>
      <c r="M918" s="59">
        <f t="shared" si="99"/>
        <v>68</v>
      </c>
      <c r="N918" s="59">
        <f t="shared" si="97"/>
        <v>8</v>
      </c>
      <c r="O918" s="60">
        <f t="shared" si="96"/>
        <v>918</v>
      </c>
      <c r="P918" s="65"/>
    </row>
    <row r="919" spans="3:22">
      <c r="C919" s="83" t="s">
        <v>74</v>
      </c>
      <c r="D919" s="75"/>
      <c r="E919" s="75"/>
      <c r="F919" s="81" t="s">
        <v>151</v>
      </c>
      <c r="G919" s="55" t="s">
        <v>1847</v>
      </c>
      <c r="H919" s="55" t="s">
        <v>124</v>
      </c>
      <c r="I919" s="59" t="s">
        <v>1050</v>
      </c>
      <c r="J919" s="60" t="s">
        <v>1848</v>
      </c>
      <c r="K919" s="63" t="str">
        <f t="shared" si="100"/>
        <v>XGF-RD4SInput</v>
      </c>
      <c r="L919" s="59">
        <f t="shared" si="98"/>
        <v>76</v>
      </c>
      <c r="M919" s="59">
        <f t="shared" si="99"/>
        <v>68</v>
      </c>
      <c r="N919" s="59">
        <f t="shared" si="97"/>
        <v>8</v>
      </c>
      <c r="O919" s="60">
        <f t="shared" si="96"/>
        <v>919</v>
      </c>
      <c r="P919" s="65"/>
    </row>
    <row r="920" spans="3:22">
      <c r="C920" s="83" t="s">
        <v>74</v>
      </c>
      <c r="D920" s="75"/>
      <c r="E920" s="75"/>
      <c r="F920" s="81" t="s">
        <v>151</v>
      </c>
      <c r="G920" s="55" t="s">
        <v>1849</v>
      </c>
      <c r="H920" s="55" t="s">
        <v>124</v>
      </c>
      <c r="I920" s="59" t="s">
        <v>126</v>
      </c>
      <c r="J920" s="60" t="s">
        <v>1850</v>
      </c>
      <c r="K920" s="63" t="str">
        <f t="shared" si="100"/>
        <v>XGF-RD4SInput</v>
      </c>
      <c r="L920" s="59">
        <f t="shared" si="98"/>
        <v>76</v>
      </c>
      <c r="M920" s="59">
        <f t="shared" si="99"/>
        <v>68</v>
      </c>
      <c r="N920" s="59">
        <f t="shared" si="97"/>
        <v>8</v>
      </c>
      <c r="O920" s="60">
        <f t="shared" si="96"/>
        <v>920</v>
      </c>
      <c r="P920" s="65"/>
    </row>
    <row r="921" spans="3:22">
      <c r="C921" s="83" t="s">
        <v>74</v>
      </c>
      <c r="D921" s="75"/>
      <c r="E921" s="75"/>
      <c r="F921" s="81" t="s">
        <v>151</v>
      </c>
      <c r="G921" s="55" t="s">
        <v>1851</v>
      </c>
      <c r="H921" s="55" t="s">
        <v>124</v>
      </c>
      <c r="I921" s="59">
        <v>1</v>
      </c>
      <c r="J921" s="60" t="s">
        <v>1852</v>
      </c>
      <c r="K921" s="63" t="str">
        <f t="shared" si="100"/>
        <v>XGF-RD4SInput</v>
      </c>
      <c r="L921" s="59">
        <f t="shared" si="98"/>
        <v>76</v>
      </c>
      <c r="M921" s="59">
        <f t="shared" si="99"/>
        <v>68</v>
      </c>
      <c r="N921" s="59">
        <f t="shared" si="97"/>
        <v>8</v>
      </c>
      <c r="O921" s="60">
        <f t="shared" si="96"/>
        <v>921</v>
      </c>
      <c r="P921" s="65"/>
    </row>
    <row r="922" spans="3:22">
      <c r="C922" s="83" t="s">
        <v>74</v>
      </c>
      <c r="D922" s="75"/>
      <c r="E922" s="75"/>
      <c r="F922" s="81" t="s">
        <v>151</v>
      </c>
      <c r="G922" s="55" t="s">
        <v>1853</v>
      </c>
      <c r="H922" s="55" t="s">
        <v>124</v>
      </c>
      <c r="I922" s="59">
        <v>1.1000000000000001</v>
      </c>
      <c r="J922" s="60" t="s">
        <v>1854</v>
      </c>
      <c r="K922" s="63" t="str">
        <f t="shared" si="100"/>
        <v>XGF-RD4SInput</v>
      </c>
      <c r="L922" s="59">
        <f t="shared" si="98"/>
        <v>76</v>
      </c>
      <c r="M922" s="59">
        <f t="shared" si="99"/>
        <v>68</v>
      </c>
      <c r="N922" s="59">
        <f t="shared" si="97"/>
        <v>8</v>
      </c>
      <c r="O922" s="60">
        <f t="shared" si="96"/>
        <v>922</v>
      </c>
      <c r="P922" s="65"/>
    </row>
    <row r="923" spans="3:22">
      <c r="C923" s="83" t="s">
        <v>74</v>
      </c>
      <c r="D923" s="75"/>
      <c r="E923" s="75"/>
      <c r="F923" s="81" t="s">
        <v>151</v>
      </c>
      <c r="G923" s="55" t="s">
        <v>1855</v>
      </c>
      <c r="H923" s="55" t="s">
        <v>124</v>
      </c>
      <c r="I923" s="59">
        <v>1.2</v>
      </c>
      <c r="J923" s="60" t="s">
        <v>1856</v>
      </c>
      <c r="K923" s="63" t="str">
        <f t="shared" si="100"/>
        <v>XGF-RD4SInput</v>
      </c>
      <c r="L923" s="59">
        <f t="shared" si="98"/>
        <v>76</v>
      </c>
      <c r="M923" s="59">
        <f t="shared" si="99"/>
        <v>68</v>
      </c>
      <c r="N923" s="59">
        <f t="shared" si="97"/>
        <v>8</v>
      </c>
      <c r="O923" s="60">
        <f t="shared" si="96"/>
        <v>923</v>
      </c>
      <c r="P923" s="65"/>
    </row>
    <row r="924" spans="3:22">
      <c r="C924" s="83" t="s">
        <v>74</v>
      </c>
      <c r="D924" s="75"/>
      <c r="E924" s="75"/>
      <c r="F924" s="81" t="s">
        <v>151</v>
      </c>
      <c r="G924" s="55" t="s">
        <v>1857</v>
      </c>
      <c r="H924" s="55" t="s">
        <v>124</v>
      </c>
      <c r="I924" s="59">
        <v>1.3</v>
      </c>
      <c r="J924" s="60" t="s">
        <v>1858</v>
      </c>
      <c r="K924" s="63" t="str">
        <f t="shared" si="100"/>
        <v>XGF-RD4SInput</v>
      </c>
      <c r="L924" s="59">
        <f t="shared" si="98"/>
        <v>76</v>
      </c>
      <c r="M924" s="59">
        <f t="shared" si="99"/>
        <v>68</v>
      </c>
      <c r="N924" s="59">
        <f t="shared" si="97"/>
        <v>8</v>
      </c>
      <c r="O924" s="60">
        <f t="shared" si="96"/>
        <v>924</v>
      </c>
      <c r="P924" s="65"/>
    </row>
    <row r="925" spans="3:22">
      <c r="C925" s="83" t="s">
        <v>74</v>
      </c>
      <c r="D925" s="75"/>
      <c r="E925" s="75"/>
      <c r="F925" s="81" t="s">
        <v>151</v>
      </c>
      <c r="G925" s="55" t="s">
        <v>1859</v>
      </c>
      <c r="H925" s="55" t="s">
        <v>124</v>
      </c>
      <c r="I925" s="59">
        <v>1.4</v>
      </c>
      <c r="J925" s="60" t="s">
        <v>1860</v>
      </c>
      <c r="K925" s="63" t="str">
        <f t="shared" si="100"/>
        <v>XGF-RD4SInput</v>
      </c>
      <c r="L925" s="59">
        <f t="shared" si="98"/>
        <v>76</v>
      </c>
      <c r="M925" s="59">
        <f t="shared" si="99"/>
        <v>68</v>
      </c>
      <c r="N925" s="59">
        <f t="shared" si="97"/>
        <v>8</v>
      </c>
      <c r="O925" s="60">
        <f t="shared" si="96"/>
        <v>925</v>
      </c>
      <c r="P925" s="65"/>
    </row>
    <row r="926" spans="3:22">
      <c r="C926" s="83" t="s">
        <v>74</v>
      </c>
      <c r="D926" s="75"/>
      <c r="E926" s="75"/>
      <c r="F926" s="81" t="s">
        <v>151</v>
      </c>
      <c r="G926" s="55" t="s">
        <v>1861</v>
      </c>
      <c r="H926" s="55" t="s">
        <v>124</v>
      </c>
      <c r="I926" s="59">
        <v>1.5</v>
      </c>
      <c r="J926" s="60" t="s">
        <v>1862</v>
      </c>
      <c r="K926" s="63" t="str">
        <f t="shared" si="100"/>
        <v>XGF-RD4SInput</v>
      </c>
      <c r="L926" s="59">
        <f t="shared" si="98"/>
        <v>76</v>
      </c>
      <c r="M926" s="59">
        <f t="shared" si="99"/>
        <v>68</v>
      </c>
      <c r="N926" s="59">
        <f t="shared" si="97"/>
        <v>8</v>
      </c>
      <c r="O926" s="60">
        <f t="shared" si="96"/>
        <v>926</v>
      </c>
      <c r="P926" s="65"/>
    </row>
    <row r="927" spans="3:22">
      <c r="C927" s="83" t="s">
        <v>74</v>
      </c>
      <c r="D927" s="75"/>
      <c r="E927" s="75"/>
      <c r="F927" s="81" t="s">
        <v>151</v>
      </c>
      <c r="G927" s="55" t="s">
        <v>1863</v>
      </c>
      <c r="H927" s="55" t="s">
        <v>124</v>
      </c>
      <c r="I927" s="59">
        <v>1.6</v>
      </c>
      <c r="J927" s="60" t="s">
        <v>1864</v>
      </c>
      <c r="K927" s="63" t="str">
        <f t="shared" si="100"/>
        <v>XGF-RD4SInput</v>
      </c>
      <c r="L927" s="59">
        <f t="shared" si="98"/>
        <v>76</v>
      </c>
      <c r="M927" s="59">
        <f t="shared" si="99"/>
        <v>68</v>
      </c>
      <c r="N927" s="59">
        <f t="shared" si="97"/>
        <v>8</v>
      </c>
      <c r="O927" s="60">
        <f t="shared" si="96"/>
        <v>927</v>
      </c>
      <c r="P927" s="65"/>
    </row>
    <row r="928" spans="3:22">
      <c r="C928" s="83" t="s">
        <v>74</v>
      </c>
      <c r="D928" s="75"/>
      <c r="E928" s="75"/>
      <c r="F928" s="81" t="s">
        <v>151</v>
      </c>
      <c r="G928" s="55" t="s">
        <v>1865</v>
      </c>
      <c r="H928" s="55" t="s">
        <v>124</v>
      </c>
      <c r="I928" s="59">
        <v>1.7</v>
      </c>
      <c r="J928" s="60" t="s">
        <v>1866</v>
      </c>
      <c r="K928" s="63" t="str">
        <f t="shared" si="100"/>
        <v>XGF-RD4SInput</v>
      </c>
      <c r="L928" s="59">
        <f t="shared" si="98"/>
        <v>76</v>
      </c>
      <c r="M928" s="59">
        <f t="shared" si="99"/>
        <v>68</v>
      </c>
      <c r="N928" s="59">
        <f t="shared" si="97"/>
        <v>8</v>
      </c>
      <c r="O928" s="60">
        <f t="shared" si="96"/>
        <v>928</v>
      </c>
      <c r="P928" s="65"/>
    </row>
    <row r="929" spans="3:16">
      <c r="C929" s="83" t="s">
        <v>74</v>
      </c>
      <c r="D929" s="75"/>
      <c r="E929" s="75"/>
      <c r="F929" s="81" t="s">
        <v>151</v>
      </c>
      <c r="G929" s="55" t="s">
        <v>1867</v>
      </c>
      <c r="H929" s="55" t="s">
        <v>124</v>
      </c>
      <c r="I929" s="59">
        <v>1.8</v>
      </c>
      <c r="J929" s="60" t="s">
        <v>1868</v>
      </c>
      <c r="K929" s="63" t="str">
        <f t="shared" si="100"/>
        <v>XGF-RD4SInput</v>
      </c>
      <c r="L929" s="59">
        <f t="shared" si="98"/>
        <v>76</v>
      </c>
      <c r="M929" s="59">
        <f t="shared" si="99"/>
        <v>68</v>
      </c>
      <c r="N929" s="59">
        <f t="shared" si="97"/>
        <v>8</v>
      </c>
      <c r="O929" s="60">
        <f t="shared" si="96"/>
        <v>929</v>
      </c>
      <c r="P929" s="65"/>
    </row>
    <row r="930" spans="3:16">
      <c r="C930" s="83" t="s">
        <v>74</v>
      </c>
      <c r="D930" s="75"/>
      <c r="E930" s="75"/>
      <c r="F930" s="81" t="s">
        <v>151</v>
      </c>
      <c r="G930" s="55" t="s">
        <v>1869</v>
      </c>
      <c r="H930" s="55" t="s">
        <v>124</v>
      </c>
      <c r="I930" s="59">
        <v>1.9</v>
      </c>
      <c r="J930" s="60" t="s">
        <v>1870</v>
      </c>
      <c r="K930" s="63" t="str">
        <f t="shared" si="100"/>
        <v>XGF-RD4SInput</v>
      </c>
      <c r="L930" s="59">
        <f t="shared" si="98"/>
        <v>76</v>
      </c>
      <c r="M930" s="59">
        <f t="shared" si="99"/>
        <v>68</v>
      </c>
      <c r="N930" s="59">
        <f t="shared" si="97"/>
        <v>8</v>
      </c>
      <c r="O930" s="60">
        <f t="shared" si="96"/>
        <v>930</v>
      </c>
      <c r="P930" s="65"/>
    </row>
    <row r="931" spans="3:16">
      <c r="C931" s="83" t="s">
        <v>74</v>
      </c>
      <c r="D931" s="75"/>
      <c r="E931" s="75"/>
      <c r="F931" s="81" t="s">
        <v>151</v>
      </c>
      <c r="G931" s="55" t="s">
        <v>1871</v>
      </c>
      <c r="H931" s="55" t="s">
        <v>124</v>
      </c>
      <c r="I931" s="59" t="s">
        <v>136</v>
      </c>
      <c r="J931" s="60" t="s">
        <v>1872</v>
      </c>
      <c r="K931" s="63" t="str">
        <f t="shared" si="100"/>
        <v>XGF-RD4SInput</v>
      </c>
      <c r="L931" s="59">
        <f t="shared" si="98"/>
        <v>76</v>
      </c>
      <c r="M931" s="59">
        <f t="shared" si="99"/>
        <v>68</v>
      </c>
      <c r="N931" s="59">
        <f t="shared" si="97"/>
        <v>8</v>
      </c>
      <c r="O931" s="60">
        <f t="shared" si="96"/>
        <v>931</v>
      </c>
      <c r="P931" s="65"/>
    </row>
    <row r="932" spans="3:16">
      <c r="C932" s="83" t="s">
        <v>74</v>
      </c>
      <c r="D932" s="75"/>
      <c r="E932" s="75"/>
      <c r="F932" s="81" t="s">
        <v>151</v>
      </c>
      <c r="G932" s="55" t="s">
        <v>1873</v>
      </c>
      <c r="H932" s="55" t="s">
        <v>124</v>
      </c>
      <c r="I932" s="59" t="s">
        <v>138</v>
      </c>
      <c r="J932" s="60" t="s">
        <v>1874</v>
      </c>
      <c r="K932" s="63" t="str">
        <f t="shared" si="100"/>
        <v>XGF-RD4SInput</v>
      </c>
      <c r="L932" s="59">
        <f t="shared" si="98"/>
        <v>76</v>
      </c>
      <c r="M932" s="59">
        <f t="shared" si="99"/>
        <v>68</v>
      </c>
      <c r="N932" s="59">
        <f t="shared" si="97"/>
        <v>8</v>
      </c>
      <c r="O932" s="60">
        <f t="shared" si="96"/>
        <v>932</v>
      </c>
      <c r="P932" s="65"/>
    </row>
    <row r="933" spans="3:16">
      <c r="C933" s="83" t="s">
        <v>74</v>
      </c>
      <c r="D933" s="75"/>
      <c r="E933" s="75"/>
      <c r="F933" s="81" t="s">
        <v>151</v>
      </c>
      <c r="G933" s="55" t="s">
        <v>1875</v>
      </c>
      <c r="H933" s="55" t="s">
        <v>124</v>
      </c>
      <c r="I933" s="59">
        <v>2</v>
      </c>
      <c r="J933" s="60" t="s">
        <v>1876</v>
      </c>
      <c r="K933" s="63" t="str">
        <f t="shared" si="100"/>
        <v>XGF-RD4SInput</v>
      </c>
      <c r="L933" s="59">
        <f t="shared" si="98"/>
        <v>76</v>
      </c>
      <c r="M933" s="59">
        <f t="shared" si="99"/>
        <v>68</v>
      </c>
      <c r="N933" s="59">
        <f t="shared" si="97"/>
        <v>8</v>
      </c>
      <c r="O933" s="60">
        <f t="shared" si="96"/>
        <v>933</v>
      </c>
      <c r="P933" s="65"/>
    </row>
    <row r="934" spans="3:16">
      <c r="C934" s="83" t="s">
        <v>74</v>
      </c>
      <c r="D934" s="75"/>
      <c r="E934" s="75"/>
      <c r="F934" s="81" t="s">
        <v>151</v>
      </c>
      <c r="G934" s="55" t="s">
        <v>1877</v>
      </c>
      <c r="H934" s="55" t="s">
        <v>124</v>
      </c>
      <c r="I934" s="59">
        <v>2.1</v>
      </c>
      <c r="J934" s="60" t="s">
        <v>1878</v>
      </c>
      <c r="K934" s="63" t="str">
        <f t="shared" si="100"/>
        <v>XGF-RD4SInput</v>
      </c>
      <c r="L934" s="59">
        <f t="shared" si="98"/>
        <v>76</v>
      </c>
      <c r="M934" s="59">
        <f t="shared" si="99"/>
        <v>68</v>
      </c>
      <c r="N934" s="59">
        <f t="shared" si="97"/>
        <v>8</v>
      </c>
      <c r="O934" s="60">
        <f t="shared" si="96"/>
        <v>934</v>
      </c>
      <c r="P934" s="65"/>
    </row>
    <row r="935" spans="3:16">
      <c r="C935" s="83" t="s">
        <v>74</v>
      </c>
      <c r="D935" s="75"/>
      <c r="E935" s="75"/>
      <c r="F935" s="81" t="s">
        <v>151</v>
      </c>
      <c r="G935" s="55" t="s">
        <v>1879</v>
      </c>
      <c r="H935" s="55" t="s">
        <v>124</v>
      </c>
      <c r="I935" s="59">
        <v>2.2000000000000002</v>
      </c>
      <c r="J935" s="60" t="s">
        <v>1880</v>
      </c>
      <c r="K935" s="63" t="str">
        <f t="shared" si="100"/>
        <v>XGF-RD4SInput</v>
      </c>
      <c r="L935" s="59">
        <f t="shared" si="98"/>
        <v>76</v>
      </c>
      <c r="M935" s="59">
        <f t="shared" si="99"/>
        <v>68</v>
      </c>
      <c r="N935" s="59">
        <f t="shared" si="97"/>
        <v>8</v>
      </c>
      <c r="O935" s="60">
        <f t="shared" si="96"/>
        <v>935</v>
      </c>
      <c r="P935" s="65"/>
    </row>
    <row r="936" spans="3:16">
      <c r="C936" s="83" t="s">
        <v>74</v>
      </c>
      <c r="D936" s="75"/>
      <c r="E936" s="75"/>
      <c r="F936" s="81" t="s">
        <v>151</v>
      </c>
      <c r="G936" s="55" t="s">
        <v>1881</v>
      </c>
      <c r="H936" s="55" t="s">
        <v>124</v>
      </c>
      <c r="I936" s="59">
        <v>2.2999999999999998</v>
      </c>
      <c r="J936" s="60" t="s">
        <v>1882</v>
      </c>
      <c r="K936" s="63" t="str">
        <f t="shared" si="100"/>
        <v>XGF-RD4SInput</v>
      </c>
      <c r="L936" s="59">
        <f t="shared" si="98"/>
        <v>76</v>
      </c>
      <c r="M936" s="59">
        <f t="shared" si="99"/>
        <v>68</v>
      </c>
      <c r="N936" s="59">
        <f t="shared" si="97"/>
        <v>8</v>
      </c>
      <c r="O936" s="60">
        <f t="shared" si="96"/>
        <v>936</v>
      </c>
      <c r="P936" s="65"/>
    </row>
    <row r="937" spans="3:16">
      <c r="C937" s="83" t="s">
        <v>74</v>
      </c>
      <c r="D937" s="75"/>
      <c r="E937" s="75"/>
      <c r="F937" s="81" t="s">
        <v>151</v>
      </c>
      <c r="G937" s="55" t="s">
        <v>1883</v>
      </c>
      <c r="H937" s="55" t="s">
        <v>124</v>
      </c>
      <c r="I937" s="59">
        <v>2.4</v>
      </c>
      <c r="J937" s="60" t="s">
        <v>1884</v>
      </c>
      <c r="K937" s="63" t="str">
        <f t="shared" si="100"/>
        <v>XGF-RD4SInput</v>
      </c>
      <c r="L937" s="59">
        <f t="shared" si="98"/>
        <v>76</v>
      </c>
      <c r="M937" s="59">
        <f t="shared" si="99"/>
        <v>68</v>
      </c>
      <c r="N937" s="59">
        <f t="shared" si="97"/>
        <v>8</v>
      </c>
      <c r="O937" s="60">
        <f t="shared" si="96"/>
        <v>937</v>
      </c>
      <c r="P937" s="65"/>
    </row>
    <row r="938" spans="3:16">
      <c r="C938" s="83" t="s">
        <v>74</v>
      </c>
      <c r="D938" s="75"/>
      <c r="E938" s="75"/>
      <c r="F938" s="81" t="s">
        <v>151</v>
      </c>
      <c r="G938" s="55" t="s">
        <v>1885</v>
      </c>
      <c r="H938" s="55" t="s">
        <v>124</v>
      </c>
      <c r="I938" s="59">
        <v>2.5</v>
      </c>
      <c r="J938" s="60" t="s">
        <v>1886</v>
      </c>
      <c r="K938" s="63" t="str">
        <f t="shared" si="100"/>
        <v>XGF-RD4SInput</v>
      </c>
      <c r="L938" s="59">
        <f t="shared" si="98"/>
        <v>76</v>
      </c>
      <c r="M938" s="59">
        <f t="shared" si="99"/>
        <v>68</v>
      </c>
      <c r="N938" s="59">
        <f t="shared" si="97"/>
        <v>8</v>
      </c>
      <c r="O938" s="60">
        <f t="shared" si="96"/>
        <v>938</v>
      </c>
      <c r="P938" s="65"/>
    </row>
    <row r="939" spans="3:16">
      <c r="C939" s="83" t="s">
        <v>74</v>
      </c>
      <c r="D939" s="75"/>
      <c r="E939" s="75"/>
      <c r="F939" s="81" t="s">
        <v>151</v>
      </c>
      <c r="G939" s="55" t="s">
        <v>1887</v>
      </c>
      <c r="H939" s="55" t="s">
        <v>124</v>
      </c>
      <c r="I939" s="59">
        <v>2.6</v>
      </c>
      <c r="J939" s="60" t="s">
        <v>1888</v>
      </c>
      <c r="K939" s="63" t="str">
        <f t="shared" si="100"/>
        <v>XGF-RD4SInput</v>
      </c>
      <c r="L939" s="59">
        <f t="shared" si="98"/>
        <v>76</v>
      </c>
      <c r="M939" s="59">
        <f t="shared" si="99"/>
        <v>68</v>
      </c>
      <c r="N939" s="59">
        <f t="shared" si="97"/>
        <v>8</v>
      </c>
      <c r="O939" s="60">
        <f t="shared" si="96"/>
        <v>939</v>
      </c>
      <c r="P939" s="65"/>
    </row>
    <row r="940" spans="3:16">
      <c r="C940" s="83" t="s">
        <v>74</v>
      </c>
      <c r="D940" s="75"/>
      <c r="E940" s="75"/>
      <c r="F940" s="81" t="s">
        <v>151</v>
      </c>
      <c r="G940" s="55" t="s">
        <v>1889</v>
      </c>
      <c r="H940" s="55" t="s">
        <v>124</v>
      </c>
      <c r="I940" s="59">
        <v>2.7</v>
      </c>
      <c r="J940" s="60" t="s">
        <v>1890</v>
      </c>
      <c r="K940" s="63" t="str">
        <f t="shared" si="100"/>
        <v>XGF-RD4SInput</v>
      </c>
      <c r="L940" s="59">
        <f t="shared" si="98"/>
        <v>76</v>
      </c>
      <c r="M940" s="59">
        <f t="shared" si="99"/>
        <v>68</v>
      </c>
      <c r="N940" s="59">
        <f t="shared" si="97"/>
        <v>8</v>
      </c>
      <c r="O940" s="60">
        <f t="shared" si="96"/>
        <v>940</v>
      </c>
      <c r="P940" s="65"/>
    </row>
    <row r="941" spans="3:16">
      <c r="C941" s="83" t="s">
        <v>74</v>
      </c>
      <c r="D941" s="75"/>
      <c r="E941" s="75"/>
      <c r="F941" s="81" t="s">
        <v>151</v>
      </c>
      <c r="G941" s="55" t="s">
        <v>1891</v>
      </c>
      <c r="H941" s="55" t="s">
        <v>124</v>
      </c>
      <c r="I941" s="59">
        <v>2.8</v>
      </c>
      <c r="J941" s="60" t="s">
        <v>1892</v>
      </c>
      <c r="K941" s="63" t="str">
        <f t="shared" si="100"/>
        <v>XGF-RD4SInput</v>
      </c>
      <c r="L941" s="59">
        <f t="shared" si="98"/>
        <v>76</v>
      </c>
      <c r="M941" s="59">
        <f t="shared" si="99"/>
        <v>68</v>
      </c>
      <c r="N941" s="59">
        <f t="shared" si="97"/>
        <v>8</v>
      </c>
      <c r="O941" s="60">
        <f t="shared" si="96"/>
        <v>941</v>
      </c>
      <c r="P941" s="65"/>
    </row>
    <row r="942" spans="3:16">
      <c r="C942" s="83" t="s">
        <v>74</v>
      </c>
      <c r="D942" s="75"/>
      <c r="E942" s="75"/>
      <c r="F942" s="81" t="s">
        <v>151</v>
      </c>
      <c r="G942" s="55" t="s">
        <v>1893</v>
      </c>
      <c r="H942" s="55" t="s">
        <v>124</v>
      </c>
      <c r="I942" s="59">
        <v>2.9</v>
      </c>
      <c r="J942" s="60" t="s">
        <v>1894</v>
      </c>
      <c r="K942" s="63" t="str">
        <f t="shared" si="100"/>
        <v>XGF-RD4SInput</v>
      </c>
      <c r="L942" s="59">
        <f t="shared" si="98"/>
        <v>76</v>
      </c>
      <c r="M942" s="59">
        <f t="shared" si="99"/>
        <v>68</v>
      </c>
      <c r="N942" s="59">
        <f t="shared" si="97"/>
        <v>8</v>
      </c>
      <c r="O942" s="60">
        <f t="shared" si="96"/>
        <v>942</v>
      </c>
      <c r="P942" s="65"/>
    </row>
    <row r="943" spans="3:16">
      <c r="C943" s="83" t="s">
        <v>74</v>
      </c>
      <c r="D943" s="75"/>
      <c r="E943" s="75"/>
      <c r="F943" s="81" t="s">
        <v>151</v>
      </c>
      <c r="G943" s="55" t="s">
        <v>1895</v>
      </c>
      <c r="H943" s="55" t="s">
        <v>124</v>
      </c>
      <c r="I943" s="59" t="s">
        <v>1272</v>
      </c>
      <c r="J943" s="60" t="s">
        <v>1896</v>
      </c>
      <c r="K943" s="63" t="str">
        <f t="shared" si="100"/>
        <v>XGF-RD4SInput</v>
      </c>
      <c r="L943" s="59">
        <f t="shared" si="98"/>
        <v>76</v>
      </c>
      <c r="M943" s="59">
        <f t="shared" si="99"/>
        <v>68</v>
      </c>
      <c r="N943" s="59">
        <f t="shared" si="97"/>
        <v>8</v>
      </c>
      <c r="O943" s="60">
        <f t="shared" si="96"/>
        <v>943</v>
      </c>
      <c r="P943" s="65"/>
    </row>
    <row r="944" spans="3:16">
      <c r="C944" s="83" t="s">
        <v>74</v>
      </c>
      <c r="D944" s="75"/>
      <c r="E944" s="75"/>
      <c r="F944" s="81" t="s">
        <v>151</v>
      </c>
      <c r="G944" s="55" t="s">
        <v>1897</v>
      </c>
      <c r="H944" s="55" t="s">
        <v>124</v>
      </c>
      <c r="I944" s="59" t="s">
        <v>1275</v>
      </c>
      <c r="J944" s="60" t="s">
        <v>1898</v>
      </c>
      <c r="K944" s="63" t="str">
        <f t="shared" si="100"/>
        <v>XGF-RD4SInput</v>
      </c>
      <c r="L944" s="59">
        <f t="shared" si="98"/>
        <v>76</v>
      </c>
      <c r="M944" s="59">
        <f t="shared" si="99"/>
        <v>68</v>
      </c>
      <c r="N944" s="59">
        <f t="shared" si="97"/>
        <v>8</v>
      </c>
      <c r="O944" s="60">
        <f t="shared" si="96"/>
        <v>944</v>
      </c>
      <c r="P944" s="65"/>
    </row>
    <row r="945" spans="3:16">
      <c r="C945" s="83" t="s">
        <v>74</v>
      </c>
      <c r="D945" s="75"/>
      <c r="E945" s="75"/>
      <c r="F945" s="81" t="s">
        <v>151</v>
      </c>
      <c r="G945" s="55" t="s">
        <v>1899</v>
      </c>
      <c r="H945" s="55" t="s">
        <v>124</v>
      </c>
      <c r="I945" s="59" t="s">
        <v>1278</v>
      </c>
      <c r="J945" s="60" t="s">
        <v>1900</v>
      </c>
      <c r="K945" s="63" t="str">
        <f t="shared" si="100"/>
        <v>XGF-RD4SInput</v>
      </c>
      <c r="L945" s="59">
        <f t="shared" si="98"/>
        <v>76</v>
      </c>
      <c r="M945" s="59">
        <f t="shared" si="99"/>
        <v>68</v>
      </c>
      <c r="N945" s="59">
        <f t="shared" si="97"/>
        <v>8</v>
      </c>
      <c r="O945" s="60">
        <f t="shared" si="96"/>
        <v>945</v>
      </c>
      <c r="P945" s="65"/>
    </row>
    <row r="946" spans="3:16">
      <c r="C946" s="83" t="s">
        <v>74</v>
      </c>
      <c r="D946" s="75"/>
      <c r="E946" s="75"/>
      <c r="F946" s="81" t="s">
        <v>151</v>
      </c>
      <c r="G946" s="55" t="s">
        <v>1901</v>
      </c>
      <c r="H946" s="55" t="s">
        <v>124</v>
      </c>
      <c r="I946" s="59" t="s">
        <v>1409</v>
      </c>
      <c r="J946" s="60" t="s">
        <v>1902</v>
      </c>
      <c r="K946" s="63" t="str">
        <f t="shared" si="100"/>
        <v>XGF-RD4SInput</v>
      </c>
      <c r="L946" s="59">
        <f t="shared" ref="L946:L981" si="101">COUNTIF($C$2:$C$2062,C946)</f>
        <v>76</v>
      </c>
      <c r="M946" s="59">
        <f t="shared" ref="M946:M981" si="102">COUNTIF($K$2:$K$2062,K946)</f>
        <v>68</v>
      </c>
      <c r="N946" s="59">
        <f t="shared" si="97"/>
        <v>8</v>
      </c>
      <c r="O946" s="60">
        <f t="shared" si="96"/>
        <v>946</v>
      </c>
      <c r="P946" s="65"/>
    </row>
    <row r="947" spans="3:16">
      <c r="C947" s="83" t="s">
        <v>74</v>
      </c>
      <c r="D947" s="75"/>
      <c r="E947" s="75"/>
      <c r="F947" s="81" t="s">
        <v>151</v>
      </c>
      <c r="G947" s="55" t="s">
        <v>1903</v>
      </c>
      <c r="H947" s="55" t="s">
        <v>124</v>
      </c>
      <c r="I947" s="59" t="s">
        <v>1281</v>
      </c>
      <c r="J947" s="60" t="s">
        <v>1904</v>
      </c>
      <c r="K947" s="63" t="str">
        <f t="shared" si="100"/>
        <v>XGF-RD4SInput</v>
      </c>
      <c r="L947" s="59">
        <f t="shared" si="101"/>
        <v>76</v>
      </c>
      <c r="M947" s="59">
        <f t="shared" si="102"/>
        <v>68</v>
      </c>
      <c r="N947" s="59">
        <f t="shared" si="97"/>
        <v>8</v>
      </c>
      <c r="O947" s="60">
        <f t="shared" si="96"/>
        <v>947</v>
      </c>
      <c r="P947" s="65"/>
    </row>
    <row r="948" spans="3:16">
      <c r="C948" s="83" t="s">
        <v>74</v>
      </c>
      <c r="D948" s="75"/>
      <c r="E948" s="75"/>
      <c r="F948" s="81" t="s">
        <v>151</v>
      </c>
      <c r="G948" s="55" t="s">
        <v>1905</v>
      </c>
      <c r="H948" s="55" t="s">
        <v>124</v>
      </c>
      <c r="I948" s="59" t="s">
        <v>1414</v>
      </c>
      <c r="J948" s="60" t="s">
        <v>1906</v>
      </c>
      <c r="K948" s="63" t="str">
        <f t="shared" si="100"/>
        <v>XGF-RD4SInput</v>
      </c>
      <c r="L948" s="59">
        <f t="shared" si="101"/>
        <v>76</v>
      </c>
      <c r="M948" s="59">
        <f t="shared" si="102"/>
        <v>68</v>
      </c>
      <c r="N948" s="59">
        <f t="shared" si="97"/>
        <v>8</v>
      </c>
      <c r="O948" s="60">
        <f t="shared" si="96"/>
        <v>948</v>
      </c>
      <c r="P948" s="65"/>
    </row>
    <row r="949" spans="3:16">
      <c r="C949" s="83" t="s">
        <v>74</v>
      </c>
      <c r="D949" s="75"/>
      <c r="E949" s="75"/>
      <c r="F949" s="81" t="s">
        <v>151</v>
      </c>
      <c r="G949" s="55" t="s">
        <v>1907</v>
      </c>
      <c r="H949" s="55" t="s">
        <v>124</v>
      </c>
      <c r="I949" s="59">
        <v>3</v>
      </c>
      <c r="J949" s="60" t="s">
        <v>1908</v>
      </c>
      <c r="K949" s="63" t="str">
        <f t="shared" si="100"/>
        <v>XGF-RD4SInput</v>
      </c>
      <c r="L949" s="59">
        <f t="shared" si="101"/>
        <v>76</v>
      </c>
      <c r="M949" s="59">
        <f t="shared" si="102"/>
        <v>68</v>
      </c>
      <c r="N949" s="59">
        <f t="shared" si="97"/>
        <v>8</v>
      </c>
      <c r="O949" s="60">
        <f t="shared" si="96"/>
        <v>949</v>
      </c>
      <c r="P949" s="65"/>
    </row>
    <row r="950" spans="3:16">
      <c r="C950" s="83" t="s">
        <v>74</v>
      </c>
      <c r="D950" s="75"/>
      <c r="E950" s="75"/>
      <c r="F950" s="81" t="s">
        <v>151</v>
      </c>
      <c r="G950" s="55" t="s">
        <v>1909</v>
      </c>
      <c r="H950" s="55" t="s">
        <v>124</v>
      </c>
      <c r="I950" s="59">
        <v>3.1</v>
      </c>
      <c r="J950" s="60" t="s">
        <v>1910</v>
      </c>
      <c r="K950" s="63" t="str">
        <f t="shared" si="100"/>
        <v>XGF-RD4SInput</v>
      </c>
      <c r="L950" s="59">
        <f t="shared" si="101"/>
        <v>76</v>
      </c>
      <c r="M950" s="59">
        <f t="shared" si="102"/>
        <v>68</v>
      </c>
      <c r="N950" s="59">
        <f t="shared" si="97"/>
        <v>8</v>
      </c>
      <c r="O950" s="60">
        <f t="shared" si="96"/>
        <v>950</v>
      </c>
      <c r="P950" s="65"/>
    </row>
    <row r="951" spans="3:16">
      <c r="C951" s="83" t="s">
        <v>74</v>
      </c>
      <c r="D951" s="75"/>
      <c r="E951" s="75"/>
      <c r="F951" s="81" t="s">
        <v>151</v>
      </c>
      <c r="G951" s="55" t="s">
        <v>1911</v>
      </c>
      <c r="H951" s="55" t="s">
        <v>124</v>
      </c>
      <c r="I951" s="59">
        <v>3.4</v>
      </c>
      <c r="J951" s="60" t="s">
        <v>1912</v>
      </c>
      <c r="K951" s="63" t="str">
        <f t="shared" si="100"/>
        <v>XGF-RD4SInput</v>
      </c>
      <c r="L951" s="59">
        <f t="shared" si="101"/>
        <v>76</v>
      </c>
      <c r="M951" s="59">
        <f t="shared" si="102"/>
        <v>68</v>
      </c>
      <c r="N951" s="59">
        <f t="shared" si="97"/>
        <v>8</v>
      </c>
      <c r="O951" s="60">
        <f t="shared" si="96"/>
        <v>951</v>
      </c>
      <c r="P951" s="65"/>
    </row>
    <row r="952" spans="3:16">
      <c r="C952" s="83" t="s">
        <v>74</v>
      </c>
      <c r="D952" s="75"/>
      <c r="E952" s="75"/>
      <c r="F952" s="81" t="s">
        <v>151</v>
      </c>
      <c r="G952" s="55" t="s">
        <v>1913</v>
      </c>
      <c r="H952" s="55" t="s">
        <v>124</v>
      </c>
      <c r="I952" s="59">
        <v>3.5</v>
      </c>
      <c r="J952" s="60" t="s">
        <v>1914</v>
      </c>
      <c r="K952" s="63" t="str">
        <f t="shared" si="100"/>
        <v>XGF-RD4SInput</v>
      </c>
      <c r="L952" s="59">
        <f t="shared" si="101"/>
        <v>76</v>
      </c>
      <c r="M952" s="59">
        <f t="shared" si="102"/>
        <v>68</v>
      </c>
      <c r="N952" s="59">
        <f t="shared" si="97"/>
        <v>8</v>
      </c>
      <c r="O952" s="60">
        <f t="shared" si="96"/>
        <v>952</v>
      </c>
      <c r="P952" s="65"/>
    </row>
    <row r="953" spans="3:16">
      <c r="C953" s="83" t="s">
        <v>74</v>
      </c>
      <c r="D953" s="75"/>
      <c r="E953" s="75"/>
      <c r="F953" s="81" t="s">
        <v>151</v>
      </c>
      <c r="G953" s="55" t="s">
        <v>1915</v>
      </c>
      <c r="H953" s="55" t="s">
        <v>124</v>
      </c>
      <c r="I953" s="59">
        <v>3.8</v>
      </c>
      <c r="J953" s="60" t="s">
        <v>1916</v>
      </c>
      <c r="K953" s="63" t="str">
        <f t="shared" si="100"/>
        <v>XGF-RD4SInput</v>
      </c>
      <c r="L953" s="59">
        <f t="shared" si="101"/>
        <v>76</v>
      </c>
      <c r="M953" s="59">
        <f t="shared" si="102"/>
        <v>68</v>
      </c>
      <c r="N953" s="59">
        <f t="shared" si="97"/>
        <v>8</v>
      </c>
      <c r="O953" s="60">
        <f t="shared" si="96"/>
        <v>953</v>
      </c>
      <c r="P953" s="65"/>
    </row>
    <row r="954" spans="3:16">
      <c r="C954" s="83" t="s">
        <v>74</v>
      </c>
      <c r="D954" s="75"/>
      <c r="E954" s="75"/>
      <c r="F954" s="81" t="s">
        <v>151</v>
      </c>
      <c r="G954" s="55" t="s">
        <v>1917</v>
      </c>
      <c r="H954" s="55" t="s">
        <v>124</v>
      </c>
      <c r="I954" s="59">
        <v>3.9</v>
      </c>
      <c r="J954" s="60" t="s">
        <v>1918</v>
      </c>
      <c r="K954" s="63" t="str">
        <f t="shared" si="100"/>
        <v>XGF-RD4SInput</v>
      </c>
      <c r="L954" s="59">
        <f t="shared" si="101"/>
        <v>76</v>
      </c>
      <c r="M954" s="59">
        <f t="shared" si="102"/>
        <v>68</v>
      </c>
      <c r="N954" s="59">
        <f t="shared" si="97"/>
        <v>8</v>
      </c>
      <c r="O954" s="60">
        <f t="shared" si="96"/>
        <v>954</v>
      </c>
      <c r="P954" s="65"/>
    </row>
    <row r="955" spans="3:16">
      <c r="C955" s="83" t="s">
        <v>74</v>
      </c>
      <c r="D955" s="75"/>
      <c r="E955" s="75"/>
      <c r="F955" s="81" t="s">
        <v>151</v>
      </c>
      <c r="G955" s="55" t="s">
        <v>1919</v>
      </c>
      <c r="H955" s="55" t="s">
        <v>124</v>
      </c>
      <c r="I955" s="59" t="s">
        <v>1306</v>
      </c>
      <c r="J955" s="60" t="s">
        <v>1920</v>
      </c>
      <c r="K955" s="63" t="str">
        <f t="shared" si="100"/>
        <v>XGF-RD4SInput</v>
      </c>
      <c r="L955" s="59">
        <f t="shared" si="101"/>
        <v>76</v>
      </c>
      <c r="M955" s="59">
        <f t="shared" si="102"/>
        <v>68</v>
      </c>
      <c r="N955" s="59">
        <f t="shared" si="97"/>
        <v>8</v>
      </c>
      <c r="O955" s="60">
        <f t="shared" si="96"/>
        <v>955</v>
      </c>
      <c r="P955" s="65"/>
    </row>
    <row r="956" spans="3:16">
      <c r="C956" s="83" t="s">
        <v>74</v>
      </c>
      <c r="D956" s="75"/>
      <c r="E956" s="75"/>
      <c r="F956" s="81" t="s">
        <v>151</v>
      </c>
      <c r="G956" s="55" t="s">
        <v>1921</v>
      </c>
      <c r="H956" s="55" t="s">
        <v>124</v>
      </c>
      <c r="I956" s="59" t="s">
        <v>1441</v>
      </c>
      <c r="J956" s="60" t="s">
        <v>1922</v>
      </c>
      <c r="K956" s="63" t="str">
        <f t="shared" si="100"/>
        <v>XGF-RD4SInput</v>
      </c>
      <c r="L956" s="59">
        <f t="shared" si="101"/>
        <v>76</v>
      </c>
      <c r="M956" s="59">
        <f t="shared" si="102"/>
        <v>68</v>
      </c>
      <c r="N956" s="59">
        <f t="shared" si="97"/>
        <v>8</v>
      </c>
      <c r="O956" s="60">
        <f t="shared" si="96"/>
        <v>956</v>
      </c>
      <c r="P956" s="65"/>
    </row>
    <row r="957" spans="3:16">
      <c r="C957" s="83" t="s">
        <v>74</v>
      </c>
      <c r="D957" s="75"/>
      <c r="E957" s="75"/>
      <c r="F957" s="81" t="s">
        <v>151</v>
      </c>
      <c r="G957" s="55" t="s">
        <v>1923</v>
      </c>
      <c r="H957" s="55" t="s">
        <v>139</v>
      </c>
      <c r="I957" s="59">
        <v>4</v>
      </c>
      <c r="J957" s="60" t="s">
        <v>1924</v>
      </c>
      <c r="K957" s="63" t="str">
        <f t="shared" si="100"/>
        <v>XGF-RD4SInput</v>
      </c>
      <c r="L957" s="59">
        <f t="shared" si="101"/>
        <v>76</v>
      </c>
      <c r="M957" s="59">
        <f t="shared" si="102"/>
        <v>68</v>
      </c>
      <c r="N957" s="59">
        <f t="shared" si="97"/>
        <v>8</v>
      </c>
      <c r="O957" s="60">
        <f t="shared" si="96"/>
        <v>957</v>
      </c>
      <c r="P957" s="65"/>
    </row>
    <row r="958" spans="3:16">
      <c r="C958" s="83" t="s">
        <v>74</v>
      </c>
      <c r="D958" s="75"/>
      <c r="E958" s="75"/>
      <c r="F958" s="81" t="s">
        <v>151</v>
      </c>
      <c r="G958" s="55" t="s">
        <v>1925</v>
      </c>
      <c r="H958" s="55" t="s">
        <v>139</v>
      </c>
      <c r="I958" s="59">
        <v>5</v>
      </c>
      <c r="J958" s="60" t="s">
        <v>1926</v>
      </c>
      <c r="K958" s="63" t="str">
        <f t="shared" si="100"/>
        <v>XGF-RD4SInput</v>
      </c>
      <c r="L958" s="59">
        <f t="shared" si="101"/>
        <v>76</v>
      </c>
      <c r="M958" s="59">
        <f t="shared" si="102"/>
        <v>68</v>
      </c>
      <c r="N958" s="59">
        <f t="shared" si="97"/>
        <v>8</v>
      </c>
      <c r="O958" s="60">
        <f t="shared" si="96"/>
        <v>958</v>
      </c>
      <c r="P958" s="65"/>
    </row>
    <row r="959" spans="3:16">
      <c r="C959" s="83" t="s">
        <v>74</v>
      </c>
      <c r="D959" s="75"/>
      <c r="E959" s="75"/>
      <c r="F959" s="81" t="s">
        <v>151</v>
      </c>
      <c r="G959" s="55" t="s">
        <v>1927</v>
      </c>
      <c r="H959" s="55" t="s">
        <v>139</v>
      </c>
      <c r="I959" s="59">
        <v>6</v>
      </c>
      <c r="J959" s="60" t="s">
        <v>1928</v>
      </c>
      <c r="K959" s="63" t="str">
        <f t="shared" si="100"/>
        <v>XGF-RD4SInput</v>
      </c>
      <c r="L959" s="59">
        <f t="shared" si="101"/>
        <v>76</v>
      </c>
      <c r="M959" s="59">
        <f t="shared" si="102"/>
        <v>68</v>
      </c>
      <c r="N959" s="59">
        <f t="shared" si="97"/>
        <v>8</v>
      </c>
      <c r="O959" s="60">
        <f t="shared" si="96"/>
        <v>959</v>
      </c>
      <c r="P959" s="65"/>
    </row>
    <row r="960" spans="3:16">
      <c r="C960" s="83" t="s">
        <v>74</v>
      </c>
      <c r="D960" s="75"/>
      <c r="E960" s="75"/>
      <c r="F960" s="81" t="s">
        <v>151</v>
      </c>
      <c r="G960" s="55" t="s">
        <v>1929</v>
      </c>
      <c r="H960" s="55" t="s">
        <v>139</v>
      </c>
      <c r="I960" s="59">
        <v>7</v>
      </c>
      <c r="J960" s="60" t="s">
        <v>1930</v>
      </c>
      <c r="K960" s="63" t="str">
        <f t="shared" si="100"/>
        <v>XGF-RD4SInput</v>
      </c>
      <c r="L960" s="59">
        <f t="shared" si="101"/>
        <v>76</v>
      </c>
      <c r="M960" s="59">
        <f t="shared" si="102"/>
        <v>68</v>
      </c>
      <c r="N960" s="59">
        <f t="shared" si="97"/>
        <v>8</v>
      </c>
      <c r="O960" s="60">
        <f t="shared" si="96"/>
        <v>960</v>
      </c>
      <c r="P960" s="65"/>
    </row>
    <row r="961" spans="3:16">
      <c r="C961" s="83" t="s">
        <v>74</v>
      </c>
      <c r="D961" s="75"/>
      <c r="E961" s="75"/>
      <c r="F961" s="81" t="s">
        <v>151</v>
      </c>
      <c r="G961" s="55" t="s">
        <v>1931</v>
      </c>
      <c r="H961" s="55" t="s">
        <v>139</v>
      </c>
      <c r="I961" s="59">
        <v>8</v>
      </c>
      <c r="J961" s="60" t="s">
        <v>1932</v>
      </c>
      <c r="K961" s="63" t="str">
        <f t="shared" si="100"/>
        <v>XGF-RD4SInput</v>
      </c>
      <c r="L961" s="59">
        <f t="shared" si="101"/>
        <v>76</v>
      </c>
      <c r="M961" s="59">
        <f t="shared" si="102"/>
        <v>68</v>
      </c>
      <c r="N961" s="59">
        <f t="shared" si="97"/>
        <v>8</v>
      </c>
      <c r="O961" s="60">
        <f t="shared" si="96"/>
        <v>961</v>
      </c>
      <c r="P961" s="65"/>
    </row>
    <row r="962" spans="3:16">
      <c r="C962" s="83" t="s">
        <v>74</v>
      </c>
      <c r="D962" s="75"/>
      <c r="E962" s="75"/>
      <c r="F962" s="81" t="s">
        <v>151</v>
      </c>
      <c r="G962" s="55" t="s">
        <v>1933</v>
      </c>
      <c r="H962" s="55" t="s">
        <v>139</v>
      </c>
      <c r="I962" s="59">
        <v>9</v>
      </c>
      <c r="J962" s="60" t="s">
        <v>1934</v>
      </c>
      <c r="K962" s="63" t="str">
        <f t="shared" si="100"/>
        <v>XGF-RD4SInput</v>
      </c>
      <c r="L962" s="59">
        <f t="shared" si="101"/>
        <v>76</v>
      </c>
      <c r="M962" s="59">
        <f t="shared" si="102"/>
        <v>68</v>
      </c>
      <c r="N962" s="59">
        <f t="shared" si="97"/>
        <v>8</v>
      </c>
      <c r="O962" s="60">
        <f t="shared" ref="O962:O1025" si="103">ROW(C962)</f>
        <v>962</v>
      </c>
      <c r="P962" s="65"/>
    </row>
    <row r="963" spans="3:16">
      <c r="C963" s="83" t="s">
        <v>74</v>
      </c>
      <c r="D963" s="75"/>
      <c r="E963" s="75"/>
      <c r="F963" s="81" t="s">
        <v>151</v>
      </c>
      <c r="G963" s="55" t="s">
        <v>1935</v>
      </c>
      <c r="H963" s="55" t="s">
        <v>139</v>
      </c>
      <c r="I963" s="59">
        <v>10</v>
      </c>
      <c r="J963" s="60" t="s">
        <v>1936</v>
      </c>
      <c r="K963" s="63" t="str">
        <f t="shared" si="100"/>
        <v>XGF-RD4SInput</v>
      </c>
      <c r="L963" s="59">
        <f t="shared" si="101"/>
        <v>76</v>
      </c>
      <c r="M963" s="59">
        <f t="shared" si="102"/>
        <v>68</v>
      </c>
      <c r="N963" s="59">
        <f t="shared" ref="N963:N1026" si="104">L963-M963</f>
        <v>8</v>
      </c>
      <c r="O963" s="60">
        <f t="shared" si="103"/>
        <v>963</v>
      </c>
      <c r="P963" s="65"/>
    </row>
    <row r="964" spans="3:16">
      <c r="C964" s="83" t="s">
        <v>74</v>
      </c>
      <c r="D964" s="75"/>
      <c r="E964" s="75"/>
      <c r="F964" s="81" t="s">
        <v>151</v>
      </c>
      <c r="G964" s="55" t="s">
        <v>1937</v>
      </c>
      <c r="H964" s="55" t="s">
        <v>139</v>
      </c>
      <c r="I964" s="59">
        <v>11</v>
      </c>
      <c r="J964" s="60" t="s">
        <v>1938</v>
      </c>
      <c r="K964" s="63" t="str">
        <f t="shared" si="100"/>
        <v>XGF-RD4SInput</v>
      </c>
      <c r="L964" s="59">
        <f t="shared" si="101"/>
        <v>76</v>
      </c>
      <c r="M964" s="59">
        <f t="shared" si="102"/>
        <v>68</v>
      </c>
      <c r="N964" s="59">
        <f t="shared" si="104"/>
        <v>8</v>
      </c>
      <c r="O964" s="60">
        <f t="shared" si="103"/>
        <v>964</v>
      </c>
      <c r="P964" s="65"/>
    </row>
    <row r="965" spans="3:16">
      <c r="C965" s="83" t="s">
        <v>74</v>
      </c>
      <c r="D965" s="75"/>
      <c r="E965" s="75"/>
      <c r="F965" s="81" t="s">
        <v>151</v>
      </c>
      <c r="G965" s="55" t="s">
        <v>1939</v>
      </c>
      <c r="H965" s="55" t="s">
        <v>139</v>
      </c>
      <c r="I965" s="59">
        <v>12</v>
      </c>
      <c r="J965" s="60" t="s">
        <v>1940</v>
      </c>
      <c r="K965" s="63" t="str">
        <f t="shared" si="100"/>
        <v>XGF-RD4SInput</v>
      </c>
      <c r="L965" s="59">
        <f t="shared" si="101"/>
        <v>76</v>
      </c>
      <c r="M965" s="59">
        <f t="shared" si="102"/>
        <v>68</v>
      </c>
      <c r="N965" s="59">
        <f t="shared" si="104"/>
        <v>8</v>
      </c>
      <c r="O965" s="60">
        <f t="shared" si="103"/>
        <v>965</v>
      </c>
      <c r="P965" s="65"/>
    </row>
    <row r="966" spans="3:16">
      <c r="C966" s="83" t="s">
        <v>74</v>
      </c>
      <c r="D966" s="75"/>
      <c r="E966" s="75"/>
      <c r="F966" s="81" t="s">
        <v>151</v>
      </c>
      <c r="G966" s="55" t="s">
        <v>1941</v>
      </c>
      <c r="H966" s="55" t="s">
        <v>139</v>
      </c>
      <c r="I966" s="59">
        <v>13</v>
      </c>
      <c r="J966" s="60" t="s">
        <v>1942</v>
      </c>
      <c r="K966" s="63" t="str">
        <f t="shared" si="100"/>
        <v>XGF-RD4SInput</v>
      </c>
      <c r="L966" s="59">
        <f t="shared" si="101"/>
        <v>76</v>
      </c>
      <c r="M966" s="59">
        <f t="shared" si="102"/>
        <v>68</v>
      </c>
      <c r="N966" s="59">
        <f t="shared" si="104"/>
        <v>8</v>
      </c>
      <c r="O966" s="60">
        <f t="shared" si="103"/>
        <v>966</v>
      </c>
      <c r="P966" s="65"/>
    </row>
    <row r="967" spans="3:16">
      <c r="C967" s="83" t="s">
        <v>74</v>
      </c>
      <c r="D967" s="75"/>
      <c r="E967" s="75"/>
      <c r="F967" s="81" t="s">
        <v>151</v>
      </c>
      <c r="G967" s="55" t="s">
        <v>1943</v>
      </c>
      <c r="H967" s="55" t="s">
        <v>139</v>
      </c>
      <c r="I967" s="59">
        <v>14</v>
      </c>
      <c r="J967" s="60" t="s">
        <v>1944</v>
      </c>
      <c r="K967" s="63" t="str">
        <f t="shared" si="100"/>
        <v>XGF-RD4SInput</v>
      </c>
      <c r="L967" s="59">
        <f t="shared" si="101"/>
        <v>76</v>
      </c>
      <c r="M967" s="59">
        <f t="shared" si="102"/>
        <v>68</v>
      </c>
      <c r="N967" s="59">
        <f t="shared" si="104"/>
        <v>8</v>
      </c>
      <c r="O967" s="60">
        <f t="shared" si="103"/>
        <v>967</v>
      </c>
      <c r="P967" s="65"/>
    </row>
    <row r="968" spans="3:16">
      <c r="C968" s="83" t="s">
        <v>74</v>
      </c>
      <c r="D968" s="75"/>
      <c r="E968" s="75"/>
      <c r="F968" s="81" t="s">
        <v>151</v>
      </c>
      <c r="G968" s="55" t="s">
        <v>1945</v>
      </c>
      <c r="H968" s="55" t="s">
        <v>139</v>
      </c>
      <c r="I968" s="59">
        <v>15</v>
      </c>
      <c r="J968" s="60" t="s">
        <v>1946</v>
      </c>
      <c r="K968" s="63" t="str">
        <f t="shared" si="100"/>
        <v>XGF-RD4SInput</v>
      </c>
      <c r="L968" s="59">
        <f t="shared" si="101"/>
        <v>76</v>
      </c>
      <c r="M968" s="59">
        <f t="shared" si="102"/>
        <v>68</v>
      </c>
      <c r="N968" s="59">
        <f t="shared" si="104"/>
        <v>8</v>
      </c>
      <c r="O968" s="60">
        <f t="shared" si="103"/>
        <v>968</v>
      </c>
      <c r="P968" s="65"/>
    </row>
    <row r="969" spans="3:16">
      <c r="C969" s="83" t="s">
        <v>74</v>
      </c>
      <c r="D969" s="75"/>
      <c r="E969" s="75"/>
      <c r="F969" s="81" t="s">
        <v>151</v>
      </c>
      <c r="G969" s="55" t="s">
        <v>1947</v>
      </c>
      <c r="H969" s="55" t="s">
        <v>139</v>
      </c>
      <c r="I969" s="59">
        <v>16</v>
      </c>
      <c r="J969" s="60" t="s">
        <v>1948</v>
      </c>
      <c r="K969" s="63" t="str">
        <f t="shared" si="100"/>
        <v>XGF-RD4SInput</v>
      </c>
      <c r="L969" s="59">
        <f t="shared" si="101"/>
        <v>76</v>
      </c>
      <c r="M969" s="59">
        <f t="shared" si="102"/>
        <v>68</v>
      </c>
      <c r="N969" s="59">
        <f t="shared" si="104"/>
        <v>8</v>
      </c>
      <c r="O969" s="60">
        <f t="shared" si="103"/>
        <v>969</v>
      </c>
      <c r="P969" s="65"/>
    </row>
    <row r="970" spans="3:16">
      <c r="C970" s="83" t="s">
        <v>74</v>
      </c>
      <c r="D970" s="75"/>
      <c r="E970" s="75"/>
      <c r="F970" s="81" t="s">
        <v>151</v>
      </c>
      <c r="G970" s="55" t="s">
        <v>1949</v>
      </c>
      <c r="H970" s="55" t="s">
        <v>139</v>
      </c>
      <c r="I970" s="59">
        <v>17</v>
      </c>
      <c r="J970" s="60" t="s">
        <v>1950</v>
      </c>
      <c r="K970" s="63" t="str">
        <f t="shared" si="100"/>
        <v>XGF-RD4SInput</v>
      </c>
      <c r="L970" s="59">
        <f t="shared" si="101"/>
        <v>76</v>
      </c>
      <c r="M970" s="59">
        <f t="shared" si="102"/>
        <v>68</v>
      </c>
      <c r="N970" s="59">
        <f t="shared" si="104"/>
        <v>8</v>
      </c>
      <c r="O970" s="60">
        <f t="shared" si="103"/>
        <v>970</v>
      </c>
      <c r="P970" s="65"/>
    </row>
    <row r="971" spans="3:16">
      <c r="C971" s="83" t="s">
        <v>74</v>
      </c>
      <c r="D971" s="75"/>
      <c r="E971" s="75"/>
      <c r="F971" s="81" t="s">
        <v>151</v>
      </c>
      <c r="G971" s="55" t="s">
        <v>1951</v>
      </c>
      <c r="H971" s="55" t="s">
        <v>139</v>
      </c>
      <c r="I971" s="59">
        <v>18</v>
      </c>
      <c r="J971" s="60" t="s">
        <v>1952</v>
      </c>
      <c r="K971" s="63" t="str">
        <f t="shared" si="100"/>
        <v>XGF-RD4SInput</v>
      </c>
      <c r="L971" s="59">
        <f t="shared" si="101"/>
        <v>76</v>
      </c>
      <c r="M971" s="59">
        <f t="shared" si="102"/>
        <v>68</v>
      </c>
      <c r="N971" s="59">
        <f t="shared" si="104"/>
        <v>8</v>
      </c>
      <c r="O971" s="60">
        <f t="shared" si="103"/>
        <v>971</v>
      </c>
      <c r="P971" s="65"/>
    </row>
    <row r="972" spans="3:16">
      <c r="C972" s="83" t="s">
        <v>74</v>
      </c>
      <c r="D972" s="75"/>
      <c r="E972" s="75"/>
      <c r="F972" s="81" t="s">
        <v>151</v>
      </c>
      <c r="G972" s="55" t="s">
        <v>1953</v>
      </c>
      <c r="H972" s="55" t="s">
        <v>139</v>
      </c>
      <c r="I972" s="59">
        <v>19</v>
      </c>
      <c r="J972" s="60" t="s">
        <v>1954</v>
      </c>
      <c r="K972" s="63" t="str">
        <f t="shared" si="100"/>
        <v>XGF-RD4SInput</v>
      </c>
      <c r="L972" s="59">
        <f t="shared" si="101"/>
        <v>76</v>
      </c>
      <c r="M972" s="59">
        <f t="shared" si="102"/>
        <v>68</v>
      </c>
      <c r="N972" s="59">
        <f t="shared" si="104"/>
        <v>8</v>
      </c>
      <c r="O972" s="60">
        <f t="shared" si="103"/>
        <v>972</v>
      </c>
      <c r="P972" s="65"/>
    </row>
    <row r="973" spans="3:16">
      <c r="C973" s="83" t="s">
        <v>74</v>
      </c>
      <c r="D973" s="75"/>
      <c r="E973" s="75"/>
      <c r="F973" s="81" t="s">
        <v>151</v>
      </c>
      <c r="G973" s="55" t="s">
        <v>1955</v>
      </c>
      <c r="H973" s="55" t="s">
        <v>139</v>
      </c>
      <c r="I973" s="59">
        <v>20</v>
      </c>
      <c r="J973" s="60" t="s">
        <v>1956</v>
      </c>
      <c r="K973" s="63" t="str">
        <f t="shared" si="100"/>
        <v>XGF-RD4SInput</v>
      </c>
      <c r="L973" s="59">
        <f t="shared" si="101"/>
        <v>76</v>
      </c>
      <c r="M973" s="59">
        <f t="shared" si="102"/>
        <v>68</v>
      </c>
      <c r="N973" s="59">
        <f t="shared" si="104"/>
        <v>8</v>
      </c>
      <c r="O973" s="60">
        <f t="shared" si="103"/>
        <v>973</v>
      </c>
      <c r="P973" s="65"/>
    </row>
    <row r="974" spans="3:16">
      <c r="C974" s="83" t="s">
        <v>74</v>
      </c>
      <c r="D974" s="75"/>
      <c r="E974" s="75"/>
      <c r="F974" s="81" t="s">
        <v>151</v>
      </c>
      <c r="G974" s="55" t="s">
        <v>1957</v>
      </c>
      <c r="H974" s="55" t="s">
        <v>139</v>
      </c>
      <c r="I974" s="59">
        <v>21</v>
      </c>
      <c r="J974" s="60" t="s">
        <v>1956</v>
      </c>
      <c r="K974" s="63" t="str">
        <f t="shared" si="100"/>
        <v>XGF-RD4SInput</v>
      </c>
      <c r="L974" s="59">
        <f t="shared" si="101"/>
        <v>76</v>
      </c>
      <c r="M974" s="59">
        <f t="shared" si="102"/>
        <v>68</v>
      </c>
      <c r="N974" s="59">
        <f t="shared" si="104"/>
        <v>8</v>
      </c>
      <c r="O974" s="60">
        <f t="shared" si="103"/>
        <v>974</v>
      </c>
      <c r="P974" s="65"/>
    </row>
    <row r="975" spans="3:16">
      <c r="C975" s="83" t="s">
        <v>74</v>
      </c>
      <c r="D975" s="75"/>
      <c r="E975" s="75"/>
      <c r="F975" s="81" t="s">
        <v>151</v>
      </c>
      <c r="G975" s="55" t="s">
        <v>1958</v>
      </c>
      <c r="H975" s="55" t="s">
        <v>139</v>
      </c>
      <c r="I975" s="59">
        <v>22</v>
      </c>
      <c r="J975" s="60" t="s">
        <v>1959</v>
      </c>
      <c r="K975" s="63" t="str">
        <f t="shared" si="100"/>
        <v>XGF-RD4SInput</v>
      </c>
      <c r="L975" s="59">
        <f t="shared" si="101"/>
        <v>76</v>
      </c>
      <c r="M975" s="59">
        <f t="shared" si="102"/>
        <v>68</v>
      </c>
      <c r="N975" s="59">
        <f t="shared" si="104"/>
        <v>8</v>
      </c>
      <c r="O975" s="60">
        <f t="shared" si="103"/>
        <v>975</v>
      </c>
      <c r="P975" s="65"/>
    </row>
    <row r="976" spans="3:16">
      <c r="C976" s="83" t="s">
        <v>74</v>
      </c>
      <c r="D976" s="75"/>
      <c r="E976" s="75"/>
      <c r="F976" s="81" t="s">
        <v>151</v>
      </c>
      <c r="G976" s="55" t="s">
        <v>1960</v>
      </c>
      <c r="H976" s="55" t="s">
        <v>139</v>
      </c>
      <c r="I976" s="59">
        <v>23</v>
      </c>
      <c r="J976" s="60" t="s">
        <v>1959</v>
      </c>
      <c r="K976" s="63" t="str">
        <f t="shared" si="100"/>
        <v>XGF-RD4SInput</v>
      </c>
      <c r="L976" s="59">
        <f t="shared" si="101"/>
        <v>76</v>
      </c>
      <c r="M976" s="59">
        <f t="shared" si="102"/>
        <v>68</v>
      </c>
      <c r="N976" s="59">
        <f t="shared" si="104"/>
        <v>8</v>
      </c>
      <c r="O976" s="60">
        <f t="shared" si="103"/>
        <v>976</v>
      </c>
      <c r="P976" s="65"/>
    </row>
    <row r="977" spans="3:22">
      <c r="C977" s="83" t="s">
        <v>74</v>
      </c>
      <c r="D977" s="75"/>
      <c r="E977" s="75"/>
      <c r="F977" s="81" t="s">
        <v>151</v>
      </c>
      <c r="G977" s="55" t="s">
        <v>1961</v>
      </c>
      <c r="H977" s="55" t="s">
        <v>139</v>
      </c>
      <c r="I977" s="59">
        <v>24</v>
      </c>
      <c r="J977" s="60" t="s">
        <v>1962</v>
      </c>
      <c r="K977" s="63" t="str">
        <f t="shared" si="100"/>
        <v>XGF-RD4SInput</v>
      </c>
      <c r="L977" s="59">
        <f t="shared" si="101"/>
        <v>76</v>
      </c>
      <c r="M977" s="59">
        <f t="shared" si="102"/>
        <v>68</v>
      </c>
      <c r="N977" s="59">
        <f t="shared" si="104"/>
        <v>8</v>
      </c>
      <c r="O977" s="60">
        <f t="shared" si="103"/>
        <v>977</v>
      </c>
      <c r="P977" s="65"/>
    </row>
    <row r="978" spans="3:22">
      <c r="C978" s="83" t="s">
        <v>74</v>
      </c>
      <c r="D978" s="75"/>
      <c r="E978" s="75"/>
      <c r="F978" s="81" t="s">
        <v>151</v>
      </c>
      <c r="G978" s="55" t="s">
        <v>1963</v>
      </c>
      <c r="H978" s="55" t="s">
        <v>139</v>
      </c>
      <c r="I978" s="59">
        <v>25</v>
      </c>
      <c r="J978" s="60" t="s">
        <v>1962</v>
      </c>
      <c r="K978" s="63" t="str">
        <f t="shared" si="100"/>
        <v>XGF-RD4SInput</v>
      </c>
      <c r="L978" s="59">
        <f t="shared" si="101"/>
        <v>76</v>
      </c>
      <c r="M978" s="59">
        <f t="shared" si="102"/>
        <v>68</v>
      </c>
      <c r="N978" s="59">
        <f t="shared" si="104"/>
        <v>8</v>
      </c>
      <c r="O978" s="60">
        <f t="shared" si="103"/>
        <v>978</v>
      </c>
      <c r="P978" s="65"/>
    </row>
    <row r="979" spans="3:22">
      <c r="C979" s="83" t="s">
        <v>74</v>
      </c>
      <c r="D979" s="75"/>
      <c r="E979" s="75"/>
      <c r="F979" s="81" t="s">
        <v>151</v>
      </c>
      <c r="G979" s="55" t="s">
        <v>1964</v>
      </c>
      <c r="H979" s="55" t="s">
        <v>139</v>
      </c>
      <c r="I979" s="59">
        <v>26</v>
      </c>
      <c r="J979" s="60" t="s">
        <v>1965</v>
      </c>
      <c r="K979" s="63" t="str">
        <f t="shared" si="100"/>
        <v>XGF-RD4SInput</v>
      </c>
      <c r="L979" s="59">
        <f t="shared" si="101"/>
        <v>76</v>
      </c>
      <c r="M979" s="59">
        <f t="shared" si="102"/>
        <v>68</v>
      </c>
      <c r="N979" s="59">
        <f t="shared" si="104"/>
        <v>8</v>
      </c>
      <c r="O979" s="60">
        <f t="shared" si="103"/>
        <v>979</v>
      </c>
      <c r="P979" s="65"/>
    </row>
    <row r="980" spans="3:22">
      <c r="C980" s="83" t="s">
        <v>74</v>
      </c>
      <c r="D980" s="75"/>
      <c r="E980" s="75"/>
      <c r="F980" s="81" t="s">
        <v>151</v>
      </c>
      <c r="G980" s="55" t="s">
        <v>1966</v>
      </c>
      <c r="H980" s="55" t="s">
        <v>139</v>
      </c>
      <c r="I980" s="59">
        <v>27</v>
      </c>
      <c r="J980" s="60" t="s">
        <v>1965</v>
      </c>
      <c r="K980" s="63" t="str">
        <f t="shared" si="100"/>
        <v>XGF-RD4SInput</v>
      </c>
      <c r="L980" s="59">
        <f t="shared" si="101"/>
        <v>76</v>
      </c>
      <c r="M980" s="59">
        <f t="shared" si="102"/>
        <v>68</v>
      </c>
      <c r="N980" s="59">
        <f t="shared" si="104"/>
        <v>8</v>
      </c>
      <c r="O980" s="60">
        <f t="shared" si="103"/>
        <v>980</v>
      </c>
      <c r="P980" s="65"/>
    </row>
    <row r="981" spans="3:22">
      <c r="C981" s="83" t="s">
        <v>74</v>
      </c>
      <c r="D981" s="75"/>
      <c r="E981" s="75"/>
      <c r="F981" s="81" t="s">
        <v>151</v>
      </c>
      <c r="G981" s="62" t="s">
        <v>6</v>
      </c>
      <c r="H981" s="55" t="s">
        <v>139</v>
      </c>
      <c r="I981" s="59">
        <v>28</v>
      </c>
      <c r="J981" s="60" t="s">
        <v>140</v>
      </c>
      <c r="K981" s="63" t="str">
        <f t="shared" ref="K981:K1044" si="105">C981&amp;F981</f>
        <v>XGF-RD4SInput</v>
      </c>
      <c r="L981" s="59">
        <f t="shared" si="101"/>
        <v>76</v>
      </c>
      <c r="M981" s="59">
        <f t="shared" si="102"/>
        <v>68</v>
      </c>
      <c r="N981" s="59">
        <f t="shared" si="104"/>
        <v>8</v>
      </c>
      <c r="O981" s="60">
        <f t="shared" si="103"/>
        <v>981</v>
      </c>
      <c r="P981" s="65"/>
    </row>
    <row r="982" spans="3:22">
      <c r="C982" s="83" t="s">
        <v>74</v>
      </c>
      <c r="D982" s="75"/>
      <c r="E982" s="75"/>
      <c r="F982" s="81" t="s">
        <v>166</v>
      </c>
      <c r="G982" s="55" t="s">
        <v>1967</v>
      </c>
      <c r="H982" s="55" t="s">
        <v>124</v>
      </c>
      <c r="I982" s="59">
        <v>0</v>
      </c>
      <c r="J982" s="60" t="s">
        <v>1968</v>
      </c>
      <c r="K982" s="63"/>
      <c r="L982" s="59"/>
      <c r="M982" s="59"/>
      <c r="N982" s="59"/>
      <c r="O982" s="60">
        <f t="shared" si="103"/>
        <v>982</v>
      </c>
      <c r="P982" s="65"/>
    </row>
    <row r="983" spans="3:22">
      <c r="C983" s="83" t="s">
        <v>74</v>
      </c>
      <c r="D983" s="75"/>
      <c r="E983" s="75"/>
      <c r="F983" s="81" t="s">
        <v>166</v>
      </c>
      <c r="G983" s="55" t="s">
        <v>1969</v>
      </c>
      <c r="H983" s="55" t="s">
        <v>124</v>
      </c>
      <c r="I983" s="59">
        <v>0.1</v>
      </c>
      <c r="J983" s="60" t="s">
        <v>1970</v>
      </c>
      <c r="K983" s="63"/>
      <c r="L983" s="59"/>
      <c r="M983" s="59"/>
      <c r="N983" s="59"/>
      <c r="O983" s="60">
        <f t="shared" si="103"/>
        <v>983</v>
      </c>
      <c r="P983" s="65"/>
    </row>
    <row r="984" spans="3:22">
      <c r="C984" s="83" t="s">
        <v>74</v>
      </c>
      <c r="D984" s="75"/>
      <c r="E984" s="75"/>
      <c r="F984" s="81" t="s">
        <v>166</v>
      </c>
      <c r="G984" s="55" t="s">
        <v>1971</v>
      </c>
      <c r="H984" s="55" t="s">
        <v>124</v>
      </c>
      <c r="I984" s="59">
        <v>0.2</v>
      </c>
      <c r="J984" s="60" t="s">
        <v>1972</v>
      </c>
      <c r="K984" s="63"/>
      <c r="L984" s="59"/>
      <c r="M984" s="59"/>
      <c r="N984" s="59"/>
      <c r="O984" s="60">
        <f t="shared" si="103"/>
        <v>984</v>
      </c>
      <c r="P984" s="65"/>
    </row>
    <row r="985" spans="3:22">
      <c r="C985" s="83" t="s">
        <v>74</v>
      </c>
      <c r="D985" s="75"/>
      <c r="E985" s="75"/>
      <c r="F985" s="81" t="s">
        <v>166</v>
      </c>
      <c r="G985" s="55" t="s">
        <v>1973</v>
      </c>
      <c r="H985" s="55" t="s">
        <v>124</v>
      </c>
      <c r="I985" s="59">
        <v>0.3</v>
      </c>
      <c r="J985" s="60" t="s">
        <v>1974</v>
      </c>
      <c r="K985" s="63"/>
      <c r="L985" s="59"/>
      <c r="M985" s="59"/>
      <c r="N985" s="59"/>
      <c r="O985" s="60">
        <f t="shared" si="103"/>
        <v>985</v>
      </c>
      <c r="P985" s="65"/>
    </row>
    <row r="986" spans="3:22">
      <c r="C986" s="83" t="s">
        <v>74</v>
      </c>
      <c r="D986" s="75"/>
      <c r="E986" s="75"/>
      <c r="F986" s="81" t="s">
        <v>166</v>
      </c>
      <c r="G986" s="55" t="s">
        <v>1975</v>
      </c>
      <c r="H986" s="55" t="s">
        <v>124</v>
      </c>
      <c r="I986" s="59">
        <v>0.4</v>
      </c>
      <c r="J986" s="60" t="s">
        <v>1976</v>
      </c>
      <c r="K986" s="63"/>
      <c r="L986" s="59"/>
      <c r="M986" s="59"/>
      <c r="N986" s="59"/>
      <c r="O986" s="60">
        <f t="shared" si="103"/>
        <v>986</v>
      </c>
      <c r="P986" s="65"/>
    </row>
    <row r="987" spans="3:22">
      <c r="C987" s="83" t="s">
        <v>74</v>
      </c>
      <c r="D987" s="75"/>
      <c r="E987" s="75"/>
      <c r="F987" s="81" t="s">
        <v>166</v>
      </c>
      <c r="G987" s="55" t="s">
        <v>1977</v>
      </c>
      <c r="H987" s="55" t="s">
        <v>124</v>
      </c>
      <c r="I987" s="59">
        <v>0.5</v>
      </c>
      <c r="J987" s="60" t="s">
        <v>1978</v>
      </c>
      <c r="K987" s="63"/>
      <c r="L987" s="59"/>
      <c r="M987" s="59"/>
      <c r="N987" s="59"/>
      <c r="O987" s="60">
        <f t="shared" si="103"/>
        <v>987</v>
      </c>
      <c r="P987" s="65"/>
    </row>
    <row r="988" spans="3:22">
      <c r="C988" s="83" t="s">
        <v>74</v>
      </c>
      <c r="D988" s="75"/>
      <c r="E988" s="75"/>
      <c r="F988" s="81" t="s">
        <v>166</v>
      </c>
      <c r="G988" s="55" t="s">
        <v>1979</v>
      </c>
      <c r="H988" s="55" t="s">
        <v>124</v>
      </c>
      <c r="I988" s="59">
        <v>0.6</v>
      </c>
      <c r="J988" s="60" t="s">
        <v>1980</v>
      </c>
      <c r="K988" s="63"/>
      <c r="L988" s="59"/>
      <c r="M988" s="59"/>
      <c r="N988" s="59"/>
      <c r="O988" s="60">
        <f t="shared" si="103"/>
        <v>988</v>
      </c>
      <c r="P988" s="65"/>
    </row>
    <row r="989" spans="3:22">
      <c r="C989" s="83" t="s">
        <v>74</v>
      </c>
      <c r="D989" s="75"/>
      <c r="E989" s="75"/>
      <c r="F989" s="81" t="s">
        <v>166</v>
      </c>
      <c r="G989" s="55" t="s">
        <v>1981</v>
      </c>
      <c r="H989" s="55" t="s">
        <v>124</v>
      </c>
      <c r="I989" s="59">
        <v>0.7</v>
      </c>
      <c r="J989" s="60" t="s">
        <v>1982</v>
      </c>
      <c r="K989" s="63"/>
      <c r="L989" s="59"/>
      <c r="M989" s="59"/>
      <c r="N989" s="59"/>
      <c r="O989" s="60">
        <f t="shared" si="103"/>
        <v>989</v>
      </c>
      <c r="P989" s="65"/>
    </row>
    <row r="990" spans="3:22">
      <c r="C990" s="83" t="s">
        <v>75</v>
      </c>
      <c r="D990" s="75">
        <v>58</v>
      </c>
      <c r="E990" s="75">
        <v>2</v>
      </c>
      <c r="F990" s="81" t="s">
        <v>151</v>
      </c>
      <c r="G990" s="55" t="s">
        <v>1983</v>
      </c>
      <c r="H990" s="55" t="s">
        <v>124</v>
      </c>
      <c r="I990" s="59">
        <v>0</v>
      </c>
      <c r="J990" s="60" t="s">
        <v>1838</v>
      </c>
      <c r="K990" s="63" t="str">
        <f t="shared" si="105"/>
        <v>XGF-TC4SInput</v>
      </c>
      <c r="L990" s="59">
        <f t="shared" ref="L990:L1021" si="106">COUNTIF($C$2:$C$2062,C990)</f>
        <v>80</v>
      </c>
      <c r="M990" s="59">
        <f t="shared" ref="M990:M1021" si="107">COUNTIF($K$2:$K$2062,K990)</f>
        <v>68</v>
      </c>
      <c r="N990" s="59">
        <f t="shared" si="104"/>
        <v>12</v>
      </c>
      <c r="O990" s="60">
        <f t="shared" si="103"/>
        <v>990</v>
      </c>
      <c r="P990" s="65" t="s">
        <v>3214</v>
      </c>
      <c r="Q990">
        <f>O990</f>
        <v>990</v>
      </c>
      <c r="R990" t="s">
        <v>3215</v>
      </c>
      <c r="S990">
        <v>1070</v>
      </c>
      <c r="T990" t="str">
        <f>P990&amp;Q990&amp;R990&amp;S990</f>
        <v>All data map'!$F$990:$J$1070</v>
      </c>
      <c r="V990" t="s">
        <v>3256</v>
      </c>
    </row>
    <row r="991" spans="3:22">
      <c r="C991" s="83" t="s">
        <v>75</v>
      </c>
      <c r="D991" s="75"/>
      <c r="E991" s="75"/>
      <c r="F991" s="81" t="s">
        <v>151</v>
      </c>
      <c r="G991" s="55" t="s">
        <v>1984</v>
      </c>
      <c r="H991" s="55" t="s">
        <v>124</v>
      </c>
      <c r="I991" s="59">
        <v>0.1</v>
      </c>
      <c r="J991" s="60" t="s">
        <v>1840</v>
      </c>
      <c r="K991" s="63" t="str">
        <f t="shared" si="105"/>
        <v>XGF-TC4SInput</v>
      </c>
      <c r="L991" s="59">
        <f t="shared" si="106"/>
        <v>80</v>
      </c>
      <c r="M991" s="59">
        <f t="shared" si="107"/>
        <v>68</v>
      </c>
      <c r="N991" s="59">
        <f t="shared" si="104"/>
        <v>12</v>
      </c>
      <c r="O991" s="60">
        <f t="shared" si="103"/>
        <v>991</v>
      </c>
      <c r="P991" s="65"/>
    </row>
    <row r="992" spans="3:22">
      <c r="C992" s="83" t="s">
        <v>75</v>
      </c>
      <c r="D992" s="75"/>
      <c r="E992" s="75"/>
      <c r="F992" s="81" t="s">
        <v>151</v>
      </c>
      <c r="G992" s="55" t="s">
        <v>1985</v>
      </c>
      <c r="H992" s="55" t="s">
        <v>124</v>
      </c>
      <c r="I992" s="59">
        <v>0.2</v>
      </c>
      <c r="J992" s="60" t="s">
        <v>1842</v>
      </c>
      <c r="K992" s="63" t="str">
        <f t="shared" si="105"/>
        <v>XGF-TC4SInput</v>
      </c>
      <c r="L992" s="59">
        <f t="shared" si="106"/>
        <v>80</v>
      </c>
      <c r="M992" s="59">
        <f t="shared" si="107"/>
        <v>68</v>
      </c>
      <c r="N992" s="59">
        <f t="shared" si="104"/>
        <v>12</v>
      </c>
      <c r="O992" s="60">
        <f t="shared" si="103"/>
        <v>992</v>
      </c>
      <c r="P992" s="65"/>
    </row>
    <row r="993" spans="3:16">
      <c r="C993" s="83" t="s">
        <v>75</v>
      </c>
      <c r="D993" s="75"/>
      <c r="E993" s="75"/>
      <c r="F993" s="81" t="s">
        <v>151</v>
      </c>
      <c r="G993" s="55" t="s">
        <v>1986</v>
      </c>
      <c r="H993" s="55" t="s">
        <v>124</v>
      </c>
      <c r="I993" s="59">
        <v>0.3</v>
      </c>
      <c r="J993" s="60" t="s">
        <v>1844</v>
      </c>
      <c r="K993" s="63" t="str">
        <f t="shared" si="105"/>
        <v>XGF-TC4SInput</v>
      </c>
      <c r="L993" s="59">
        <f t="shared" si="106"/>
        <v>80</v>
      </c>
      <c r="M993" s="59">
        <f t="shared" si="107"/>
        <v>68</v>
      </c>
      <c r="N993" s="59">
        <f t="shared" si="104"/>
        <v>12</v>
      </c>
      <c r="O993" s="60">
        <f t="shared" si="103"/>
        <v>993</v>
      </c>
      <c r="P993" s="65"/>
    </row>
    <row r="994" spans="3:16">
      <c r="C994" s="83" t="s">
        <v>75</v>
      </c>
      <c r="D994" s="75"/>
      <c r="E994" s="75"/>
      <c r="F994" s="81" t="s">
        <v>151</v>
      </c>
      <c r="G994" s="55" t="s">
        <v>1987</v>
      </c>
      <c r="H994" s="55" t="s">
        <v>124</v>
      </c>
      <c r="I994" s="59" t="s">
        <v>1133</v>
      </c>
      <c r="J994" s="60" t="s">
        <v>1846</v>
      </c>
      <c r="K994" s="63" t="str">
        <f t="shared" si="105"/>
        <v>XGF-TC4SInput</v>
      </c>
      <c r="L994" s="59">
        <f t="shared" si="106"/>
        <v>80</v>
      </c>
      <c r="M994" s="59">
        <f t="shared" si="107"/>
        <v>68</v>
      </c>
      <c r="N994" s="59">
        <f t="shared" si="104"/>
        <v>12</v>
      </c>
      <c r="O994" s="60">
        <f t="shared" si="103"/>
        <v>994</v>
      </c>
      <c r="P994" s="65"/>
    </row>
    <row r="995" spans="3:16">
      <c r="C995" s="83" t="s">
        <v>75</v>
      </c>
      <c r="D995" s="75"/>
      <c r="E995" s="75"/>
      <c r="F995" s="81" t="s">
        <v>151</v>
      </c>
      <c r="G995" s="55" t="s">
        <v>1988</v>
      </c>
      <c r="H995" s="55" t="s">
        <v>124</v>
      </c>
      <c r="I995" s="59" t="s">
        <v>1050</v>
      </c>
      <c r="J995" s="60" t="s">
        <v>1848</v>
      </c>
      <c r="K995" s="63" t="str">
        <f t="shared" si="105"/>
        <v>XGF-TC4SInput</v>
      </c>
      <c r="L995" s="59">
        <f t="shared" si="106"/>
        <v>80</v>
      </c>
      <c r="M995" s="59">
        <f t="shared" si="107"/>
        <v>68</v>
      </c>
      <c r="N995" s="59">
        <f t="shared" si="104"/>
        <v>12</v>
      </c>
      <c r="O995" s="60">
        <f t="shared" si="103"/>
        <v>995</v>
      </c>
      <c r="P995" s="65"/>
    </row>
    <row r="996" spans="3:16">
      <c r="C996" s="83" t="s">
        <v>75</v>
      </c>
      <c r="D996" s="75"/>
      <c r="E996" s="75"/>
      <c r="F996" s="81" t="s">
        <v>151</v>
      </c>
      <c r="G996" s="55" t="s">
        <v>1989</v>
      </c>
      <c r="H996" s="55" t="s">
        <v>124</v>
      </c>
      <c r="I996" s="59" t="s">
        <v>126</v>
      </c>
      <c r="J996" s="60" t="s">
        <v>1850</v>
      </c>
      <c r="K996" s="63" t="str">
        <f t="shared" si="105"/>
        <v>XGF-TC4SInput</v>
      </c>
      <c r="L996" s="59">
        <f t="shared" si="106"/>
        <v>80</v>
      </c>
      <c r="M996" s="59">
        <f t="shared" si="107"/>
        <v>68</v>
      </c>
      <c r="N996" s="59">
        <f t="shared" si="104"/>
        <v>12</v>
      </c>
      <c r="O996" s="60">
        <f t="shared" si="103"/>
        <v>996</v>
      </c>
      <c r="P996" s="65"/>
    </row>
    <row r="997" spans="3:16">
      <c r="C997" s="83" t="s">
        <v>75</v>
      </c>
      <c r="D997" s="75"/>
      <c r="E997" s="75"/>
      <c r="F997" s="81" t="s">
        <v>151</v>
      </c>
      <c r="G997" s="55" t="s">
        <v>1990</v>
      </c>
      <c r="H997" s="55" t="s">
        <v>124</v>
      </c>
      <c r="I997" s="59">
        <v>1</v>
      </c>
      <c r="J997" s="60" t="s">
        <v>1852</v>
      </c>
      <c r="K997" s="63" t="str">
        <f t="shared" si="105"/>
        <v>XGF-TC4SInput</v>
      </c>
      <c r="L997" s="59">
        <f t="shared" si="106"/>
        <v>80</v>
      </c>
      <c r="M997" s="59">
        <f t="shared" si="107"/>
        <v>68</v>
      </c>
      <c r="N997" s="59">
        <f t="shared" si="104"/>
        <v>12</v>
      </c>
      <c r="O997" s="60">
        <f t="shared" si="103"/>
        <v>997</v>
      </c>
      <c r="P997" s="65"/>
    </row>
    <row r="998" spans="3:16">
      <c r="C998" s="83" t="s">
        <v>75</v>
      </c>
      <c r="D998" s="75"/>
      <c r="E998" s="75"/>
      <c r="F998" s="81" t="s">
        <v>151</v>
      </c>
      <c r="G998" s="55" t="s">
        <v>1991</v>
      </c>
      <c r="H998" s="55" t="s">
        <v>124</v>
      </c>
      <c r="I998" s="59">
        <v>1.1000000000000001</v>
      </c>
      <c r="J998" s="60" t="s">
        <v>1854</v>
      </c>
      <c r="K998" s="63" t="str">
        <f t="shared" si="105"/>
        <v>XGF-TC4SInput</v>
      </c>
      <c r="L998" s="59">
        <f t="shared" si="106"/>
        <v>80</v>
      </c>
      <c r="M998" s="59">
        <f t="shared" si="107"/>
        <v>68</v>
      </c>
      <c r="N998" s="59">
        <f t="shared" si="104"/>
        <v>12</v>
      </c>
      <c r="O998" s="60">
        <f t="shared" si="103"/>
        <v>998</v>
      </c>
      <c r="P998" s="65"/>
    </row>
    <row r="999" spans="3:16">
      <c r="C999" s="83" t="s">
        <v>75</v>
      </c>
      <c r="D999" s="75"/>
      <c r="E999" s="75"/>
      <c r="F999" s="81" t="s">
        <v>151</v>
      </c>
      <c r="G999" s="55" t="s">
        <v>1992</v>
      </c>
      <c r="H999" s="55" t="s">
        <v>124</v>
      </c>
      <c r="I999" s="59">
        <v>1.2</v>
      </c>
      <c r="J999" s="60" t="s">
        <v>1856</v>
      </c>
      <c r="K999" s="63" t="str">
        <f t="shared" si="105"/>
        <v>XGF-TC4SInput</v>
      </c>
      <c r="L999" s="59">
        <f t="shared" si="106"/>
        <v>80</v>
      </c>
      <c r="M999" s="59">
        <f t="shared" si="107"/>
        <v>68</v>
      </c>
      <c r="N999" s="59">
        <f t="shared" si="104"/>
        <v>12</v>
      </c>
      <c r="O999" s="60">
        <f t="shared" si="103"/>
        <v>999</v>
      </c>
      <c r="P999" s="65"/>
    </row>
    <row r="1000" spans="3:16">
      <c r="C1000" s="83" t="s">
        <v>75</v>
      </c>
      <c r="D1000" s="75"/>
      <c r="E1000" s="75"/>
      <c r="F1000" s="81" t="s">
        <v>151</v>
      </c>
      <c r="G1000" s="55" t="s">
        <v>1993</v>
      </c>
      <c r="H1000" s="55" t="s">
        <v>124</v>
      </c>
      <c r="I1000" s="59">
        <v>1.3</v>
      </c>
      <c r="J1000" s="60" t="s">
        <v>1858</v>
      </c>
      <c r="K1000" s="63" t="str">
        <f t="shared" si="105"/>
        <v>XGF-TC4SInput</v>
      </c>
      <c r="L1000" s="59">
        <f t="shared" si="106"/>
        <v>80</v>
      </c>
      <c r="M1000" s="59">
        <f t="shared" si="107"/>
        <v>68</v>
      </c>
      <c r="N1000" s="59">
        <f t="shared" si="104"/>
        <v>12</v>
      </c>
      <c r="O1000" s="60">
        <f t="shared" si="103"/>
        <v>1000</v>
      </c>
      <c r="P1000" s="65"/>
    </row>
    <row r="1001" spans="3:16">
      <c r="C1001" s="83" t="s">
        <v>75</v>
      </c>
      <c r="D1001" s="75"/>
      <c r="E1001" s="75"/>
      <c r="F1001" s="81" t="s">
        <v>151</v>
      </c>
      <c r="G1001" s="55" t="s">
        <v>1994</v>
      </c>
      <c r="H1001" s="55" t="s">
        <v>124</v>
      </c>
      <c r="I1001" s="59">
        <v>1.4</v>
      </c>
      <c r="J1001" s="60" t="s">
        <v>1860</v>
      </c>
      <c r="K1001" s="63" t="str">
        <f t="shared" si="105"/>
        <v>XGF-TC4SInput</v>
      </c>
      <c r="L1001" s="59">
        <f t="shared" si="106"/>
        <v>80</v>
      </c>
      <c r="M1001" s="59">
        <f t="shared" si="107"/>
        <v>68</v>
      </c>
      <c r="N1001" s="59">
        <f t="shared" si="104"/>
        <v>12</v>
      </c>
      <c r="O1001" s="60">
        <f t="shared" si="103"/>
        <v>1001</v>
      </c>
      <c r="P1001" s="65"/>
    </row>
    <row r="1002" spans="3:16">
      <c r="C1002" s="83" t="s">
        <v>75</v>
      </c>
      <c r="D1002" s="75"/>
      <c r="E1002" s="75"/>
      <c r="F1002" s="81" t="s">
        <v>151</v>
      </c>
      <c r="G1002" s="55" t="s">
        <v>1995</v>
      </c>
      <c r="H1002" s="55" t="s">
        <v>124</v>
      </c>
      <c r="I1002" s="59">
        <v>1.5</v>
      </c>
      <c r="J1002" s="60" t="s">
        <v>1862</v>
      </c>
      <c r="K1002" s="63" t="str">
        <f t="shared" si="105"/>
        <v>XGF-TC4SInput</v>
      </c>
      <c r="L1002" s="59">
        <f t="shared" si="106"/>
        <v>80</v>
      </c>
      <c r="M1002" s="59">
        <f t="shared" si="107"/>
        <v>68</v>
      </c>
      <c r="N1002" s="59">
        <f t="shared" si="104"/>
        <v>12</v>
      </c>
      <c r="O1002" s="60">
        <f t="shared" si="103"/>
        <v>1002</v>
      </c>
      <c r="P1002" s="65"/>
    </row>
    <row r="1003" spans="3:16">
      <c r="C1003" s="83" t="s">
        <v>75</v>
      </c>
      <c r="D1003" s="75"/>
      <c r="E1003" s="75"/>
      <c r="F1003" s="81" t="s">
        <v>151</v>
      </c>
      <c r="G1003" s="55" t="s">
        <v>1996</v>
      </c>
      <c r="H1003" s="55" t="s">
        <v>124</v>
      </c>
      <c r="I1003" s="59">
        <v>1.6</v>
      </c>
      <c r="J1003" s="60" t="s">
        <v>1864</v>
      </c>
      <c r="K1003" s="63" t="str">
        <f t="shared" si="105"/>
        <v>XGF-TC4SInput</v>
      </c>
      <c r="L1003" s="59">
        <f t="shared" si="106"/>
        <v>80</v>
      </c>
      <c r="M1003" s="59">
        <f t="shared" si="107"/>
        <v>68</v>
      </c>
      <c r="N1003" s="59">
        <f t="shared" si="104"/>
        <v>12</v>
      </c>
      <c r="O1003" s="60">
        <f t="shared" si="103"/>
        <v>1003</v>
      </c>
      <c r="P1003" s="65"/>
    </row>
    <row r="1004" spans="3:16">
      <c r="C1004" s="83" t="s">
        <v>75</v>
      </c>
      <c r="D1004" s="75"/>
      <c r="E1004" s="75"/>
      <c r="F1004" s="81" t="s">
        <v>151</v>
      </c>
      <c r="G1004" s="55" t="s">
        <v>1997</v>
      </c>
      <c r="H1004" s="55" t="s">
        <v>124</v>
      </c>
      <c r="I1004" s="59">
        <v>1.7</v>
      </c>
      <c r="J1004" s="60" t="s">
        <v>1866</v>
      </c>
      <c r="K1004" s="63" t="str">
        <f t="shared" si="105"/>
        <v>XGF-TC4SInput</v>
      </c>
      <c r="L1004" s="59">
        <f t="shared" si="106"/>
        <v>80</v>
      </c>
      <c r="M1004" s="59">
        <f t="shared" si="107"/>
        <v>68</v>
      </c>
      <c r="N1004" s="59">
        <f t="shared" si="104"/>
        <v>12</v>
      </c>
      <c r="O1004" s="60">
        <f t="shared" si="103"/>
        <v>1004</v>
      </c>
      <c r="P1004" s="65"/>
    </row>
    <row r="1005" spans="3:16">
      <c r="C1005" s="83" t="s">
        <v>75</v>
      </c>
      <c r="D1005" s="75"/>
      <c r="E1005" s="75"/>
      <c r="F1005" s="81" t="s">
        <v>151</v>
      </c>
      <c r="G1005" s="55" t="s">
        <v>1998</v>
      </c>
      <c r="H1005" s="55" t="s">
        <v>124</v>
      </c>
      <c r="I1005" s="59">
        <v>1.8</v>
      </c>
      <c r="J1005" s="60" t="s">
        <v>1868</v>
      </c>
      <c r="K1005" s="63" t="str">
        <f t="shared" si="105"/>
        <v>XGF-TC4SInput</v>
      </c>
      <c r="L1005" s="59">
        <f t="shared" si="106"/>
        <v>80</v>
      </c>
      <c r="M1005" s="59">
        <f t="shared" si="107"/>
        <v>68</v>
      </c>
      <c r="N1005" s="59">
        <f t="shared" si="104"/>
        <v>12</v>
      </c>
      <c r="O1005" s="60">
        <f t="shared" si="103"/>
        <v>1005</v>
      </c>
      <c r="P1005" s="65"/>
    </row>
    <row r="1006" spans="3:16">
      <c r="C1006" s="83" t="s">
        <v>75</v>
      </c>
      <c r="D1006" s="75"/>
      <c r="E1006" s="75"/>
      <c r="F1006" s="81" t="s">
        <v>151</v>
      </c>
      <c r="G1006" s="55" t="s">
        <v>1999</v>
      </c>
      <c r="H1006" s="55" t="s">
        <v>124</v>
      </c>
      <c r="I1006" s="59">
        <v>1.9</v>
      </c>
      <c r="J1006" s="60" t="s">
        <v>1870</v>
      </c>
      <c r="K1006" s="63" t="str">
        <f t="shared" si="105"/>
        <v>XGF-TC4SInput</v>
      </c>
      <c r="L1006" s="59">
        <f t="shared" si="106"/>
        <v>80</v>
      </c>
      <c r="M1006" s="59">
        <f t="shared" si="107"/>
        <v>68</v>
      </c>
      <c r="N1006" s="59">
        <f t="shared" si="104"/>
        <v>12</v>
      </c>
      <c r="O1006" s="60">
        <f t="shared" si="103"/>
        <v>1006</v>
      </c>
      <c r="P1006" s="65"/>
    </row>
    <row r="1007" spans="3:16">
      <c r="C1007" s="83" t="s">
        <v>75</v>
      </c>
      <c r="D1007" s="75"/>
      <c r="E1007" s="75"/>
      <c r="F1007" s="81" t="s">
        <v>151</v>
      </c>
      <c r="G1007" s="55" t="s">
        <v>2000</v>
      </c>
      <c r="H1007" s="55" t="s">
        <v>124</v>
      </c>
      <c r="I1007" s="59" t="s">
        <v>136</v>
      </c>
      <c r="J1007" s="60" t="s">
        <v>1872</v>
      </c>
      <c r="K1007" s="63" t="str">
        <f t="shared" si="105"/>
        <v>XGF-TC4SInput</v>
      </c>
      <c r="L1007" s="59">
        <f t="shared" si="106"/>
        <v>80</v>
      </c>
      <c r="M1007" s="59">
        <f t="shared" si="107"/>
        <v>68</v>
      </c>
      <c r="N1007" s="59">
        <f t="shared" si="104"/>
        <v>12</v>
      </c>
      <c r="O1007" s="60">
        <f t="shared" si="103"/>
        <v>1007</v>
      </c>
      <c r="P1007" s="65"/>
    </row>
    <row r="1008" spans="3:16">
      <c r="C1008" s="83" t="s">
        <v>75</v>
      </c>
      <c r="D1008" s="75"/>
      <c r="E1008" s="75"/>
      <c r="F1008" s="81" t="s">
        <v>151</v>
      </c>
      <c r="G1008" s="55" t="s">
        <v>2001</v>
      </c>
      <c r="H1008" s="55" t="s">
        <v>124</v>
      </c>
      <c r="I1008" s="59" t="s">
        <v>138</v>
      </c>
      <c r="J1008" s="60" t="s">
        <v>1874</v>
      </c>
      <c r="K1008" s="63" t="str">
        <f t="shared" si="105"/>
        <v>XGF-TC4SInput</v>
      </c>
      <c r="L1008" s="59">
        <f t="shared" si="106"/>
        <v>80</v>
      </c>
      <c r="M1008" s="59">
        <f t="shared" si="107"/>
        <v>68</v>
      </c>
      <c r="N1008" s="59">
        <f t="shared" si="104"/>
        <v>12</v>
      </c>
      <c r="O1008" s="60">
        <f t="shared" si="103"/>
        <v>1008</v>
      </c>
      <c r="P1008" s="65"/>
    </row>
    <row r="1009" spans="3:16">
      <c r="C1009" s="83" t="s">
        <v>75</v>
      </c>
      <c r="D1009" s="75"/>
      <c r="E1009" s="75"/>
      <c r="F1009" s="81" t="s">
        <v>151</v>
      </c>
      <c r="G1009" s="55" t="s">
        <v>2002</v>
      </c>
      <c r="H1009" s="55" t="s">
        <v>124</v>
      </c>
      <c r="I1009" s="59">
        <v>2</v>
      </c>
      <c r="J1009" s="60" t="s">
        <v>1876</v>
      </c>
      <c r="K1009" s="63" t="str">
        <f t="shared" si="105"/>
        <v>XGF-TC4SInput</v>
      </c>
      <c r="L1009" s="59">
        <f t="shared" si="106"/>
        <v>80</v>
      </c>
      <c r="M1009" s="59">
        <f t="shared" si="107"/>
        <v>68</v>
      </c>
      <c r="N1009" s="59">
        <f t="shared" si="104"/>
        <v>12</v>
      </c>
      <c r="O1009" s="60">
        <f t="shared" si="103"/>
        <v>1009</v>
      </c>
      <c r="P1009" s="65"/>
    </row>
    <row r="1010" spans="3:16">
      <c r="C1010" s="83" t="s">
        <v>75</v>
      </c>
      <c r="D1010" s="75"/>
      <c r="E1010" s="75"/>
      <c r="F1010" s="81" t="s">
        <v>151</v>
      </c>
      <c r="G1010" s="55" t="s">
        <v>2003</v>
      </c>
      <c r="H1010" s="55" t="s">
        <v>124</v>
      </c>
      <c r="I1010" s="59">
        <v>2.1</v>
      </c>
      <c r="J1010" s="60" t="s">
        <v>1878</v>
      </c>
      <c r="K1010" s="63" t="str">
        <f t="shared" si="105"/>
        <v>XGF-TC4SInput</v>
      </c>
      <c r="L1010" s="59">
        <f t="shared" si="106"/>
        <v>80</v>
      </c>
      <c r="M1010" s="59">
        <f t="shared" si="107"/>
        <v>68</v>
      </c>
      <c r="N1010" s="59">
        <f t="shared" si="104"/>
        <v>12</v>
      </c>
      <c r="O1010" s="60">
        <f t="shared" si="103"/>
        <v>1010</v>
      </c>
      <c r="P1010" s="65"/>
    </row>
    <row r="1011" spans="3:16">
      <c r="C1011" s="83" t="s">
        <v>75</v>
      </c>
      <c r="D1011" s="75"/>
      <c r="E1011" s="75"/>
      <c r="F1011" s="81" t="s">
        <v>151</v>
      </c>
      <c r="G1011" s="55" t="s">
        <v>2004</v>
      </c>
      <c r="H1011" s="55" t="s">
        <v>124</v>
      </c>
      <c r="I1011" s="59">
        <v>2.2000000000000002</v>
      </c>
      <c r="J1011" s="60" t="s">
        <v>1880</v>
      </c>
      <c r="K1011" s="63" t="str">
        <f t="shared" si="105"/>
        <v>XGF-TC4SInput</v>
      </c>
      <c r="L1011" s="59">
        <f t="shared" si="106"/>
        <v>80</v>
      </c>
      <c r="M1011" s="59">
        <f t="shared" si="107"/>
        <v>68</v>
      </c>
      <c r="N1011" s="59">
        <f t="shared" si="104"/>
        <v>12</v>
      </c>
      <c r="O1011" s="60">
        <f t="shared" si="103"/>
        <v>1011</v>
      </c>
      <c r="P1011" s="65"/>
    </row>
    <row r="1012" spans="3:16">
      <c r="C1012" s="83" t="s">
        <v>75</v>
      </c>
      <c r="D1012" s="75"/>
      <c r="E1012" s="75"/>
      <c r="F1012" s="81" t="s">
        <v>151</v>
      </c>
      <c r="G1012" s="55" t="s">
        <v>2005</v>
      </c>
      <c r="H1012" s="55" t="s">
        <v>124</v>
      </c>
      <c r="I1012" s="59">
        <v>2.2999999999999998</v>
      </c>
      <c r="J1012" s="60" t="s">
        <v>1882</v>
      </c>
      <c r="K1012" s="63" t="str">
        <f t="shared" si="105"/>
        <v>XGF-TC4SInput</v>
      </c>
      <c r="L1012" s="59">
        <f t="shared" si="106"/>
        <v>80</v>
      </c>
      <c r="M1012" s="59">
        <f t="shared" si="107"/>
        <v>68</v>
      </c>
      <c r="N1012" s="59">
        <f t="shared" si="104"/>
        <v>12</v>
      </c>
      <c r="O1012" s="60">
        <f t="shared" si="103"/>
        <v>1012</v>
      </c>
      <c r="P1012" s="65"/>
    </row>
    <row r="1013" spans="3:16">
      <c r="C1013" s="83" t="s">
        <v>75</v>
      </c>
      <c r="D1013" s="75"/>
      <c r="E1013" s="75"/>
      <c r="F1013" s="81" t="s">
        <v>151</v>
      </c>
      <c r="G1013" s="55" t="s">
        <v>2006</v>
      </c>
      <c r="H1013" s="55" t="s">
        <v>124</v>
      </c>
      <c r="I1013" s="59">
        <v>2.4</v>
      </c>
      <c r="J1013" s="60" t="s">
        <v>1884</v>
      </c>
      <c r="K1013" s="63" t="str">
        <f t="shared" si="105"/>
        <v>XGF-TC4SInput</v>
      </c>
      <c r="L1013" s="59">
        <f t="shared" si="106"/>
        <v>80</v>
      </c>
      <c r="M1013" s="59">
        <f t="shared" si="107"/>
        <v>68</v>
      </c>
      <c r="N1013" s="59">
        <f t="shared" si="104"/>
        <v>12</v>
      </c>
      <c r="O1013" s="60">
        <f t="shared" si="103"/>
        <v>1013</v>
      </c>
      <c r="P1013" s="65"/>
    </row>
    <row r="1014" spans="3:16">
      <c r="C1014" s="83" t="s">
        <v>75</v>
      </c>
      <c r="D1014" s="75"/>
      <c r="E1014" s="75"/>
      <c r="F1014" s="81" t="s">
        <v>151</v>
      </c>
      <c r="G1014" s="55" t="s">
        <v>2007</v>
      </c>
      <c r="H1014" s="55" t="s">
        <v>124</v>
      </c>
      <c r="I1014" s="59">
        <v>2.5</v>
      </c>
      <c r="J1014" s="60" t="s">
        <v>1886</v>
      </c>
      <c r="K1014" s="63" t="str">
        <f t="shared" si="105"/>
        <v>XGF-TC4SInput</v>
      </c>
      <c r="L1014" s="59">
        <f t="shared" si="106"/>
        <v>80</v>
      </c>
      <c r="M1014" s="59">
        <f t="shared" si="107"/>
        <v>68</v>
      </c>
      <c r="N1014" s="59">
        <f t="shared" si="104"/>
        <v>12</v>
      </c>
      <c r="O1014" s="60">
        <f t="shared" si="103"/>
        <v>1014</v>
      </c>
      <c r="P1014" s="65"/>
    </row>
    <row r="1015" spans="3:16">
      <c r="C1015" s="83" t="s">
        <v>75</v>
      </c>
      <c r="D1015" s="75"/>
      <c r="E1015" s="75"/>
      <c r="F1015" s="81" t="s">
        <v>151</v>
      </c>
      <c r="G1015" s="55" t="s">
        <v>2008</v>
      </c>
      <c r="H1015" s="55" t="s">
        <v>124</v>
      </c>
      <c r="I1015" s="59">
        <v>2.6</v>
      </c>
      <c r="J1015" s="60" t="s">
        <v>1888</v>
      </c>
      <c r="K1015" s="63" t="str">
        <f t="shared" si="105"/>
        <v>XGF-TC4SInput</v>
      </c>
      <c r="L1015" s="59">
        <f t="shared" si="106"/>
        <v>80</v>
      </c>
      <c r="M1015" s="59">
        <f t="shared" si="107"/>
        <v>68</v>
      </c>
      <c r="N1015" s="59">
        <f t="shared" si="104"/>
        <v>12</v>
      </c>
      <c r="O1015" s="60">
        <f t="shared" si="103"/>
        <v>1015</v>
      </c>
      <c r="P1015" s="65"/>
    </row>
    <row r="1016" spans="3:16">
      <c r="C1016" s="83" t="s">
        <v>75</v>
      </c>
      <c r="D1016" s="75"/>
      <c r="E1016" s="75"/>
      <c r="F1016" s="81" t="s">
        <v>151</v>
      </c>
      <c r="G1016" s="55" t="s">
        <v>2009</v>
      </c>
      <c r="H1016" s="55" t="s">
        <v>124</v>
      </c>
      <c r="I1016" s="59">
        <v>2.7</v>
      </c>
      <c r="J1016" s="60" t="s">
        <v>1890</v>
      </c>
      <c r="K1016" s="63" t="str">
        <f t="shared" si="105"/>
        <v>XGF-TC4SInput</v>
      </c>
      <c r="L1016" s="59">
        <f t="shared" si="106"/>
        <v>80</v>
      </c>
      <c r="M1016" s="59">
        <f t="shared" si="107"/>
        <v>68</v>
      </c>
      <c r="N1016" s="59">
        <f t="shared" si="104"/>
        <v>12</v>
      </c>
      <c r="O1016" s="60">
        <f t="shared" si="103"/>
        <v>1016</v>
      </c>
      <c r="P1016" s="65"/>
    </row>
    <row r="1017" spans="3:16">
      <c r="C1017" s="83" t="s">
        <v>75</v>
      </c>
      <c r="D1017" s="75"/>
      <c r="E1017" s="75"/>
      <c r="F1017" s="81" t="s">
        <v>151</v>
      </c>
      <c r="G1017" s="55" t="s">
        <v>2010</v>
      </c>
      <c r="H1017" s="55" t="s">
        <v>124</v>
      </c>
      <c r="I1017" s="59">
        <v>2.8</v>
      </c>
      <c r="J1017" s="60" t="s">
        <v>1892</v>
      </c>
      <c r="K1017" s="63" t="str">
        <f t="shared" si="105"/>
        <v>XGF-TC4SInput</v>
      </c>
      <c r="L1017" s="59">
        <f t="shared" si="106"/>
        <v>80</v>
      </c>
      <c r="M1017" s="59">
        <f t="shared" si="107"/>
        <v>68</v>
      </c>
      <c r="N1017" s="59">
        <f t="shared" si="104"/>
        <v>12</v>
      </c>
      <c r="O1017" s="60">
        <f t="shared" si="103"/>
        <v>1017</v>
      </c>
      <c r="P1017" s="65"/>
    </row>
    <row r="1018" spans="3:16">
      <c r="C1018" s="83" t="s">
        <v>75</v>
      </c>
      <c r="D1018" s="75"/>
      <c r="E1018" s="75"/>
      <c r="F1018" s="81" t="s">
        <v>151</v>
      </c>
      <c r="G1018" s="55" t="s">
        <v>2011</v>
      </c>
      <c r="H1018" s="55" t="s">
        <v>124</v>
      </c>
      <c r="I1018" s="59">
        <v>2.9</v>
      </c>
      <c r="J1018" s="60" t="s">
        <v>1894</v>
      </c>
      <c r="K1018" s="63" t="str">
        <f t="shared" si="105"/>
        <v>XGF-TC4SInput</v>
      </c>
      <c r="L1018" s="59">
        <f t="shared" si="106"/>
        <v>80</v>
      </c>
      <c r="M1018" s="59">
        <f t="shared" si="107"/>
        <v>68</v>
      </c>
      <c r="N1018" s="59">
        <f t="shared" si="104"/>
        <v>12</v>
      </c>
      <c r="O1018" s="60">
        <f t="shared" si="103"/>
        <v>1018</v>
      </c>
      <c r="P1018" s="65"/>
    </row>
    <row r="1019" spans="3:16">
      <c r="C1019" s="83" t="s">
        <v>75</v>
      </c>
      <c r="D1019" s="75"/>
      <c r="E1019" s="75"/>
      <c r="F1019" s="81" t="s">
        <v>151</v>
      </c>
      <c r="G1019" s="55" t="s">
        <v>2012</v>
      </c>
      <c r="H1019" s="55" t="s">
        <v>124</v>
      </c>
      <c r="I1019" s="59" t="s">
        <v>1272</v>
      </c>
      <c r="J1019" s="60" t="s">
        <v>1896</v>
      </c>
      <c r="K1019" s="63" t="str">
        <f t="shared" si="105"/>
        <v>XGF-TC4SInput</v>
      </c>
      <c r="L1019" s="59">
        <f t="shared" si="106"/>
        <v>80</v>
      </c>
      <c r="M1019" s="59">
        <f t="shared" si="107"/>
        <v>68</v>
      </c>
      <c r="N1019" s="59">
        <f t="shared" si="104"/>
        <v>12</v>
      </c>
      <c r="O1019" s="60">
        <f t="shared" si="103"/>
        <v>1019</v>
      </c>
      <c r="P1019" s="65"/>
    </row>
    <row r="1020" spans="3:16">
      <c r="C1020" s="83" t="s">
        <v>75</v>
      </c>
      <c r="D1020" s="75"/>
      <c r="E1020" s="75"/>
      <c r="F1020" s="81" t="s">
        <v>151</v>
      </c>
      <c r="G1020" s="55" t="s">
        <v>2013</v>
      </c>
      <c r="H1020" s="55" t="s">
        <v>124</v>
      </c>
      <c r="I1020" s="59" t="s">
        <v>1275</v>
      </c>
      <c r="J1020" s="60" t="s">
        <v>1898</v>
      </c>
      <c r="K1020" s="63" t="str">
        <f t="shared" si="105"/>
        <v>XGF-TC4SInput</v>
      </c>
      <c r="L1020" s="59">
        <f t="shared" si="106"/>
        <v>80</v>
      </c>
      <c r="M1020" s="59">
        <f t="shared" si="107"/>
        <v>68</v>
      </c>
      <c r="N1020" s="59">
        <f t="shared" si="104"/>
        <v>12</v>
      </c>
      <c r="O1020" s="60">
        <f t="shared" si="103"/>
        <v>1020</v>
      </c>
      <c r="P1020" s="65"/>
    </row>
    <row r="1021" spans="3:16">
      <c r="C1021" s="83" t="s">
        <v>75</v>
      </c>
      <c r="D1021" s="75"/>
      <c r="E1021" s="75"/>
      <c r="F1021" s="81" t="s">
        <v>151</v>
      </c>
      <c r="G1021" s="55" t="s">
        <v>2014</v>
      </c>
      <c r="H1021" s="55" t="s">
        <v>124</v>
      </c>
      <c r="I1021" s="59" t="s">
        <v>1278</v>
      </c>
      <c r="J1021" s="60" t="s">
        <v>1900</v>
      </c>
      <c r="K1021" s="63" t="str">
        <f t="shared" si="105"/>
        <v>XGF-TC4SInput</v>
      </c>
      <c r="L1021" s="59">
        <f t="shared" si="106"/>
        <v>80</v>
      </c>
      <c r="M1021" s="59">
        <f t="shared" si="107"/>
        <v>68</v>
      </c>
      <c r="N1021" s="59">
        <f t="shared" si="104"/>
        <v>12</v>
      </c>
      <c r="O1021" s="60">
        <f t="shared" si="103"/>
        <v>1021</v>
      </c>
      <c r="P1021" s="65"/>
    </row>
    <row r="1022" spans="3:16">
      <c r="C1022" s="83" t="s">
        <v>75</v>
      </c>
      <c r="D1022" s="75"/>
      <c r="E1022" s="75"/>
      <c r="F1022" s="81" t="s">
        <v>151</v>
      </c>
      <c r="G1022" s="55" t="s">
        <v>2015</v>
      </c>
      <c r="H1022" s="55" t="s">
        <v>124</v>
      </c>
      <c r="I1022" s="59" t="s">
        <v>1409</v>
      </c>
      <c r="J1022" s="60" t="s">
        <v>1902</v>
      </c>
      <c r="K1022" s="63" t="str">
        <f t="shared" si="105"/>
        <v>XGF-TC4SInput</v>
      </c>
      <c r="L1022" s="59">
        <f t="shared" ref="L1022:L1057" si="108">COUNTIF($C$2:$C$2062,C1022)</f>
        <v>80</v>
      </c>
      <c r="M1022" s="59">
        <f t="shared" ref="M1022:M1057" si="109">COUNTIF($K$2:$K$2062,K1022)</f>
        <v>68</v>
      </c>
      <c r="N1022" s="59">
        <f t="shared" si="104"/>
        <v>12</v>
      </c>
      <c r="O1022" s="60">
        <f t="shared" si="103"/>
        <v>1022</v>
      </c>
      <c r="P1022" s="65"/>
    </row>
    <row r="1023" spans="3:16">
      <c r="C1023" s="83" t="s">
        <v>75</v>
      </c>
      <c r="D1023" s="75"/>
      <c r="E1023" s="75"/>
      <c r="F1023" s="81" t="s">
        <v>151</v>
      </c>
      <c r="G1023" s="55" t="s">
        <v>2016</v>
      </c>
      <c r="H1023" s="55" t="s">
        <v>124</v>
      </c>
      <c r="I1023" s="59" t="s">
        <v>1281</v>
      </c>
      <c r="J1023" s="60" t="s">
        <v>1904</v>
      </c>
      <c r="K1023" s="63" t="str">
        <f t="shared" si="105"/>
        <v>XGF-TC4SInput</v>
      </c>
      <c r="L1023" s="59">
        <f t="shared" si="108"/>
        <v>80</v>
      </c>
      <c r="M1023" s="59">
        <f t="shared" si="109"/>
        <v>68</v>
      </c>
      <c r="N1023" s="59">
        <f t="shared" si="104"/>
        <v>12</v>
      </c>
      <c r="O1023" s="60">
        <f t="shared" si="103"/>
        <v>1023</v>
      </c>
      <c r="P1023" s="65"/>
    </row>
    <row r="1024" spans="3:16">
      <c r="C1024" s="83" t="s">
        <v>75</v>
      </c>
      <c r="D1024" s="75"/>
      <c r="E1024" s="75"/>
      <c r="F1024" s="81" t="s">
        <v>151</v>
      </c>
      <c r="G1024" s="55" t="s">
        <v>2017</v>
      </c>
      <c r="H1024" s="55" t="s">
        <v>124</v>
      </c>
      <c r="I1024" s="59" t="s">
        <v>1414</v>
      </c>
      <c r="J1024" s="60" t="s">
        <v>1906</v>
      </c>
      <c r="K1024" s="63" t="str">
        <f t="shared" si="105"/>
        <v>XGF-TC4SInput</v>
      </c>
      <c r="L1024" s="59">
        <f t="shared" si="108"/>
        <v>80</v>
      </c>
      <c r="M1024" s="59">
        <f t="shared" si="109"/>
        <v>68</v>
      </c>
      <c r="N1024" s="59">
        <f t="shared" si="104"/>
        <v>12</v>
      </c>
      <c r="O1024" s="60">
        <f t="shared" si="103"/>
        <v>1024</v>
      </c>
      <c r="P1024" s="65"/>
    </row>
    <row r="1025" spans="3:16">
      <c r="C1025" s="83" t="s">
        <v>75</v>
      </c>
      <c r="D1025" s="75"/>
      <c r="E1025" s="75"/>
      <c r="F1025" s="81" t="s">
        <v>151</v>
      </c>
      <c r="G1025" s="55" t="s">
        <v>2018</v>
      </c>
      <c r="H1025" s="55" t="s">
        <v>124</v>
      </c>
      <c r="I1025" s="59">
        <v>3</v>
      </c>
      <c r="J1025" s="60" t="s">
        <v>1908</v>
      </c>
      <c r="K1025" s="63" t="str">
        <f t="shared" si="105"/>
        <v>XGF-TC4SInput</v>
      </c>
      <c r="L1025" s="59">
        <f t="shared" si="108"/>
        <v>80</v>
      </c>
      <c r="M1025" s="59">
        <f t="shared" si="109"/>
        <v>68</v>
      </c>
      <c r="N1025" s="59">
        <f t="shared" si="104"/>
        <v>12</v>
      </c>
      <c r="O1025" s="60">
        <f t="shared" si="103"/>
        <v>1025</v>
      </c>
      <c r="P1025" s="65"/>
    </row>
    <row r="1026" spans="3:16">
      <c r="C1026" s="83" t="s">
        <v>75</v>
      </c>
      <c r="D1026" s="75"/>
      <c r="E1026" s="75"/>
      <c r="F1026" s="81" t="s">
        <v>151</v>
      </c>
      <c r="G1026" s="55" t="s">
        <v>2019</v>
      </c>
      <c r="H1026" s="55" t="s">
        <v>124</v>
      </c>
      <c r="I1026" s="59">
        <v>3.1</v>
      </c>
      <c r="J1026" s="60" t="s">
        <v>1910</v>
      </c>
      <c r="K1026" s="63" t="str">
        <f t="shared" si="105"/>
        <v>XGF-TC4SInput</v>
      </c>
      <c r="L1026" s="59">
        <f t="shared" si="108"/>
        <v>80</v>
      </c>
      <c r="M1026" s="59">
        <f t="shared" si="109"/>
        <v>68</v>
      </c>
      <c r="N1026" s="59">
        <f t="shared" si="104"/>
        <v>12</v>
      </c>
      <c r="O1026" s="60">
        <f t="shared" ref="O1026:O1089" si="110">ROW(C1026)</f>
        <v>1026</v>
      </c>
      <c r="P1026" s="65"/>
    </row>
    <row r="1027" spans="3:16">
      <c r="C1027" s="83" t="s">
        <v>75</v>
      </c>
      <c r="D1027" s="75"/>
      <c r="E1027" s="75"/>
      <c r="F1027" s="81" t="s">
        <v>151</v>
      </c>
      <c r="G1027" s="55" t="s">
        <v>2020</v>
      </c>
      <c r="H1027" s="55" t="s">
        <v>124</v>
      </c>
      <c r="I1027" s="59">
        <v>3.4</v>
      </c>
      <c r="J1027" s="60" t="s">
        <v>1912</v>
      </c>
      <c r="K1027" s="63" t="str">
        <f t="shared" si="105"/>
        <v>XGF-TC4SInput</v>
      </c>
      <c r="L1027" s="59">
        <f t="shared" si="108"/>
        <v>80</v>
      </c>
      <c r="M1027" s="59">
        <f t="shared" si="109"/>
        <v>68</v>
      </c>
      <c r="N1027" s="59">
        <f t="shared" ref="N1027:N1090" si="111">L1027-M1027</f>
        <v>12</v>
      </c>
      <c r="O1027" s="60">
        <f t="shared" si="110"/>
        <v>1027</v>
      </c>
      <c r="P1027" s="65"/>
    </row>
    <row r="1028" spans="3:16">
      <c r="C1028" s="83" t="s">
        <v>75</v>
      </c>
      <c r="D1028" s="75"/>
      <c r="E1028" s="75"/>
      <c r="F1028" s="81" t="s">
        <v>151</v>
      </c>
      <c r="G1028" s="55" t="s">
        <v>2021</v>
      </c>
      <c r="H1028" s="55" t="s">
        <v>124</v>
      </c>
      <c r="I1028" s="59">
        <v>3.5</v>
      </c>
      <c r="J1028" s="60" t="s">
        <v>1914</v>
      </c>
      <c r="K1028" s="63" t="str">
        <f t="shared" si="105"/>
        <v>XGF-TC4SInput</v>
      </c>
      <c r="L1028" s="59">
        <f t="shared" si="108"/>
        <v>80</v>
      </c>
      <c r="M1028" s="59">
        <f t="shared" si="109"/>
        <v>68</v>
      </c>
      <c r="N1028" s="59">
        <f t="shared" si="111"/>
        <v>12</v>
      </c>
      <c r="O1028" s="60">
        <f t="shared" si="110"/>
        <v>1028</v>
      </c>
      <c r="P1028" s="65"/>
    </row>
    <row r="1029" spans="3:16">
      <c r="C1029" s="83" t="s">
        <v>75</v>
      </c>
      <c r="D1029" s="75"/>
      <c r="E1029" s="75"/>
      <c r="F1029" s="81" t="s">
        <v>151</v>
      </c>
      <c r="G1029" s="55" t="s">
        <v>2022</v>
      </c>
      <c r="H1029" s="55" t="s">
        <v>124</v>
      </c>
      <c r="I1029" s="59">
        <v>3.8</v>
      </c>
      <c r="J1029" s="60" t="s">
        <v>1916</v>
      </c>
      <c r="K1029" s="63" t="str">
        <f t="shared" si="105"/>
        <v>XGF-TC4SInput</v>
      </c>
      <c r="L1029" s="59">
        <f t="shared" si="108"/>
        <v>80</v>
      </c>
      <c r="M1029" s="59">
        <f t="shared" si="109"/>
        <v>68</v>
      </c>
      <c r="N1029" s="59">
        <f t="shared" si="111"/>
        <v>12</v>
      </c>
      <c r="O1029" s="60">
        <f t="shared" si="110"/>
        <v>1029</v>
      </c>
      <c r="P1029" s="65"/>
    </row>
    <row r="1030" spans="3:16">
      <c r="C1030" s="83" t="s">
        <v>75</v>
      </c>
      <c r="D1030" s="75"/>
      <c r="E1030" s="75"/>
      <c r="F1030" s="81" t="s">
        <v>151</v>
      </c>
      <c r="G1030" s="55" t="s">
        <v>2023</v>
      </c>
      <c r="H1030" s="55" t="s">
        <v>124</v>
      </c>
      <c r="I1030" s="59">
        <v>3.9</v>
      </c>
      <c r="J1030" s="60" t="s">
        <v>1918</v>
      </c>
      <c r="K1030" s="63" t="str">
        <f t="shared" si="105"/>
        <v>XGF-TC4SInput</v>
      </c>
      <c r="L1030" s="59">
        <f t="shared" si="108"/>
        <v>80</v>
      </c>
      <c r="M1030" s="59">
        <f t="shared" si="109"/>
        <v>68</v>
      </c>
      <c r="N1030" s="59">
        <f t="shared" si="111"/>
        <v>12</v>
      </c>
      <c r="O1030" s="60">
        <f t="shared" si="110"/>
        <v>1030</v>
      </c>
      <c r="P1030" s="65"/>
    </row>
    <row r="1031" spans="3:16">
      <c r="C1031" s="83" t="s">
        <v>75</v>
      </c>
      <c r="D1031" s="75"/>
      <c r="E1031" s="75"/>
      <c r="F1031" s="81" t="s">
        <v>151</v>
      </c>
      <c r="G1031" s="55" t="s">
        <v>2024</v>
      </c>
      <c r="H1031" s="55" t="s">
        <v>124</v>
      </c>
      <c r="I1031" s="59" t="s">
        <v>1306</v>
      </c>
      <c r="J1031" s="60" t="s">
        <v>1920</v>
      </c>
      <c r="K1031" s="63" t="str">
        <f t="shared" si="105"/>
        <v>XGF-TC4SInput</v>
      </c>
      <c r="L1031" s="59">
        <f t="shared" si="108"/>
        <v>80</v>
      </c>
      <c r="M1031" s="59">
        <f t="shared" si="109"/>
        <v>68</v>
      </c>
      <c r="N1031" s="59">
        <f t="shared" si="111"/>
        <v>12</v>
      </c>
      <c r="O1031" s="60">
        <f t="shared" si="110"/>
        <v>1031</v>
      </c>
      <c r="P1031" s="65"/>
    </row>
    <row r="1032" spans="3:16">
      <c r="C1032" s="83" t="s">
        <v>75</v>
      </c>
      <c r="D1032" s="75"/>
      <c r="E1032" s="75"/>
      <c r="F1032" s="81" t="s">
        <v>151</v>
      </c>
      <c r="G1032" s="55" t="s">
        <v>2025</v>
      </c>
      <c r="H1032" s="55" t="s">
        <v>124</v>
      </c>
      <c r="I1032" s="59" t="s">
        <v>1441</v>
      </c>
      <c r="J1032" s="60" t="s">
        <v>1922</v>
      </c>
      <c r="K1032" s="63" t="str">
        <f t="shared" si="105"/>
        <v>XGF-TC4SInput</v>
      </c>
      <c r="L1032" s="59">
        <f t="shared" si="108"/>
        <v>80</v>
      </c>
      <c r="M1032" s="59">
        <f t="shared" si="109"/>
        <v>68</v>
      </c>
      <c r="N1032" s="59">
        <f t="shared" si="111"/>
        <v>12</v>
      </c>
      <c r="O1032" s="60">
        <f t="shared" si="110"/>
        <v>1032</v>
      </c>
      <c r="P1032" s="65"/>
    </row>
    <row r="1033" spans="3:16">
      <c r="C1033" s="83" t="s">
        <v>75</v>
      </c>
      <c r="D1033" s="75"/>
      <c r="E1033" s="75"/>
      <c r="F1033" s="81" t="s">
        <v>151</v>
      </c>
      <c r="G1033" s="55" t="s">
        <v>2026</v>
      </c>
      <c r="H1033" s="55" t="s">
        <v>139</v>
      </c>
      <c r="I1033" s="59">
        <v>4</v>
      </c>
      <c r="J1033" s="60" t="s">
        <v>1924</v>
      </c>
      <c r="K1033" s="63" t="str">
        <f t="shared" si="105"/>
        <v>XGF-TC4SInput</v>
      </c>
      <c r="L1033" s="59">
        <f t="shared" si="108"/>
        <v>80</v>
      </c>
      <c r="M1033" s="59">
        <f t="shared" si="109"/>
        <v>68</v>
      </c>
      <c r="N1033" s="59">
        <f t="shared" si="111"/>
        <v>12</v>
      </c>
      <c r="O1033" s="60">
        <f t="shared" si="110"/>
        <v>1033</v>
      </c>
      <c r="P1033" s="65"/>
    </row>
    <row r="1034" spans="3:16">
      <c r="C1034" s="83" t="s">
        <v>75</v>
      </c>
      <c r="D1034" s="75"/>
      <c r="E1034" s="75"/>
      <c r="F1034" s="81" t="s">
        <v>151</v>
      </c>
      <c r="G1034" s="55" t="s">
        <v>2027</v>
      </c>
      <c r="H1034" s="55" t="s">
        <v>139</v>
      </c>
      <c r="I1034" s="59">
        <v>5</v>
      </c>
      <c r="J1034" s="60" t="s">
        <v>1926</v>
      </c>
      <c r="K1034" s="63" t="str">
        <f t="shared" si="105"/>
        <v>XGF-TC4SInput</v>
      </c>
      <c r="L1034" s="59">
        <f t="shared" si="108"/>
        <v>80</v>
      </c>
      <c r="M1034" s="59">
        <f t="shared" si="109"/>
        <v>68</v>
      </c>
      <c r="N1034" s="59">
        <f t="shared" si="111"/>
        <v>12</v>
      </c>
      <c r="O1034" s="60">
        <f t="shared" si="110"/>
        <v>1034</v>
      </c>
      <c r="P1034" s="65"/>
    </row>
    <row r="1035" spans="3:16">
      <c r="C1035" s="83" t="s">
        <v>75</v>
      </c>
      <c r="D1035" s="75"/>
      <c r="E1035" s="75"/>
      <c r="F1035" s="81" t="s">
        <v>151</v>
      </c>
      <c r="G1035" s="55" t="s">
        <v>2028</v>
      </c>
      <c r="H1035" s="55" t="s">
        <v>139</v>
      </c>
      <c r="I1035" s="59">
        <v>6</v>
      </c>
      <c r="J1035" s="60" t="s">
        <v>1928</v>
      </c>
      <c r="K1035" s="63" t="str">
        <f t="shared" si="105"/>
        <v>XGF-TC4SInput</v>
      </c>
      <c r="L1035" s="59">
        <f t="shared" si="108"/>
        <v>80</v>
      </c>
      <c r="M1035" s="59">
        <f t="shared" si="109"/>
        <v>68</v>
      </c>
      <c r="N1035" s="59">
        <f t="shared" si="111"/>
        <v>12</v>
      </c>
      <c r="O1035" s="60">
        <f t="shared" si="110"/>
        <v>1035</v>
      </c>
      <c r="P1035" s="65"/>
    </row>
    <row r="1036" spans="3:16">
      <c r="C1036" s="83" t="s">
        <v>75</v>
      </c>
      <c r="D1036" s="75"/>
      <c r="E1036" s="75"/>
      <c r="F1036" s="81" t="s">
        <v>151</v>
      </c>
      <c r="G1036" s="55" t="s">
        <v>2029</v>
      </c>
      <c r="H1036" s="55" t="s">
        <v>139</v>
      </c>
      <c r="I1036" s="59">
        <v>7</v>
      </c>
      <c r="J1036" s="60" t="s">
        <v>1930</v>
      </c>
      <c r="K1036" s="63" t="str">
        <f t="shared" si="105"/>
        <v>XGF-TC4SInput</v>
      </c>
      <c r="L1036" s="59">
        <f t="shared" si="108"/>
        <v>80</v>
      </c>
      <c r="M1036" s="59">
        <f t="shared" si="109"/>
        <v>68</v>
      </c>
      <c r="N1036" s="59">
        <f t="shared" si="111"/>
        <v>12</v>
      </c>
      <c r="O1036" s="60">
        <f t="shared" si="110"/>
        <v>1036</v>
      </c>
      <c r="P1036" s="65"/>
    </row>
    <row r="1037" spans="3:16">
      <c r="C1037" s="83" t="s">
        <v>75</v>
      </c>
      <c r="D1037" s="75"/>
      <c r="E1037" s="75"/>
      <c r="F1037" s="81" t="s">
        <v>151</v>
      </c>
      <c r="G1037" s="55" t="s">
        <v>2030</v>
      </c>
      <c r="H1037" s="55" t="s">
        <v>139</v>
      </c>
      <c r="I1037" s="59">
        <v>8</v>
      </c>
      <c r="J1037" s="60" t="s">
        <v>1932</v>
      </c>
      <c r="K1037" s="63" t="str">
        <f t="shared" si="105"/>
        <v>XGF-TC4SInput</v>
      </c>
      <c r="L1037" s="59">
        <f t="shared" si="108"/>
        <v>80</v>
      </c>
      <c r="M1037" s="59">
        <f t="shared" si="109"/>
        <v>68</v>
      </c>
      <c r="N1037" s="59">
        <f t="shared" si="111"/>
        <v>12</v>
      </c>
      <c r="O1037" s="60">
        <f t="shared" si="110"/>
        <v>1037</v>
      </c>
      <c r="P1037" s="65"/>
    </row>
    <row r="1038" spans="3:16">
      <c r="C1038" s="83" t="s">
        <v>75</v>
      </c>
      <c r="D1038" s="75"/>
      <c r="E1038" s="75"/>
      <c r="F1038" s="81" t="s">
        <v>151</v>
      </c>
      <c r="G1038" s="55" t="s">
        <v>2031</v>
      </c>
      <c r="H1038" s="55" t="s">
        <v>139</v>
      </c>
      <c r="I1038" s="59">
        <v>9</v>
      </c>
      <c r="J1038" s="60" t="s">
        <v>1934</v>
      </c>
      <c r="K1038" s="63" t="str">
        <f t="shared" si="105"/>
        <v>XGF-TC4SInput</v>
      </c>
      <c r="L1038" s="59">
        <f t="shared" si="108"/>
        <v>80</v>
      </c>
      <c r="M1038" s="59">
        <f t="shared" si="109"/>
        <v>68</v>
      </c>
      <c r="N1038" s="59">
        <f t="shared" si="111"/>
        <v>12</v>
      </c>
      <c r="O1038" s="60">
        <f t="shared" si="110"/>
        <v>1038</v>
      </c>
      <c r="P1038" s="65"/>
    </row>
    <row r="1039" spans="3:16">
      <c r="C1039" s="83" t="s">
        <v>75</v>
      </c>
      <c r="D1039" s="75"/>
      <c r="E1039" s="75"/>
      <c r="F1039" s="81" t="s">
        <v>151</v>
      </c>
      <c r="G1039" s="55" t="s">
        <v>2032</v>
      </c>
      <c r="H1039" s="55" t="s">
        <v>139</v>
      </c>
      <c r="I1039" s="59">
        <v>10</v>
      </c>
      <c r="J1039" s="60" t="s">
        <v>1936</v>
      </c>
      <c r="K1039" s="63" t="str">
        <f t="shared" si="105"/>
        <v>XGF-TC4SInput</v>
      </c>
      <c r="L1039" s="59">
        <f t="shared" si="108"/>
        <v>80</v>
      </c>
      <c r="M1039" s="59">
        <f t="shared" si="109"/>
        <v>68</v>
      </c>
      <c r="N1039" s="59">
        <f t="shared" si="111"/>
        <v>12</v>
      </c>
      <c r="O1039" s="60">
        <f t="shared" si="110"/>
        <v>1039</v>
      </c>
      <c r="P1039" s="65"/>
    </row>
    <row r="1040" spans="3:16">
      <c r="C1040" s="83" t="s">
        <v>75</v>
      </c>
      <c r="D1040" s="75"/>
      <c r="E1040" s="75"/>
      <c r="F1040" s="81" t="s">
        <v>151</v>
      </c>
      <c r="G1040" s="55" t="s">
        <v>2033</v>
      </c>
      <c r="H1040" s="55" t="s">
        <v>139</v>
      </c>
      <c r="I1040" s="59">
        <v>11</v>
      </c>
      <c r="J1040" s="60" t="s">
        <v>1938</v>
      </c>
      <c r="K1040" s="63" t="str">
        <f t="shared" si="105"/>
        <v>XGF-TC4SInput</v>
      </c>
      <c r="L1040" s="59">
        <f t="shared" si="108"/>
        <v>80</v>
      </c>
      <c r="M1040" s="59">
        <f t="shared" si="109"/>
        <v>68</v>
      </c>
      <c r="N1040" s="59">
        <f t="shared" si="111"/>
        <v>12</v>
      </c>
      <c r="O1040" s="60">
        <f t="shared" si="110"/>
        <v>1040</v>
      </c>
      <c r="P1040" s="65"/>
    </row>
    <row r="1041" spans="3:16">
      <c r="C1041" s="83" t="s">
        <v>75</v>
      </c>
      <c r="D1041" s="75"/>
      <c r="E1041" s="75"/>
      <c r="F1041" s="81" t="s">
        <v>151</v>
      </c>
      <c r="G1041" s="55" t="s">
        <v>2034</v>
      </c>
      <c r="H1041" s="55" t="s">
        <v>139</v>
      </c>
      <c r="I1041" s="59">
        <v>12</v>
      </c>
      <c r="J1041" s="60" t="s">
        <v>1940</v>
      </c>
      <c r="K1041" s="63" t="str">
        <f t="shared" si="105"/>
        <v>XGF-TC4SInput</v>
      </c>
      <c r="L1041" s="59">
        <f t="shared" si="108"/>
        <v>80</v>
      </c>
      <c r="M1041" s="59">
        <f t="shared" si="109"/>
        <v>68</v>
      </c>
      <c r="N1041" s="59">
        <f t="shared" si="111"/>
        <v>12</v>
      </c>
      <c r="O1041" s="60">
        <f t="shared" si="110"/>
        <v>1041</v>
      </c>
      <c r="P1041" s="65"/>
    </row>
    <row r="1042" spans="3:16">
      <c r="C1042" s="83" t="s">
        <v>75</v>
      </c>
      <c r="D1042" s="75"/>
      <c r="E1042" s="75"/>
      <c r="F1042" s="81" t="s">
        <v>151</v>
      </c>
      <c r="G1042" s="55" t="s">
        <v>2035</v>
      </c>
      <c r="H1042" s="55" t="s">
        <v>139</v>
      </c>
      <c r="I1042" s="59">
        <v>13</v>
      </c>
      <c r="J1042" s="60" t="s">
        <v>1942</v>
      </c>
      <c r="K1042" s="63" t="str">
        <f t="shared" si="105"/>
        <v>XGF-TC4SInput</v>
      </c>
      <c r="L1042" s="59">
        <f t="shared" si="108"/>
        <v>80</v>
      </c>
      <c r="M1042" s="59">
        <f t="shared" si="109"/>
        <v>68</v>
      </c>
      <c r="N1042" s="59">
        <f t="shared" si="111"/>
        <v>12</v>
      </c>
      <c r="O1042" s="60">
        <f t="shared" si="110"/>
        <v>1042</v>
      </c>
      <c r="P1042" s="65"/>
    </row>
    <row r="1043" spans="3:16">
      <c r="C1043" s="83" t="s">
        <v>75</v>
      </c>
      <c r="D1043" s="75"/>
      <c r="E1043" s="75"/>
      <c r="F1043" s="81" t="s">
        <v>151</v>
      </c>
      <c r="G1043" s="55" t="s">
        <v>2036</v>
      </c>
      <c r="H1043" s="55" t="s">
        <v>139</v>
      </c>
      <c r="I1043" s="59">
        <v>14</v>
      </c>
      <c r="J1043" s="60" t="s">
        <v>1944</v>
      </c>
      <c r="K1043" s="63" t="str">
        <f t="shared" si="105"/>
        <v>XGF-TC4SInput</v>
      </c>
      <c r="L1043" s="59">
        <f t="shared" si="108"/>
        <v>80</v>
      </c>
      <c r="M1043" s="59">
        <f t="shared" si="109"/>
        <v>68</v>
      </c>
      <c r="N1043" s="59">
        <f t="shared" si="111"/>
        <v>12</v>
      </c>
      <c r="O1043" s="60">
        <f t="shared" si="110"/>
        <v>1043</v>
      </c>
      <c r="P1043" s="65"/>
    </row>
    <row r="1044" spans="3:16">
      <c r="C1044" s="83" t="s">
        <v>75</v>
      </c>
      <c r="D1044" s="75"/>
      <c r="E1044" s="75"/>
      <c r="F1044" s="81" t="s">
        <v>151</v>
      </c>
      <c r="G1044" s="55" t="s">
        <v>2037</v>
      </c>
      <c r="H1044" s="55" t="s">
        <v>139</v>
      </c>
      <c r="I1044" s="59">
        <v>15</v>
      </c>
      <c r="J1044" s="60" t="s">
        <v>1946</v>
      </c>
      <c r="K1044" s="63" t="str">
        <f t="shared" si="105"/>
        <v>XGF-TC4SInput</v>
      </c>
      <c r="L1044" s="59">
        <f t="shared" si="108"/>
        <v>80</v>
      </c>
      <c r="M1044" s="59">
        <f t="shared" si="109"/>
        <v>68</v>
      </c>
      <c r="N1044" s="59">
        <f t="shared" si="111"/>
        <v>12</v>
      </c>
      <c r="O1044" s="60">
        <f t="shared" si="110"/>
        <v>1044</v>
      </c>
      <c r="P1044" s="65"/>
    </row>
    <row r="1045" spans="3:16">
      <c r="C1045" s="83" t="s">
        <v>75</v>
      </c>
      <c r="D1045" s="75"/>
      <c r="E1045" s="75"/>
      <c r="F1045" s="81" t="s">
        <v>151</v>
      </c>
      <c r="G1045" s="55" t="s">
        <v>2038</v>
      </c>
      <c r="H1045" s="55" t="s">
        <v>139</v>
      </c>
      <c r="I1045" s="59">
        <v>16</v>
      </c>
      <c r="J1045" s="60" t="s">
        <v>1948</v>
      </c>
      <c r="K1045" s="63" t="str">
        <f t="shared" ref="K1045:K1108" si="112">C1045&amp;F1045</f>
        <v>XGF-TC4SInput</v>
      </c>
      <c r="L1045" s="59">
        <f t="shared" si="108"/>
        <v>80</v>
      </c>
      <c r="M1045" s="59">
        <f t="shared" si="109"/>
        <v>68</v>
      </c>
      <c r="N1045" s="59">
        <f t="shared" si="111"/>
        <v>12</v>
      </c>
      <c r="O1045" s="60">
        <f t="shared" si="110"/>
        <v>1045</v>
      </c>
      <c r="P1045" s="65"/>
    </row>
    <row r="1046" spans="3:16">
      <c r="C1046" s="83" t="s">
        <v>75</v>
      </c>
      <c r="D1046" s="75"/>
      <c r="E1046" s="75"/>
      <c r="F1046" s="81" t="s">
        <v>151</v>
      </c>
      <c r="G1046" s="55" t="s">
        <v>2039</v>
      </c>
      <c r="H1046" s="55" t="s">
        <v>139</v>
      </c>
      <c r="I1046" s="59">
        <v>17</v>
      </c>
      <c r="J1046" s="60" t="s">
        <v>1950</v>
      </c>
      <c r="K1046" s="63" t="str">
        <f t="shared" si="112"/>
        <v>XGF-TC4SInput</v>
      </c>
      <c r="L1046" s="59">
        <f t="shared" si="108"/>
        <v>80</v>
      </c>
      <c r="M1046" s="59">
        <f t="shared" si="109"/>
        <v>68</v>
      </c>
      <c r="N1046" s="59">
        <f t="shared" si="111"/>
        <v>12</v>
      </c>
      <c r="O1046" s="60">
        <f t="shared" si="110"/>
        <v>1046</v>
      </c>
      <c r="P1046" s="65"/>
    </row>
    <row r="1047" spans="3:16">
      <c r="C1047" s="83" t="s">
        <v>75</v>
      </c>
      <c r="D1047" s="75"/>
      <c r="E1047" s="75"/>
      <c r="F1047" s="81" t="s">
        <v>151</v>
      </c>
      <c r="G1047" s="55" t="s">
        <v>2040</v>
      </c>
      <c r="H1047" s="55" t="s">
        <v>139</v>
      </c>
      <c r="I1047" s="59">
        <v>18</v>
      </c>
      <c r="J1047" s="60" t="s">
        <v>1952</v>
      </c>
      <c r="K1047" s="63" t="str">
        <f t="shared" si="112"/>
        <v>XGF-TC4SInput</v>
      </c>
      <c r="L1047" s="59">
        <f t="shared" si="108"/>
        <v>80</v>
      </c>
      <c r="M1047" s="59">
        <f t="shared" si="109"/>
        <v>68</v>
      </c>
      <c r="N1047" s="59">
        <f t="shared" si="111"/>
        <v>12</v>
      </c>
      <c r="O1047" s="60">
        <f t="shared" si="110"/>
        <v>1047</v>
      </c>
      <c r="P1047" s="65"/>
    </row>
    <row r="1048" spans="3:16">
      <c r="C1048" s="83" t="s">
        <v>75</v>
      </c>
      <c r="D1048" s="75"/>
      <c r="E1048" s="75"/>
      <c r="F1048" s="81" t="s">
        <v>151</v>
      </c>
      <c r="G1048" s="55" t="s">
        <v>2041</v>
      </c>
      <c r="H1048" s="55" t="s">
        <v>139</v>
      </c>
      <c r="I1048" s="59">
        <v>19</v>
      </c>
      <c r="J1048" s="60" t="s">
        <v>1954</v>
      </c>
      <c r="K1048" s="63" t="str">
        <f t="shared" si="112"/>
        <v>XGF-TC4SInput</v>
      </c>
      <c r="L1048" s="59">
        <f t="shared" si="108"/>
        <v>80</v>
      </c>
      <c r="M1048" s="59">
        <f t="shared" si="109"/>
        <v>68</v>
      </c>
      <c r="N1048" s="59">
        <f t="shared" si="111"/>
        <v>12</v>
      </c>
      <c r="O1048" s="60">
        <f t="shared" si="110"/>
        <v>1048</v>
      </c>
      <c r="P1048" s="65"/>
    </row>
    <row r="1049" spans="3:16">
      <c r="C1049" s="83" t="s">
        <v>75</v>
      </c>
      <c r="D1049" s="75"/>
      <c r="E1049" s="75"/>
      <c r="F1049" s="81" t="s">
        <v>151</v>
      </c>
      <c r="G1049" s="55" t="s">
        <v>2042</v>
      </c>
      <c r="H1049" s="55" t="s">
        <v>139</v>
      </c>
      <c r="I1049" s="59">
        <v>20</v>
      </c>
      <c r="J1049" s="60" t="s">
        <v>1956</v>
      </c>
      <c r="K1049" s="63" t="str">
        <f t="shared" si="112"/>
        <v>XGF-TC4SInput</v>
      </c>
      <c r="L1049" s="59">
        <f t="shared" si="108"/>
        <v>80</v>
      </c>
      <c r="M1049" s="59">
        <f t="shared" si="109"/>
        <v>68</v>
      </c>
      <c r="N1049" s="59">
        <f t="shared" si="111"/>
        <v>12</v>
      </c>
      <c r="O1049" s="60">
        <f t="shared" si="110"/>
        <v>1049</v>
      </c>
      <c r="P1049" s="65"/>
    </row>
    <row r="1050" spans="3:16">
      <c r="C1050" s="83" t="s">
        <v>75</v>
      </c>
      <c r="D1050" s="75"/>
      <c r="E1050" s="75"/>
      <c r="F1050" s="81" t="s">
        <v>151</v>
      </c>
      <c r="G1050" s="55" t="s">
        <v>2043</v>
      </c>
      <c r="H1050" s="55" t="s">
        <v>139</v>
      </c>
      <c r="I1050" s="59">
        <v>21</v>
      </c>
      <c r="J1050" s="60" t="s">
        <v>1956</v>
      </c>
      <c r="K1050" s="63" t="str">
        <f t="shared" si="112"/>
        <v>XGF-TC4SInput</v>
      </c>
      <c r="L1050" s="59">
        <f t="shared" si="108"/>
        <v>80</v>
      </c>
      <c r="M1050" s="59">
        <f t="shared" si="109"/>
        <v>68</v>
      </c>
      <c r="N1050" s="59">
        <f t="shared" si="111"/>
        <v>12</v>
      </c>
      <c r="O1050" s="60">
        <f t="shared" si="110"/>
        <v>1050</v>
      </c>
      <c r="P1050" s="65"/>
    </row>
    <row r="1051" spans="3:16">
      <c r="C1051" s="83" t="s">
        <v>75</v>
      </c>
      <c r="D1051" s="75"/>
      <c r="E1051" s="75"/>
      <c r="F1051" s="81" t="s">
        <v>151</v>
      </c>
      <c r="G1051" s="55" t="s">
        <v>2044</v>
      </c>
      <c r="H1051" s="55" t="s">
        <v>139</v>
      </c>
      <c r="I1051" s="59">
        <v>22</v>
      </c>
      <c r="J1051" s="60" t="s">
        <v>1959</v>
      </c>
      <c r="K1051" s="63" t="str">
        <f t="shared" si="112"/>
        <v>XGF-TC4SInput</v>
      </c>
      <c r="L1051" s="59">
        <f t="shared" si="108"/>
        <v>80</v>
      </c>
      <c r="M1051" s="59">
        <f t="shared" si="109"/>
        <v>68</v>
      </c>
      <c r="N1051" s="59">
        <f t="shared" si="111"/>
        <v>12</v>
      </c>
      <c r="O1051" s="60">
        <f t="shared" si="110"/>
        <v>1051</v>
      </c>
      <c r="P1051" s="65"/>
    </row>
    <row r="1052" spans="3:16">
      <c r="C1052" s="83" t="s">
        <v>75</v>
      </c>
      <c r="D1052" s="75"/>
      <c r="E1052" s="75"/>
      <c r="F1052" s="81" t="s">
        <v>151</v>
      </c>
      <c r="G1052" s="55" t="s">
        <v>2045</v>
      </c>
      <c r="H1052" s="55" t="s">
        <v>139</v>
      </c>
      <c r="I1052" s="59">
        <v>23</v>
      </c>
      <c r="J1052" s="60" t="s">
        <v>1959</v>
      </c>
      <c r="K1052" s="63" t="str">
        <f t="shared" si="112"/>
        <v>XGF-TC4SInput</v>
      </c>
      <c r="L1052" s="59">
        <f t="shared" si="108"/>
        <v>80</v>
      </c>
      <c r="M1052" s="59">
        <f t="shared" si="109"/>
        <v>68</v>
      </c>
      <c r="N1052" s="59">
        <f t="shared" si="111"/>
        <v>12</v>
      </c>
      <c r="O1052" s="60">
        <f t="shared" si="110"/>
        <v>1052</v>
      </c>
      <c r="P1052" s="65"/>
    </row>
    <row r="1053" spans="3:16">
      <c r="C1053" s="83" t="s">
        <v>75</v>
      </c>
      <c r="D1053" s="75"/>
      <c r="E1053" s="75"/>
      <c r="F1053" s="81" t="s">
        <v>151</v>
      </c>
      <c r="G1053" s="55" t="s">
        <v>2046</v>
      </c>
      <c r="H1053" s="55" t="s">
        <v>139</v>
      </c>
      <c r="I1053" s="59">
        <v>24</v>
      </c>
      <c r="J1053" s="60" t="s">
        <v>1962</v>
      </c>
      <c r="K1053" s="63" t="str">
        <f t="shared" si="112"/>
        <v>XGF-TC4SInput</v>
      </c>
      <c r="L1053" s="59">
        <f t="shared" si="108"/>
        <v>80</v>
      </c>
      <c r="M1053" s="59">
        <f t="shared" si="109"/>
        <v>68</v>
      </c>
      <c r="N1053" s="59">
        <f t="shared" si="111"/>
        <v>12</v>
      </c>
      <c r="O1053" s="60">
        <f t="shared" si="110"/>
        <v>1053</v>
      </c>
      <c r="P1053" s="65"/>
    </row>
    <row r="1054" spans="3:16">
      <c r="C1054" s="83" t="s">
        <v>75</v>
      </c>
      <c r="D1054" s="75"/>
      <c r="E1054" s="75"/>
      <c r="F1054" s="81" t="s">
        <v>151</v>
      </c>
      <c r="G1054" s="55" t="s">
        <v>2047</v>
      </c>
      <c r="H1054" s="55" t="s">
        <v>139</v>
      </c>
      <c r="I1054" s="59">
        <v>25</v>
      </c>
      <c r="J1054" s="60" t="s">
        <v>1962</v>
      </c>
      <c r="K1054" s="63" t="str">
        <f t="shared" si="112"/>
        <v>XGF-TC4SInput</v>
      </c>
      <c r="L1054" s="59">
        <f t="shared" si="108"/>
        <v>80</v>
      </c>
      <c r="M1054" s="59">
        <f t="shared" si="109"/>
        <v>68</v>
      </c>
      <c r="N1054" s="59">
        <f t="shared" si="111"/>
        <v>12</v>
      </c>
      <c r="O1054" s="60">
        <f t="shared" si="110"/>
        <v>1054</v>
      </c>
      <c r="P1054" s="65"/>
    </row>
    <row r="1055" spans="3:16">
      <c r="C1055" s="83" t="s">
        <v>75</v>
      </c>
      <c r="D1055" s="75"/>
      <c r="E1055" s="75"/>
      <c r="F1055" s="81" t="s">
        <v>151</v>
      </c>
      <c r="G1055" s="55" t="s">
        <v>2048</v>
      </c>
      <c r="H1055" s="55" t="s">
        <v>139</v>
      </c>
      <c r="I1055" s="59">
        <v>26</v>
      </c>
      <c r="J1055" s="60" t="s">
        <v>1965</v>
      </c>
      <c r="K1055" s="63" t="str">
        <f t="shared" si="112"/>
        <v>XGF-TC4SInput</v>
      </c>
      <c r="L1055" s="59">
        <f t="shared" si="108"/>
        <v>80</v>
      </c>
      <c r="M1055" s="59">
        <f t="shared" si="109"/>
        <v>68</v>
      </c>
      <c r="N1055" s="59">
        <f t="shared" si="111"/>
        <v>12</v>
      </c>
      <c r="O1055" s="60">
        <f t="shared" si="110"/>
        <v>1055</v>
      </c>
      <c r="P1055" s="65"/>
    </row>
    <row r="1056" spans="3:16">
      <c r="C1056" s="83" t="s">
        <v>75</v>
      </c>
      <c r="D1056" s="75"/>
      <c r="E1056" s="75"/>
      <c r="F1056" s="81" t="s">
        <v>151</v>
      </c>
      <c r="G1056" s="55" t="s">
        <v>2049</v>
      </c>
      <c r="H1056" s="55" t="s">
        <v>139</v>
      </c>
      <c r="I1056" s="59">
        <v>27</v>
      </c>
      <c r="J1056" s="60" t="s">
        <v>1965</v>
      </c>
      <c r="K1056" s="63" t="str">
        <f t="shared" si="112"/>
        <v>XGF-TC4SInput</v>
      </c>
      <c r="L1056" s="59">
        <f t="shared" si="108"/>
        <v>80</v>
      </c>
      <c r="M1056" s="59">
        <f t="shared" si="109"/>
        <v>68</v>
      </c>
      <c r="N1056" s="59">
        <f t="shared" si="111"/>
        <v>12</v>
      </c>
      <c r="O1056" s="60">
        <f t="shared" si="110"/>
        <v>1056</v>
      </c>
      <c r="P1056" s="65"/>
    </row>
    <row r="1057" spans="3:22">
      <c r="C1057" s="83" t="s">
        <v>75</v>
      </c>
      <c r="D1057" s="75"/>
      <c r="E1057" s="75"/>
      <c r="F1057" s="81" t="s">
        <v>151</v>
      </c>
      <c r="G1057" s="62" t="s">
        <v>6</v>
      </c>
      <c r="H1057" s="55" t="s">
        <v>139</v>
      </c>
      <c r="I1057" s="59">
        <v>28</v>
      </c>
      <c r="J1057" s="60" t="s">
        <v>140</v>
      </c>
      <c r="K1057" s="63" t="str">
        <f t="shared" si="112"/>
        <v>XGF-TC4SInput</v>
      </c>
      <c r="L1057" s="59">
        <f t="shared" si="108"/>
        <v>80</v>
      </c>
      <c r="M1057" s="59">
        <f t="shared" si="109"/>
        <v>68</v>
      </c>
      <c r="N1057" s="59">
        <f t="shared" si="111"/>
        <v>12</v>
      </c>
      <c r="O1057" s="60">
        <f t="shared" si="110"/>
        <v>1057</v>
      </c>
      <c r="P1057" s="65"/>
    </row>
    <row r="1058" spans="3:22">
      <c r="C1058" s="83" t="s">
        <v>75</v>
      </c>
      <c r="D1058" s="75"/>
      <c r="E1058" s="75"/>
      <c r="F1058" s="81" t="s">
        <v>166</v>
      </c>
      <c r="G1058" s="55" t="s">
        <v>2050</v>
      </c>
      <c r="H1058" s="55" t="s">
        <v>124</v>
      </c>
      <c r="I1058" s="59">
        <v>0</v>
      </c>
      <c r="J1058" s="60" t="s">
        <v>1968</v>
      </c>
      <c r="K1058" s="63"/>
      <c r="L1058" s="59"/>
      <c r="M1058" s="59"/>
      <c r="N1058" s="59"/>
      <c r="O1058" s="60">
        <f t="shared" si="110"/>
        <v>1058</v>
      </c>
      <c r="P1058" s="65"/>
    </row>
    <row r="1059" spans="3:22">
      <c r="C1059" s="83" t="s">
        <v>75</v>
      </c>
      <c r="D1059" s="75"/>
      <c r="E1059" s="75"/>
      <c r="F1059" s="81" t="s">
        <v>166</v>
      </c>
      <c r="G1059" s="55" t="s">
        <v>2051</v>
      </c>
      <c r="H1059" s="55" t="s">
        <v>124</v>
      </c>
      <c r="I1059" s="59">
        <v>0.1</v>
      </c>
      <c r="J1059" s="60" t="s">
        <v>1970</v>
      </c>
      <c r="K1059" s="63"/>
      <c r="L1059" s="59"/>
      <c r="M1059" s="59"/>
      <c r="N1059" s="59"/>
      <c r="O1059" s="60">
        <f t="shared" si="110"/>
        <v>1059</v>
      </c>
      <c r="P1059" s="65"/>
    </row>
    <row r="1060" spans="3:22">
      <c r="C1060" s="83" t="s">
        <v>75</v>
      </c>
      <c r="D1060" s="75"/>
      <c r="E1060" s="75"/>
      <c r="F1060" s="81" t="s">
        <v>166</v>
      </c>
      <c r="G1060" s="55" t="s">
        <v>2052</v>
      </c>
      <c r="H1060" s="55" t="s">
        <v>124</v>
      </c>
      <c r="I1060" s="59">
        <v>0.2</v>
      </c>
      <c r="J1060" s="60" t="s">
        <v>1972</v>
      </c>
      <c r="K1060" s="63"/>
      <c r="L1060" s="59"/>
      <c r="M1060" s="59"/>
      <c r="N1060" s="59"/>
      <c r="O1060" s="60">
        <f t="shared" si="110"/>
        <v>1060</v>
      </c>
      <c r="P1060" s="65"/>
    </row>
    <row r="1061" spans="3:22">
      <c r="C1061" s="83" t="s">
        <v>75</v>
      </c>
      <c r="D1061" s="75"/>
      <c r="E1061" s="75"/>
      <c r="F1061" s="81" t="s">
        <v>166</v>
      </c>
      <c r="G1061" s="55" t="s">
        <v>2053</v>
      </c>
      <c r="H1061" s="55" t="s">
        <v>124</v>
      </c>
      <c r="I1061" s="59">
        <v>0.3</v>
      </c>
      <c r="J1061" s="60" t="s">
        <v>1974</v>
      </c>
      <c r="K1061" s="63"/>
      <c r="L1061" s="59"/>
      <c r="M1061" s="59"/>
      <c r="N1061" s="59"/>
      <c r="O1061" s="60">
        <f t="shared" si="110"/>
        <v>1061</v>
      </c>
      <c r="P1061" s="65"/>
    </row>
    <row r="1062" spans="3:22">
      <c r="C1062" s="83" t="s">
        <v>75</v>
      </c>
      <c r="D1062" s="75"/>
      <c r="E1062" s="75"/>
      <c r="F1062" s="81" t="s">
        <v>166</v>
      </c>
      <c r="G1062" s="55" t="s">
        <v>2054</v>
      </c>
      <c r="H1062" s="55" t="s">
        <v>124</v>
      </c>
      <c r="I1062" s="59">
        <v>0.4</v>
      </c>
      <c r="J1062" s="60" t="s">
        <v>1976</v>
      </c>
      <c r="K1062" s="63"/>
      <c r="L1062" s="59"/>
      <c r="M1062" s="59"/>
      <c r="N1062" s="59"/>
      <c r="O1062" s="60">
        <f t="shared" si="110"/>
        <v>1062</v>
      </c>
      <c r="P1062" s="65"/>
    </row>
    <row r="1063" spans="3:22">
      <c r="C1063" s="83" t="s">
        <v>75</v>
      </c>
      <c r="D1063" s="75"/>
      <c r="E1063" s="75"/>
      <c r="F1063" s="81" t="s">
        <v>166</v>
      </c>
      <c r="G1063" s="55" t="s">
        <v>2055</v>
      </c>
      <c r="H1063" s="55" t="s">
        <v>124</v>
      </c>
      <c r="I1063" s="59">
        <v>0.5</v>
      </c>
      <c r="J1063" s="60" t="s">
        <v>1978</v>
      </c>
      <c r="K1063" s="63"/>
      <c r="L1063" s="59"/>
      <c r="M1063" s="59"/>
      <c r="N1063" s="59"/>
      <c r="O1063" s="60">
        <f t="shared" si="110"/>
        <v>1063</v>
      </c>
      <c r="P1063" s="65"/>
    </row>
    <row r="1064" spans="3:22">
      <c r="C1064" s="83" t="s">
        <v>75</v>
      </c>
      <c r="D1064" s="75"/>
      <c r="E1064" s="75"/>
      <c r="F1064" s="81" t="s">
        <v>166</v>
      </c>
      <c r="G1064" s="55" t="s">
        <v>2056</v>
      </c>
      <c r="H1064" s="55" t="s">
        <v>124</v>
      </c>
      <c r="I1064" s="59">
        <v>0.6</v>
      </c>
      <c r="J1064" s="60" t="s">
        <v>1980</v>
      </c>
      <c r="K1064" s="63"/>
      <c r="L1064" s="59"/>
      <c r="M1064" s="59"/>
      <c r="N1064" s="59"/>
      <c r="O1064" s="60">
        <f t="shared" si="110"/>
        <v>1064</v>
      </c>
      <c r="P1064" s="65"/>
    </row>
    <row r="1065" spans="3:22">
      <c r="C1065" s="83" t="s">
        <v>75</v>
      </c>
      <c r="D1065" s="75"/>
      <c r="E1065" s="75"/>
      <c r="F1065" s="81" t="s">
        <v>166</v>
      </c>
      <c r="G1065" s="55" t="s">
        <v>2057</v>
      </c>
      <c r="H1065" s="55" t="s">
        <v>124</v>
      </c>
      <c r="I1065" s="59">
        <v>0.7</v>
      </c>
      <c r="J1065" s="60" t="s">
        <v>1982</v>
      </c>
      <c r="K1065" s="63"/>
      <c r="L1065" s="59"/>
      <c r="M1065" s="59"/>
      <c r="N1065" s="59"/>
      <c r="O1065" s="60">
        <f t="shared" si="110"/>
        <v>1065</v>
      </c>
      <c r="P1065" s="65"/>
    </row>
    <row r="1066" spans="3:22">
      <c r="C1066" s="83" t="s">
        <v>75</v>
      </c>
      <c r="D1066" s="75"/>
      <c r="E1066" s="75"/>
      <c r="F1066" s="81" t="s">
        <v>166</v>
      </c>
      <c r="G1066" s="55" t="s">
        <v>2058</v>
      </c>
      <c r="H1066" s="55" t="s">
        <v>124</v>
      </c>
      <c r="I1066" s="59">
        <v>0.8</v>
      </c>
      <c r="J1066" s="60" t="s">
        <v>2059</v>
      </c>
      <c r="K1066" s="63"/>
      <c r="L1066" s="59"/>
      <c r="M1066" s="59"/>
      <c r="N1066" s="59"/>
      <c r="O1066" s="60">
        <f t="shared" si="110"/>
        <v>1066</v>
      </c>
      <c r="P1066" s="65"/>
    </row>
    <row r="1067" spans="3:22">
      <c r="C1067" s="83" t="s">
        <v>75</v>
      </c>
      <c r="D1067" s="75"/>
      <c r="E1067" s="75"/>
      <c r="F1067" s="81" t="s">
        <v>166</v>
      </c>
      <c r="G1067" s="55" t="s">
        <v>2060</v>
      </c>
      <c r="H1067" s="55" t="s">
        <v>124</v>
      </c>
      <c r="I1067" s="59">
        <v>0.9</v>
      </c>
      <c r="J1067" s="60" t="s">
        <v>2061</v>
      </c>
      <c r="K1067" s="63"/>
      <c r="L1067" s="59"/>
      <c r="M1067" s="59"/>
      <c r="N1067" s="59"/>
      <c r="O1067" s="60">
        <f t="shared" si="110"/>
        <v>1067</v>
      </c>
      <c r="P1067" s="65"/>
    </row>
    <row r="1068" spans="3:22">
      <c r="C1068" s="83" t="s">
        <v>75</v>
      </c>
      <c r="D1068" s="75"/>
      <c r="E1068" s="75"/>
      <c r="F1068" s="81" t="s">
        <v>166</v>
      </c>
      <c r="G1068" s="55" t="s">
        <v>2062</v>
      </c>
      <c r="H1068" s="55" t="s">
        <v>124</v>
      </c>
      <c r="I1068" s="59" t="s">
        <v>988</v>
      </c>
      <c r="J1068" s="60" t="s">
        <v>2063</v>
      </c>
      <c r="K1068" s="63"/>
      <c r="L1068" s="59"/>
      <c r="M1068" s="59"/>
      <c r="N1068" s="59"/>
      <c r="O1068" s="60">
        <f t="shared" si="110"/>
        <v>1068</v>
      </c>
      <c r="P1068" s="65"/>
    </row>
    <row r="1069" spans="3:22">
      <c r="C1069" s="83" t="s">
        <v>75</v>
      </c>
      <c r="D1069" s="75"/>
      <c r="E1069" s="75"/>
      <c r="F1069" s="81" t="s">
        <v>166</v>
      </c>
      <c r="G1069" s="55" t="s">
        <v>2064</v>
      </c>
      <c r="H1069" s="55" t="s">
        <v>124</v>
      </c>
      <c r="I1069" s="59" t="s">
        <v>991</v>
      </c>
      <c r="J1069" s="60" t="s">
        <v>2065</v>
      </c>
      <c r="K1069" s="63"/>
      <c r="L1069" s="59"/>
      <c r="M1069" s="59"/>
      <c r="N1069" s="59"/>
      <c r="O1069" s="60">
        <f t="shared" si="110"/>
        <v>1069</v>
      </c>
      <c r="P1069" s="65"/>
    </row>
    <row r="1070" spans="3:22">
      <c r="C1070" s="83" t="s">
        <v>76</v>
      </c>
      <c r="D1070" s="75">
        <v>44</v>
      </c>
      <c r="E1070" s="75">
        <v>2</v>
      </c>
      <c r="F1070" s="81" t="s">
        <v>151</v>
      </c>
      <c r="G1070" s="55" t="s">
        <v>1448</v>
      </c>
      <c r="H1070" s="55" t="s">
        <v>124</v>
      </c>
      <c r="I1070" s="59">
        <v>0</v>
      </c>
      <c r="J1070" s="60" t="s">
        <v>1449</v>
      </c>
      <c r="K1070" s="63" t="str">
        <f t="shared" si="112"/>
        <v>XGF-RD8AInput</v>
      </c>
      <c r="L1070" s="59">
        <f t="shared" ref="L1070:L1101" si="113">COUNTIF($C$2:$C$2062,C1070)</f>
        <v>115</v>
      </c>
      <c r="M1070" s="59">
        <f t="shared" ref="M1070:M1101" si="114">COUNTIF($K$2:$K$2062,K1070)</f>
        <v>99</v>
      </c>
      <c r="N1070" s="59">
        <f t="shared" si="111"/>
        <v>16</v>
      </c>
      <c r="O1070" s="60">
        <f t="shared" si="110"/>
        <v>1070</v>
      </c>
      <c r="P1070" s="65" t="s">
        <v>3214</v>
      </c>
      <c r="Q1070">
        <f>O1070</f>
        <v>1070</v>
      </c>
      <c r="R1070" t="s">
        <v>3215</v>
      </c>
      <c r="S1070">
        <v>1185</v>
      </c>
      <c r="T1070" t="str">
        <f>P1070&amp;Q1070&amp;R1070&amp;S1070</f>
        <v>All data map'!$F$1070:$J$1185</v>
      </c>
      <c r="V1070" t="s">
        <v>3257</v>
      </c>
    </row>
    <row r="1071" spans="3:22">
      <c r="C1071" s="83" t="s">
        <v>76</v>
      </c>
      <c r="D1071" s="75"/>
      <c r="E1071" s="75"/>
      <c r="F1071" s="81" t="s">
        <v>151</v>
      </c>
      <c r="G1071" s="55" t="s">
        <v>1450</v>
      </c>
      <c r="H1071" s="55" t="s">
        <v>124</v>
      </c>
      <c r="I1071" s="59">
        <v>0.1</v>
      </c>
      <c r="J1071" s="60" t="s">
        <v>1451</v>
      </c>
      <c r="K1071" s="63" t="str">
        <f t="shared" si="112"/>
        <v>XGF-RD8AInput</v>
      </c>
      <c r="L1071" s="59">
        <f t="shared" si="113"/>
        <v>115</v>
      </c>
      <c r="M1071" s="59">
        <f t="shared" si="114"/>
        <v>99</v>
      </c>
      <c r="N1071" s="59">
        <f t="shared" si="111"/>
        <v>16</v>
      </c>
      <c r="O1071" s="60">
        <f t="shared" si="110"/>
        <v>1071</v>
      </c>
      <c r="P1071" s="65"/>
    </row>
    <row r="1072" spans="3:22">
      <c r="C1072" s="83" t="s">
        <v>76</v>
      </c>
      <c r="D1072" s="75"/>
      <c r="E1072" s="75"/>
      <c r="F1072" s="81" t="s">
        <v>151</v>
      </c>
      <c r="G1072" s="55" t="s">
        <v>1452</v>
      </c>
      <c r="H1072" s="55" t="s">
        <v>124</v>
      </c>
      <c r="I1072" s="59">
        <v>0.2</v>
      </c>
      <c r="J1072" s="60" t="s">
        <v>1453</v>
      </c>
      <c r="K1072" s="63" t="str">
        <f t="shared" si="112"/>
        <v>XGF-RD8AInput</v>
      </c>
      <c r="L1072" s="59">
        <f t="shared" si="113"/>
        <v>115</v>
      </c>
      <c r="M1072" s="59">
        <f t="shared" si="114"/>
        <v>99</v>
      </c>
      <c r="N1072" s="59">
        <f t="shared" si="111"/>
        <v>16</v>
      </c>
      <c r="O1072" s="60">
        <f t="shared" si="110"/>
        <v>1072</v>
      </c>
      <c r="P1072" s="65"/>
    </row>
    <row r="1073" spans="3:16">
      <c r="C1073" s="83" t="s">
        <v>76</v>
      </c>
      <c r="D1073" s="75"/>
      <c r="E1073" s="75"/>
      <c r="F1073" s="81" t="s">
        <v>151</v>
      </c>
      <c r="G1073" s="55" t="s">
        <v>1454</v>
      </c>
      <c r="H1073" s="55" t="s">
        <v>124</v>
      </c>
      <c r="I1073" s="59">
        <v>0.3</v>
      </c>
      <c r="J1073" s="60" t="s">
        <v>1455</v>
      </c>
      <c r="K1073" s="63" t="str">
        <f t="shared" si="112"/>
        <v>XGF-RD8AInput</v>
      </c>
      <c r="L1073" s="59">
        <f t="shared" si="113"/>
        <v>115</v>
      </c>
      <c r="M1073" s="59">
        <f t="shared" si="114"/>
        <v>99</v>
      </c>
      <c r="N1073" s="59">
        <f t="shared" si="111"/>
        <v>16</v>
      </c>
      <c r="O1073" s="60">
        <f t="shared" si="110"/>
        <v>1073</v>
      </c>
      <c r="P1073" s="65"/>
    </row>
    <row r="1074" spans="3:16">
      <c r="C1074" s="83" t="s">
        <v>76</v>
      </c>
      <c r="D1074" s="75"/>
      <c r="E1074" s="75"/>
      <c r="F1074" s="81" t="s">
        <v>151</v>
      </c>
      <c r="G1074" s="55" t="s">
        <v>1456</v>
      </c>
      <c r="H1074" s="55" t="s">
        <v>124</v>
      </c>
      <c r="I1074" s="59">
        <v>0.4</v>
      </c>
      <c r="J1074" s="60" t="s">
        <v>1457</v>
      </c>
      <c r="K1074" s="63" t="str">
        <f t="shared" si="112"/>
        <v>XGF-RD8AInput</v>
      </c>
      <c r="L1074" s="59">
        <f t="shared" si="113"/>
        <v>115</v>
      </c>
      <c r="M1074" s="59">
        <f t="shared" si="114"/>
        <v>99</v>
      </c>
      <c r="N1074" s="59">
        <f t="shared" si="111"/>
        <v>16</v>
      </c>
      <c r="O1074" s="60">
        <f t="shared" si="110"/>
        <v>1074</v>
      </c>
      <c r="P1074" s="65"/>
    </row>
    <row r="1075" spans="3:16">
      <c r="C1075" s="83" t="s">
        <v>76</v>
      </c>
      <c r="D1075" s="75"/>
      <c r="E1075" s="75"/>
      <c r="F1075" s="81" t="s">
        <v>151</v>
      </c>
      <c r="G1075" s="55" t="s">
        <v>1458</v>
      </c>
      <c r="H1075" s="55" t="s">
        <v>124</v>
      </c>
      <c r="I1075" s="59">
        <v>0.5</v>
      </c>
      <c r="J1075" s="60" t="s">
        <v>1459</v>
      </c>
      <c r="K1075" s="63" t="str">
        <f t="shared" si="112"/>
        <v>XGF-RD8AInput</v>
      </c>
      <c r="L1075" s="59">
        <f t="shared" si="113"/>
        <v>115</v>
      </c>
      <c r="M1075" s="59">
        <f t="shared" si="114"/>
        <v>99</v>
      </c>
      <c r="N1075" s="59">
        <f t="shared" si="111"/>
        <v>16</v>
      </c>
      <c r="O1075" s="60">
        <f t="shared" si="110"/>
        <v>1075</v>
      </c>
      <c r="P1075" s="65"/>
    </row>
    <row r="1076" spans="3:16">
      <c r="C1076" s="83" t="s">
        <v>76</v>
      </c>
      <c r="D1076" s="75"/>
      <c r="E1076" s="75"/>
      <c r="F1076" s="81" t="s">
        <v>151</v>
      </c>
      <c r="G1076" s="55" t="s">
        <v>1460</v>
      </c>
      <c r="H1076" s="55" t="s">
        <v>124</v>
      </c>
      <c r="I1076" s="59">
        <v>0.6</v>
      </c>
      <c r="J1076" s="60" t="s">
        <v>1461</v>
      </c>
      <c r="K1076" s="63" t="str">
        <f t="shared" si="112"/>
        <v>XGF-RD8AInput</v>
      </c>
      <c r="L1076" s="59">
        <f t="shared" si="113"/>
        <v>115</v>
      </c>
      <c r="M1076" s="59">
        <f t="shared" si="114"/>
        <v>99</v>
      </c>
      <c r="N1076" s="59">
        <f t="shared" si="111"/>
        <v>16</v>
      </c>
      <c r="O1076" s="60">
        <f t="shared" si="110"/>
        <v>1076</v>
      </c>
      <c r="P1076" s="65"/>
    </row>
    <row r="1077" spans="3:16">
      <c r="C1077" s="83" t="s">
        <v>76</v>
      </c>
      <c r="D1077" s="75"/>
      <c r="E1077" s="75"/>
      <c r="F1077" s="81" t="s">
        <v>151</v>
      </c>
      <c r="G1077" s="55" t="s">
        <v>1462</v>
      </c>
      <c r="H1077" s="55" t="s">
        <v>124</v>
      </c>
      <c r="I1077" s="59">
        <v>0.7</v>
      </c>
      <c r="J1077" s="60" t="s">
        <v>1463</v>
      </c>
      <c r="K1077" s="63" t="str">
        <f t="shared" si="112"/>
        <v>XGF-RD8AInput</v>
      </c>
      <c r="L1077" s="59">
        <f t="shared" si="113"/>
        <v>115</v>
      </c>
      <c r="M1077" s="59">
        <f t="shared" si="114"/>
        <v>99</v>
      </c>
      <c r="N1077" s="59">
        <f t="shared" si="111"/>
        <v>16</v>
      </c>
      <c r="O1077" s="60">
        <f t="shared" si="110"/>
        <v>1077</v>
      </c>
      <c r="P1077" s="65"/>
    </row>
    <row r="1078" spans="3:16">
      <c r="C1078" s="83" t="s">
        <v>76</v>
      </c>
      <c r="D1078" s="75"/>
      <c r="E1078" s="75"/>
      <c r="F1078" s="81" t="s">
        <v>151</v>
      </c>
      <c r="G1078" s="55" t="s">
        <v>1464</v>
      </c>
      <c r="H1078" s="55" t="s">
        <v>124</v>
      </c>
      <c r="I1078" s="59" t="s">
        <v>1133</v>
      </c>
      <c r="J1078" s="60" t="s">
        <v>1465</v>
      </c>
      <c r="K1078" s="63" t="str">
        <f t="shared" si="112"/>
        <v>XGF-RD8AInput</v>
      </c>
      <c r="L1078" s="59">
        <f t="shared" si="113"/>
        <v>115</v>
      </c>
      <c r="M1078" s="59">
        <f t="shared" si="114"/>
        <v>99</v>
      </c>
      <c r="N1078" s="59">
        <f t="shared" si="111"/>
        <v>16</v>
      </c>
      <c r="O1078" s="60">
        <f t="shared" si="110"/>
        <v>1078</v>
      </c>
      <c r="P1078" s="65"/>
    </row>
    <row r="1079" spans="3:16">
      <c r="C1079" s="83" t="s">
        <v>76</v>
      </c>
      <c r="D1079" s="75"/>
      <c r="E1079" s="75"/>
      <c r="F1079" s="81" t="s">
        <v>151</v>
      </c>
      <c r="G1079" s="55" t="s">
        <v>1466</v>
      </c>
      <c r="H1079" s="55" t="s">
        <v>124</v>
      </c>
      <c r="I1079" s="59" t="s">
        <v>1050</v>
      </c>
      <c r="J1079" s="60" t="s">
        <v>1467</v>
      </c>
      <c r="K1079" s="63" t="str">
        <f t="shared" si="112"/>
        <v>XGF-RD8AInput</v>
      </c>
      <c r="L1079" s="59">
        <f t="shared" si="113"/>
        <v>115</v>
      </c>
      <c r="M1079" s="59">
        <f t="shared" si="114"/>
        <v>99</v>
      </c>
      <c r="N1079" s="59">
        <f t="shared" si="111"/>
        <v>16</v>
      </c>
      <c r="O1079" s="60">
        <f t="shared" si="110"/>
        <v>1079</v>
      </c>
      <c r="P1079" s="65"/>
    </row>
    <row r="1080" spans="3:16">
      <c r="C1080" s="83" t="s">
        <v>76</v>
      </c>
      <c r="D1080" s="75"/>
      <c r="E1080" s="75"/>
      <c r="F1080" s="81" t="s">
        <v>151</v>
      </c>
      <c r="G1080" s="55" t="s">
        <v>1468</v>
      </c>
      <c r="H1080" s="55" t="s">
        <v>124</v>
      </c>
      <c r="I1080" s="59" t="s">
        <v>126</v>
      </c>
      <c r="J1080" s="60" t="s">
        <v>1469</v>
      </c>
      <c r="K1080" s="63" t="str">
        <f t="shared" si="112"/>
        <v>XGF-RD8AInput</v>
      </c>
      <c r="L1080" s="59">
        <f t="shared" si="113"/>
        <v>115</v>
      </c>
      <c r="M1080" s="59">
        <f t="shared" si="114"/>
        <v>99</v>
      </c>
      <c r="N1080" s="59">
        <f t="shared" si="111"/>
        <v>16</v>
      </c>
      <c r="O1080" s="60">
        <f t="shared" si="110"/>
        <v>1080</v>
      </c>
      <c r="P1080" s="65"/>
    </row>
    <row r="1081" spans="3:16">
      <c r="C1081" s="83" t="s">
        <v>76</v>
      </c>
      <c r="D1081" s="75"/>
      <c r="E1081" s="75"/>
      <c r="F1081" s="81" t="s">
        <v>151</v>
      </c>
      <c r="G1081" s="55" t="s">
        <v>1470</v>
      </c>
      <c r="H1081" s="55" t="s">
        <v>124</v>
      </c>
      <c r="I1081" s="59">
        <v>1</v>
      </c>
      <c r="J1081" s="60" t="s">
        <v>1471</v>
      </c>
      <c r="K1081" s="63" t="str">
        <f t="shared" si="112"/>
        <v>XGF-RD8AInput</v>
      </c>
      <c r="L1081" s="59">
        <f t="shared" si="113"/>
        <v>115</v>
      </c>
      <c r="M1081" s="59">
        <f t="shared" si="114"/>
        <v>99</v>
      </c>
      <c r="N1081" s="59">
        <f t="shared" si="111"/>
        <v>16</v>
      </c>
      <c r="O1081" s="60">
        <f t="shared" si="110"/>
        <v>1081</v>
      </c>
      <c r="P1081" s="65"/>
    </row>
    <row r="1082" spans="3:16">
      <c r="C1082" s="83" t="s">
        <v>76</v>
      </c>
      <c r="D1082" s="75"/>
      <c r="E1082" s="75"/>
      <c r="F1082" s="81" t="s">
        <v>151</v>
      </c>
      <c r="G1082" s="55" t="s">
        <v>1472</v>
      </c>
      <c r="H1082" s="55" t="s">
        <v>124</v>
      </c>
      <c r="I1082" s="59">
        <v>1.1000000000000001</v>
      </c>
      <c r="J1082" s="60" t="s">
        <v>1473</v>
      </c>
      <c r="K1082" s="63" t="str">
        <f t="shared" si="112"/>
        <v>XGF-RD8AInput</v>
      </c>
      <c r="L1082" s="59">
        <f t="shared" si="113"/>
        <v>115</v>
      </c>
      <c r="M1082" s="59">
        <f t="shared" si="114"/>
        <v>99</v>
      </c>
      <c r="N1082" s="59">
        <f t="shared" si="111"/>
        <v>16</v>
      </c>
      <c r="O1082" s="60">
        <f t="shared" si="110"/>
        <v>1082</v>
      </c>
      <c r="P1082" s="65"/>
    </row>
    <row r="1083" spans="3:16">
      <c r="C1083" s="83" t="s">
        <v>76</v>
      </c>
      <c r="D1083" s="75"/>
      <c r="E1083" s="75"/>
      <c r="F1083" s="81" t="s">
        <v>151</v>
      </c>
      <c r="G1083" s="55" t="s">
        <v>1474</v>
      </c>
      <c r="H1083" s="55" t="s">
        <v>124</v>
      </c>
      <c r="I1083" s="59">
        <v>1.2</v>
      </c>
      <c r="J1083" s="60" t="s">
        <v>1475</v>
      </c>
      <c r="K1083" s="63" t="str">
        <f t="shared" si="112"/>
        <v>XGF-RD8AInput</v>
      </c>
      <c r="L1083" s="59">
        <f t="shared" si="113"/>
        <v>115</v>
      </c>
      <c r="M1083" s="59">
        <f t="shared" si="114"/>
        <v>99</v>
      </c>
      <c r="N1083" s="59">
        <f t="shared" si="111"/>
        <v>16</v>
      </c>
      <c r="O1083" s="60">
        <f t="shared" si="110"/>
        <v>1083</v>
      </c>
      <c r="P1083" s="65"/>
    </row>
    <row r="1084" spans="3:16">
      <c r="C1084" s="83" t="s">
        <v>76</v>
      </c>
      <c r="D1084" s="75"/>
      <c r="E1084" s="75"/>
      <c r="F1084" s="81" t="s">
        <v>151</v>
      </c>
      <c r="G1084" s="55" t="s">
        <v>1476</v>
      </c>
      <c r="H1084" s="55" t="s">
        <v>124</v>
      </c>
      <c r="I1084" s="59">
        <v>1.3</v>
      </c>
      <c r="J1084" s="60" t="s">
        <v>1477</v>
      </c>
      <c r="K1084" s="63" t="str">
        <f t="shared" si="112"/>
        <v>XGF-RD8AInput</v>
      </c>
      <c r="L1084" s="59">
        <f t="shared" si="113"/>
        <v>115</v>
      </c>
      <c r="M1084" s="59">
        <f t="shared" si="114"/>
        <v>99</v>
      </c>
      <c r="N1084" s="59">
        <f t="shared" si="111"/>
        <v>16</v>
      </c>
      <c r="O1084" s="60">
        <f t="shared" si="110"/>
        <v>1084</v>
      </c>
      <c r="P1084" s="65"/>
    </row>
    <row r="1085" spans="3:16">
      <c r="C1085" s="83" t="s">
        <v>76</v>
      </c>
      <c r="D1085" s="75"/>
      <c r="E1085" s="75"/>
      <c r="F1085" s="81" t="s">
        <v>151</v>
      </c>
      <c r="G1085" s="55" t="s">
        <v>1478</v>
      </c>
      <c r="H1085" s="55" t="s">
        <v>124</v>
      </c>
      <c r="I1085" s="59">
        <v>1.4</v>
      </c>
      <c r="J1085" s="60" t="s">
        <v>1479</v>
      </c>
      <c r="K1085" s="63" t="str">
        <f t="shared" si="112"/>
        <v>XGF-RD8AInput</v>
      </c>
      <c r="L1085" s="59">
        <f t="shared" si="113"/>
        <v>115</v>
      </c>
      <c r="M1085" s="59">
        <f t="shared" si="114"/>
        <v>99</v>
      </c>
      <c r="N1085" s="59">
        <f t="shared" si="111"/>
        <v>16</v>
      </c>
      <c r="O1085" s="60">
        <f t="shared" si="110"/>
        <v>1085</v>
      </c>
      <c r="P1085" s="65"/>
    </row>
    <row r="1086" spans="3:16">
      <c r="C1086" s="83" t="s">
        <v>76</v>
      </c>
      <c r="D1086" s="75"/>
      <c r="E1086" s="75"/>
      <c r="F1086" s="81" t="s">
        <v>151</v>
      </c>
      <c r="G1086" s="55" t="s">
        <v>1480</v>
      </c>
      <c r="H1086" s="55" t="s">
        <v>124</v>
      </c>
      <c r="I1086" s="59">
        <v>1.5</v>
      </c>
      <c r="J1086" s="60" t="s">
        <v>1481</v>
      </c>
      <c r="K1086" s="63" t="str">
        <f t="shared" si="112"/>
        <v>XGF-RD8AInput</v>
      </c>
      <c r="L1086" s="59">
        <f t="shared" si="113"/>
        <v>115</v>
      </c>
      <c r="M1086" s="59">
        <f t="shared" si="114"/>
        <v>99</v>
      </c>
      <c r="N1086" s="59">
        <f t="shared" si="111"/>
        <v>16</v>
      </c>
      <c r="O1086" s="60">
        <f t="shared" si="110"/>
        <v>1086</v>
      </c>
      <c r="P1086" s="65"/>
    </row>
    <row r="1087" spans="3:16">
      <c r="C1087" s="83" t="s">
        <v>76</v>
      </c>
      <c r="D1087" s="75"/>
      <c r="E1087" s="75"/>
      <c r="F1087" s="81" t="s">
        <v>151</v>
      </c>
      <c r="G1087" s="55" t="s">
        <v>1482</v>
      </c>
      <c r="H1087" s="55" t="s">
        <v>124</v>
      </c>
      <c r="I1087" s="59">
        <v>1.6</v>
      </c>
      <c r="J1087" s="60" t="s">
        <v>1483</v>
      </c>
      <c r="K1087" s="63" t="str">
        <f t="shared" si="112"/>
        <v>XGF-RD8AInput</v>
      </c>
      <c r="L1087" s="59">
        <f t="shared" si="113"/>
        <v>115</v>
      </c>
      <c r="M1087" s="59">
        <f t="shared" si="114"/>
        <v>99</v>
      </c>
      <c r="N1087" s="59">
        <f t="shared" si="111"/>
        <v>16</v>
      </c>
      <c r="O1087" s="60">
        <f t="shared" si="110"/>
        <v>1087</v>
      </c>
      <c r="P1087" s="65"/>
    </row>
    <row r="1088" spans="3:16">
      <c r="C1088" s="83" t="s">
        <v>76</v>
      </c>
      <c r="D1088" s="75"/>
      <c r="E1088" s="75"/>
      <c r="F1088" s="81" t="s">
        <v>151</v>
      </c>
      <c r="G1088" s="55" t="s">
        <v>1484</v>
      </c>
      <c r="H1088" s="55" t="s">
        <v>124</v>
      </c>
      <c r="I1088" s="59">
        <v>1.7</v>
      </c>
      <c r="J1088" s="60" t="s">
        <v>1485</v>
      </c>
      <c r="K1088" s="63" t="str">
        <f t="shared" si="112"/>
        <v>XGF-RD8AInput</v>
      </c>
      <c r="L1088" s="59">
        <f t="shared" si="113"/>
        <v>115</v>
      </c>
      <c r="M1088" s="59">
        <f t="shared" si="114"/>
        <v>99</v>
      </c>
      <c r="N1088" s="59">
        <f t="shared" si="111"/>
        <v>16</v>
      </c>
      <c r="O1088" s="60">
        <f t="shared" si="110"/>
        <v>1088</v>
      </c>
      <c r="P1088" s="65"/>
    </row>
    <row r="1089" spans="3:16">
      <c r="C1089" s="83" t="s">
        <v>76</v>
      </c>
      <c r="D1089" s="75"/>
      <c r="E1089" s="75"/>
      <c r="F1089" s="81" t="s">
        <v>151</v>
      </c>
      <c r="G1089" s="55" t="s">
        <v>1486</v>
      </c>
      <c r="H1089" s="55" t="s">
        <v>124</v>
      </c>
      <c r="I1089" s="59">
        <v>1.8</v>
      </c>
      <c r="J1089" s="60" t="s">
        <v>1487</v>
      </c>
      <c r="K1089" s="63" t="str">
        <f t="shared" si="112"/>
        <v>XGF-RD8AInput</v>
      </c>
      <c r="L1089" s="59">
        <f t="shared" si="113"/>
        <v>115</v>
      </c>
      <c r="M1089" s="59">
        <f t="shared" si="114"/>
        <v>99</v>
      </c>
      <c r="N1089" s="59">
        <f t="shared" si="111"/>
        <v>16</v>
      </c>
      <c r="O1089" s="60">
        <f t="shared" si="110"/>
        <v>1089</v>
      </c>
      <c r="P1089" s="65"/>
    </row>
    <row r="1090" spans="3:16">
      <c r="C1090" s="83" t="s">
        <v>76</v>
      </c>
      <c r="D1090" s="75"/>
      <c r="E1090" s="75"/>
      <c r="F1090" s="81" t="s">
        <v>151</v>
      </c>
      <c r="G1090" s="55" t="s">
        <v>1488</v>
      </c>
      <c r="H1090" s="55" t="s">
        <v>124</v>
      </c>
      <c r="I1090" s="59">
        <v>1.9</v>
      </c>
      <c r="J1090" s="60" t="s">
        <v>1489</v>
      </c>
      <c r="K1090" s="63" t="str">
        <f t="shared" si="112"/>
        <v>XGF-RD8AInput</v>
      </c>
      <c r="L1090" s="59">
        <f t="shared" si="113"/>
        <v>115</v>
      </c>
      <c r="M1090" s="59">
        <f t="shared" si="114"/>
        <v>99</v>
      </c>
      <c r="N1090" s="59">
        <f t="shared" si="111"/>
        <v>16</v>
      </c>
      <c r="O1090" s="60">
        <f t="shared" ref="O1090:O1153" si="115">ROW(C1090)</f>
        <v>1090</v>
      </c>
      <c r="P1090" s="65"/>
    </row>
    <row r="1091" spans="3:16">
      <c r="C1091" s="83" t="s">
        <v>76</v>
      </c>
      <c r="D1091" s="75"/>
      <c r="E1091" s="75"/>
      <c r="F1091" s="81" t="s">
        <v>151</v>
      </c>
      <c r="G1091" s="55" t="s">
        <v>1490</v>
      </c>
      <c r="H1091" s="55" t="s">
        <v>124</v>
      </c>
      <c r="I1091" s="59" t="s">
        <v>136</v>
      </c>
      <c r="J1091" s="60" t="s">
        <v>1491</v>
      </c>
      <c r="K1091" s="63" t="str">
        <f t="shared" si="112"/>
        <v>XGF-RD8AInput</v>
      </c>
      <c r="L1091" s="59">
        <f t="shared" si="113"/>
        <v>115</v>
      </c>
      <c r="M1091" s="59">
        <f t="shared" si="114"/>
        <v>99</v>
      </c>
      <c r="N1091" s="59">
        <f t="shared" ref="N1091:N1154" si="116">L1091-M1091</f>
        <v>16</v>
      </c>
      <c r="O1091" s="60">
        <f t="shared" si="115"/>
        <v>1091</v>
      </c>
      <c r="P1091" s="65"/>
    </row>
    <row r="1092" spans="3:16">
      <c r="C1092" s="83" t="s">
        <v>76</v>
      </c>
      <c r="D1092" s="75"/>
      <c r="E1092" s="75"/>
      <c r="F1092" s="81" t="s">
        <v>151</v>
      </c>
      <c r="G1092" s="55" t="s">
        <v>1492</v>
      </c>
      <c r="H1092" s="55" t="s">
        <v>124</v>
      </c>
      <c r="I1092" s="59" t="s">
        <v>138</v>
      </c>
      <c r="J1092" s="60" t="s">
        <v>1493</v>
      </c>
      <c r="K1092" s="63" t="str">
        <f t="shared" si="112"/>
        <v>XGF-RD8AInput</v>
      </c>
      <c r="L1092" s="59">
        <f t="shared" si="113"/>
        <v>115</v>
      </c>
      <c r="M1092" s="59">
        <f t="shared" si="114"/>
        <v>99</v>
      </c>
      <c r="N1092" s="59">
        <f t="shared" si="116"/>
        <v>16</v>
      </c>
      <c r="O1092" s="60">
        <f t="shared" si="115"/>
        <v>1092</v>
      </c>
      <c r="P1092" s="65"/>
    </row>
    <row r="1093" spans="3:16">
      <c r="C1093" s="83" t="s">
        <v>76</v>
      </c>
      <c r="D1093" s="75"/>
      <c r="E1093" s="75"/>
      <c r="F1093" s="81" t="s">
        <v>151</v>
      </c>
      <c r="G1093" s="55" t="s">
        <v>1494</v>
      </c>
      <c r="H1093" s="55" t="s">
        <v>124</v>
      </c>
      <c r="I1093" s="59" t="s">
        <v>201</v>
      </c>
      <c r="J1093" s="60" t="s">
        <v>1495</v>
      </c>
      <c r="K1093" s="63" t="str">
        <f t="shared" si="112"/>
        <v>XGF-RD8AInput</v>
      </c>
      <c r="L1093" s="59">
        <f t="shared" si="113"/>
        <v>115</v>
      </c>
      <c r="M1093" s="59">
        <f t="shared" si="114"/>
        <v>99</v>
      </c>
      <c r="N1093" s="59">
        <f t="shared" si="116"/>
        <v>16</v>
      </c>
      <c r="O1093" s="60">
        <f t="shared" si="115"/>
        <v>1093</v>
      </c>
      <c r="P1093" s="65"/>
    </row>
    <row r="1094" spans="3:16">
      <c r="C1094" s="83" t="s">
        <v>76</v>
      </c>
      <c r="D1094" s="75"/>
      <c r="E1094" s="75"/>
      <c r="F1094" s="81" t="s">
        <v>151</v>
      </c>
      <c r="G1094" s="55" t="s">
        <v>1496</v>
      </c>
      <c r="H1094" s="55" t="s">
        <v>124</v>
      </c>
      <c r="I1094" s="59" t="s">
        <v>204</v>
      </c>
      <c r="J1094" s="60" t="s">
        <v>1497</v>
      </c>
      <c r="K1094" s="63" t="str">
        <f t="shared" si="112"/>
        <v>XGF-RD8AInput</v>
      </c>
      <c r="L1094" s="59">
        <f t="shared" si="113"/>
        <v>115</v>
      </c>
      <c r="M1094" s="59">
        <f t="shared" si="114"/>
        <v>99</v>
      </c>
      <c r="N1094" s="59">
        <f t="shared" si="116"/>
        <v>16</v>
      </c>
      <c r="O1094" s="60">
        <f t="shared" si="115"/>
        <v>1094</v>
      </c>
      <c r="P1094" s="65"/>
    </row>
    <row r="1095" spans="3:16">
      <c r="C1095" s="83" t="s">
        <v>76</v>
      </c>
      <c r="D1095" s="75"/>
      <c r="E1095" s="75"/>
      <c r="F1095" s="81" t="s">
        <v>151</v>
      </c>
      <c r="G1095" s="55" t="s">
        <v>1498</v>
      </c>
      <c r="H1095" s="55" t="s">
        <v>124</v>
      </c>
      <c r="I1095" s="59" t="s">
        <v>207</v>
      </c>
      <c r="J1095" s="60" t="s">
        <v>1499</v>
      </c>
      <c r="K1095" s="63" t="str">
        <f t="shared" si="112"/>
        <v>XGF-RD8AInput</v>
      </c>
      <c r="L1095" s="59">
        <f t="shared" si="113"/>
        <v>115</v>
      </c>
      <c r="M1095" s="59">
        <f t="shared" si="114"/>
        <v>99</v>
      </c>
      <c r="N1095" s="59">
        <f t="shared" si="116"/>
        <v>16</v>
      </c>
      <c r="O1095" s="60">
        <f t="shared" si="115"/>
        <v>1095</v>
      </c>
      <c r="P1095" s="65"/>
    </row>
    <row r="1096" spans="3:16">
      <c r="C1096" s="83" t="s">
        <v>76</v>
      </c>
      <c r="D1096" s="75"/>
      <c r="E1096" s="75"/>
      <c r="F1096" s="81" t="s">
        <v>151</v>
      </c>
      <c r="G1096" s="55" t="s">
        <v>1500</v>
      </c>
      <c r="H1096" s="55" t="s">
        <v>124</v>
      </c>
      <c r="I1096" s="59" t="s">
        <v>210</v>
      </c>
      <c r="J1096" s="60" t="s">
        <v>1501</v>
      </c>
      <c r="K1096" s="63" t="str">
        <f t="shared" si="112"/>
        <v>XGF-RD8AInput</v>
      </c>
      <c r="L1096" s="59">
        <f t="shared" si="113"/>
        <v>115</v>
      </c>
      <c r="M1096" s="59">
        <f t="shared" si="114"/>
        <v>99</v>
      </c>
      <c r="N1096" s="59">
        <f t="shared" si="116"/>
        <v>16</v>
      </c>
      <c r="O1096" s="60">
        <f t="shared" si="115"/>
        <v>1096</v>
      </c>
      <c r="P1096" s="65"/>
    </row>
    <row r="1097" spans="3:16">
      <c r="C1097" s="83" t="s">
        <v>76</v>
      </c>
      <c r="D1097" s="75"/>
      <c r="E1097" s="75"/>
      <c r="F1097" s="81" t="s">
        <v>151</v>
      </c>
      <c r="G1097" s="55" t="s">
        <v>1502</v>
      </c>
      <c r="H1097" s="55" t="s">
        <v>124</v>
      </c>
      <c r="I1097" s="59">
        <v>2</v>
      </c>
      <c r="J1097" s="60" t="s">
        <v>1503</v>
      </c>
      <c r="K1097" s="63" t="str">
        <f t="shared" si="112"/>
        <v>XGF-RD8AInput</v>
      </c>
      <c r="L1097" s="59">
        <f t="shared" si="113"/>
        <v>115</v>
      </c>
      <c r="M1097" s="59">
        <f t="shared" si="114"/>
        <v>99</v>
      </c>
      <c r="N1097" s="59">
        <f t="shared" si="116"/>
        <v>16</v>
      </c>
      <c r="O1097" s="60">
        <f t="shared" si="115"/>
        <v>1097</v>
      </c>
      <c r="P1097" s="65"/>
    </row>
    <row r="1098" spans="3:16">
      <c r="C1098" s="83" t="s">
        <v>76</v>
      </c>
      <c r="D1098" s="75"/>
      <c r="E1098" s="75"/>
      <c r="F1098" s="81" t="s">
        <v>151</v>
      </c>
      <c r="G1098" s="55" t="s">
        <v>1504</v>
      </c>
      <c r="H1098" s="55" t="s">
        <v>124</v>
      </c>
      <c r="I1098" s="59">
        <v>2.1</v>
      </c>
      <c r="J1098" s="60" t="s">
        <v>1505</v>
      </c>
      <c r="K1098" s="63" t="str">
        <f t="shared" si="112"/>
        <v>XGF-RD8AInput</v>
      </c>
      <c r="L1098" s="59">
        <f t="shared" si="113"/>
        <v>115</v>
      </c>
      <c r="M1098" s="59">
        <f t="shared" si="114"/>
        <v>99</v>
      </c>
      <c r="N1098" s="59">
        <f t="shared" si="116"/>
        <v>16</v>
      </c>
      <c r="O1098" s="60">
        <f t="shared" si="115"/>
        <v>1098</v>
      </c>
      <c r="P1098" s="65"/>
    </row>
    <row r="1099" spans="3:16">
      <c r="C1099" s="83" t="s">
        <v>76</v>
      </c>
      <c r="D1099" s="75"/>
      <c r="E1099" s="75"/>
      <c r="F1099" s="81" t="s">
        <v>151</v>
      </c>
      <c r="G1099" s="55" t="s">
        <v>1506</v>
      </c>
      <c r="H1099" s="55" t="s">
        <v>124</v>
      </c>
      <c r="I1099" s="59">
        <v>2.2000000000000002</v>
      </c>
      <c r="J1099" s="60" t="s">
        <v>1507</v>
      </c>
      <c r="K1099" s="63" t="str">
        <f t="shared" si="112"/>
        <v>XGF-RD8AInput</v>
      </c>
      <c r="L1099" s="59">
        <f t="shared" si="113"/>
        <v>115</v>
      </c>
      <c r="M1099" s="59">
        <f t="shared" si="114"/>
        <v>99</v>
      </c>
      <c r="N1099" s="59">
        <f t="shared" si="116"/>
        <v>16</v>
      </c>
      <c r="O1099" s="60">
        <f t="shared" si="115"/>
        <v>1099</v>
      </c>
      <c r="P1099" s="65"/>
    </row>
    <row r="1100" spans="3:16">
      <c r="C1100" s="83" t="s">
        <v>76</v>
      </c>
      <c r="D1100" s="75"/>
      <c r="E1100" s="75"/>
      <c r="F1100" s="81" t="s">
        <v>151</v>
      </c>
      <c r="G1100" s="55" t="s">
        <v>1508</v>
      </c>
      <c r="H1100" s="55" t="s">
        <v>124</v>
      </c>
      <c r="I1100" s="59">
        <v>2.2999999999999998</v>
      </c>
      <c r="J1100" s="60" t="s">
        <v>1509</v>
      </c>
      <c r="K1100" s="63" t="str">
        <f t="shared" si="112"/>
        <v>XGF-RD8AInput</v>
      </c>
      <c r="L1100" s="59">
        <f t="shared" si="113"/>
        <v>115</v>
      </c>
      <c r="M1100" s="59">
        <f t="shared" si="114"/>
        <v>99</v>
      </c>
      <c r="N1100" s="59">
        <f t="shared" si="116"/>
        <v>16</v>
      </c>
      <c r="O1100" s="60">
        <f t="shared" si="115"/>
        <v>1100</v>
      </c>
      <c r="P1100" s="65"/>
    </row>
    <row r="1101" spans="3:16">
      <c r="C1101" s="83" t="s">
        <v>76</v>
      </c>
      <c r="D1101" s="75"/>
      <c r="E1101" s="75"/>
      <c r="F1101" s="81" t="s">
        <v>151</v>
      </c>
      <c r="G1101" s="55" t="s">
        <v>1510</v>
      </c>
      <c r="H1101" s="55" t="s">
        <v>124</v>
      </c>
      <c r="I1101" s="59">
        <v>2.4</v>
      </c>
      <c r="J1101" s="60" t="s">
        <v>1511</v>
      </c>
      <c r="K1101" s="63" t="str">
        <f t="shared" si="112"/>
        <v>XGF-RD8AInput</v>
      </c>
      <c r="L1101" s="59">
        <f t="shared" si="113"/>
        <v>115</v>
      </c>
      <c r="M1101" s="59">
        <f t="shared" si="114"/>
        <v>99</v>
      </c>
      <c r="N1101" s="59">
        <f t="shared" si="116"/>
        <v>16</v>
      </c>
      <c r="O1101" s="60">
        <f t="shared" si="115"/>
        <v>1101</v>
      </c>
      <c r="P1101" s="65"/>
    </row>
    <row r="1102" spans="3:16">
      <c r="C1102" s="83" t="s">
        <v>76</v>
      </c>
      <c r="D1102" s="75"/>
      <c r="E1102" s="75"/>
      <c r="F1102" s="81" t="s">
        <v>151</v>
      </c>
      <c r="G1102" s="55" t="s">
        <v>1512</v>
      </c>
      <c r="H1102" s="55" t="s">
        <v>124</v>
      </c>
      <c r="I1102" s="59">
        <v>2.5</v>
      </c>
      <c r="J1102" s="60" t="s">
        <v>1513</v>
      </c>
      <c r="K1102" s="63" t="str">
        <f t="shared" si="112"/>
        <v>XGF-RD8AInput</v>
      </c>
      <c r="L1102" s="59">
        <f t="shared" ref="L1102:L1133" si="117">COUNTIF($C$2:$C$2062,C1102)</f>
        <v>115</v>
      </c>
      <c r="M1102" s="59">
        <f t="shared" ref="M1102:M1133" si="118">COUNTIF($K$2:$K$2062,K1102)</f>
        <v>99</v>
      </c>
      <c r="N1102" s="59">
        <f t="shared" si="116"/>
        <v>16</v>
      </c>
      <c r="O1102" s="60">
        <f t="shared" si="115"/>
        <v>1102</v>
      </c>
      <c r="P1102" s="65"/>
    </row>
    <row r="1103" spans="3:16">
      <c r="C1103" s="83" t="s">
        <v>76</v>
      </c>
      <c r="D1103" s="75"/>
      <c r="E1103" s="75"/>
      <c r="F1103" s="81" t="s">
        <v>151</v>
      </c>
      <c r="G1103" s="55" t="s">
        <v>1514</v>
      </c>
      <c r="H1103" s="55" t="s">
        <v>124</v>
      </c>
      <c r="I1103" s="59">
        <v>2.6</v>
      </c>
      <c r="J1103" s="60" t="s">
        <v>1515</v>
      </c>
      <c r="K1103" s="63" t="str">
        <f t="shared" si="112"/>
        <v>XGF-RD8AInput</v>
      </c>
      <c r="L1103" s="59">
        <f t="shared" si="117"/>
        <v>115</v>
      </c>
      <c r="M1103" s="59">
        <f t="shared" si="118"/>
        <v>99</v>
      </c>
      <c r="N1103" s="59">
        <f t="shared" si="116"/>
        <v>16</v>
      </c>
      <c r="O1103" s="60">
        <f t="shared" si="115"/>
        <v>1103</v>
      </c>
      <c r="P1103" s="65"/>
    </row>
    <row r="1104" spans="3:16">
      <c r="C1104" s="83" t="s">
        <v>76</v>
      </c>
      <c r="D1104" s="75"/>
      <c r="E1104" s="75"/>
      <c r="F1104" s="81" t="s">
        <v>151</v>
      </c>
      <c r="G1104" s="55" t="s">
        <v>1516</v>
      </c>
      <c r="H1104" s="55" t="s">
        <v>124</v>
      </c>
      <c r="I1104" s="59">
        <v>2.7</v>
      </c>
      <c r="J1104" s="60" t="s">
        <v>1517</v>
      </c>
      <c r="K1104" s="63" t="str">
        <f t="shared" si="112"/>
        <v>XGF-RD8AInput</v>
      </c>
      <c r="L1104" s="59">
        <f t="shared" si="117"/>
        <v>115</v>
      </c>
      <c r="M1104" s="59">
        <f t="shared" si="118"/>
        <v>99</v>
      </c>
      <c r="N1104" s="59">
        <f t="shared" si="116"/>
        <v>16</v>
      </c>
      <c r="O1104" s="60">
        <f t="shared" si="115"/>
        <v>1104</v>
      </c>
      <c r="P1104" s="65"/>
    </row>
    <row r="1105" spans="3:16">
      <c r="C1105" s="83" t="s">
        <v>76</v>
      </c>
      <c r="D1105" s="75"/>
      <c r="E1105" s="75"/>
      <c r="F1105" s="81" t="s">
        <v>151</v>
      </c>
      <c r="G1105" s="55" t="s">
        <v>1518</v>
      </c>
      <c r="H1105" s="55" t="s">
        <v>124</v>
      </c>
      <c r="I1105" s="59">
        <v>3</v>
      </c>
      <c r="J1105" s="60" t="s">
        <v>1519</v>
      </c>
      <c r="K1105" s="63" t="str">
        <f t="shared" si="112"/>
        <v>XGF-RD8AInput</v>
      </c>
      <c r="L1105" s="59">
        <f t="shared" si="117"/>
        <v>115</v>
      </c>
      <c r="M1105" s="59">
        <f t="shared" si="118"/>
        <v>99</v>
      </c>
      <c r="N1105" s="59">
        <f t="shared" si="116"/>
        <v>16</v>
      </c>
      <c r="O1105" s="60">
        <f t="shared" si="115"/>
        <v>1105</v>
      </c>
      <c r="P1105" s="65"/>
    </row>
    <row r="1106" spans="3:16">
      <c r="C1106" s="83" t="s">
        <v>76</v>
      </c>
      <c r="D1106" s="75"/>
      <c r="E1106" s="75"/>
      <c r="F1106" s="81" t="s">
        <v>151</v>
      </c>
      <c r="G1106" s="55" t="s">
        <v>1520</v>
      </c>
      <c r="H1106" s="55" t="s">
        <v>124</v>
      </c>
      <c r="I1106" s="59">
        <v>3.1</v>
      </c>
      <c r="J1106" s="60" t="s">
        <v>1521</v>
      </c>
      <c r="K1106" s="63" t="str">
        <f t="shared" si="112"/>
        <v>XGF-RD8AInput</v>
      </c>
      <c r="L1106" s="59">
        <f t="shared" si="117"/>
        <v>115</v>
      </c>
      <c r="M1106" s="59">
        <f t="shared" si="118"/>
        <v>99</v>
      </c>
      <c r="N1106" s="59">
        <f t="shared" si="116"/>
        <v>16</v>
      </c>
      <c r="O1106" s="60">
        <f t="shared" si="115"/>
        <v>1106</v>
      </c>
      <c r="P1106" s="65"/>
    </row>
    <row r="1107" spans="3:16">
      <c r="C1107" s="83" t="s">
        <v>76</v>
      </c>
      <c r="D1107" s="75"/>
      <c r="E1107" s="75"/>
      <c r="F1107" s="81" t="s">
        <v>151</v>
      </c>
      <c r="G1107" s="55" t="s">
        <v>1522</v>
      </c>
      <c r="H1107" s="55" t="s">
        <v>124</v>
      </c>
      <c r="I1107" s="59">
        <v>3.2</v>
      </c>
      <c r="J1107" s="60" t="s">
        <v>1523</v>
      </c>
      <c r="K1107" s="63" t="str">
        <f t="shared" si="112"/>
        <v>XGF-RD8AInput</v>
      </c>
      <c r="L1107" s="59">
        <f t="shared" si="117"/>
        <v>115</v>
      </c>
      <c r="M1107" s="59">
        <f t="shared" si="118"/>
        <v>99</v>
      </c>
      <c r="N1107" s="59">
        <f t="shared" si="116"/>
        <v>16</v>
      </c>
      <c r="O1107" s="60">
        <f t="shared" si="115"/>
        <v>1107</v>
      </c>
      <c r="P1107" s="65"/>
    </row>
    <row r="1108" spans="3:16">
      <c r="C1108" s="83" t="s">
        <v>76</v>
      </c>
      <c r="D1108" s="75"/>
      <c r="E1108" s="75"/>
      <c r="F1108" s="81" t="s">
        <v>151</v>
      </c>
      <c r="G1108" s="55" t="s">
        <v>1524</v>
      </c>
      <c r="H1108" s="55" t="s">
        <v>124</v>
      </c>
      <c r="I1108" s="59">
        <v>3.3</v>
      </c>
      <c r="J1108" s="60" t="s">
        <v>1525</v>
      </c>
      <c r="K1108" s="63" t="str">
        <f t="shared" si="112"/>
        <v>XGF-RD8AInput</v>
      </c>
      <c r="L1108" s="59">
        <f t="shared" si="117"/>
        <v>115</v>
      </c>
      <c r="M1108" s="59">
        <f t="shared" si="118"/>
        <v>99</v>
      </c>
      <c r="N1108" s="59">
        <f t="shared" si="116"/>
        <v>16</v>
      </c>
      <c r="O1108" s="60">
        <f t="shared" si="115"/>
        <v>1108</v>
      </c>
      <c r="P1108" s="65"/>
    </row>
    <row r="1109" spans="3:16">
      <c r="C1109" s="83" t="s">
        <v>76</v>
      </c>
      <c r="D1109" s="75"/>
      <c r="E1109" s="75"/>
      <c r="F1109" s="81" t="s">
        <v>151</v>
      </c>
      <c r="G1109" s="55" t="s">
        <v>1526</v>
      </c>
      <c r="H1109" s="55" t="s">
        <v>124</v>
      </c>
      <c r="I1109" s="59">
        <v>3.4</v>
      </c>
      <c r="J1109" s="60" t="s">
        <v>1527</v>
      </c>
      <c r="K1109" s="63" t="str">
        <f t="shared" ref="K1109:K1168" si="119">C1109&amp;F1109</f>
        <v>XGF-RD8AInput</v>
      </c>
      <c r="L1109" s="59">
        <f t="shared" si="117"/>
        <v>115</v>
      </c>
      <c r="M1109" s="59">
        <f t="shared" si="118"/>
        <v>99</v>
      </c>
      <c r="N1109" s="59">
        <f t="shared" si="116"/>
        <v>16</v>
      </c>
      <c r="O1109" s="60">
        <f t="shared" si="115"/>
        <v>1109</v>
      </c>
      <c r="P1109" s="65"/>
    </row>
    <row r="1110" spans="3:16">
      <c r="C1110" s="83" t="s">
        <v>76</v>
      </c>
      <c r="D1110" s="75"/>
      <c r="E1110" s="75"/>
      <c r="F1110" s="81" t="s">
        <v>151</v>
      </c>
      <c r="G1110" s="55" t="s">
        <v>1528</v>
      </c>
      <c r="H1110" s="55" t="s">
        <v>124</v>
      </c>
      <c r="I1110" s="59">
        <v>3.5</v>
      </c>
      <c r="J1110" s="60" t="s">
        <v>1529</v>
      </c>
      <c r="K1110" s="63" t="str">
        <f t="shared" si="119"/>
        <v>XGF-RD8AInput</v>
      </c>
      <c r="L1110" s="59">
        <f t="shared" si="117"/>
        <v>115</v>
      </c>
      <c r="M1110" s="59">
        <f t="shared" si="118"/>
        <v>99</v>
      </c>
      <c r="N1110" s="59">
        <f t="shared" si="116"/>
        <v>16</v>
      </c>
      <c r="O1110" s="60">
        <f t="shared" si="115"/>
        <v>1110</v>
      </c>
      <c r="P1110" s="65"/>
    </row>
    <row r="1111" spans="3:16">
      <c r="C1111" s="83" t="s">
        <v>76</v>
      </c>
      <c r="D1111" s="75"/>
      <c r="E1111" s="75"/>
      <c r="F1111" s="81" t="s">
        <v>151</v>
      </c>
      <c r="G1111" s="55" t="s">
        <v>1530</v>
      </c>
      <c r="H1111" s="55" t="s">
        <v>124</v>
      </c>
      <c r="I1111" s="59">
        <v>3.6</v>
      </c>
      <c r="J1111" s="60" t="s">
        <v>1531</v>
      </c>
      <c r="K1111" s="63" t="str">
        <f t="shared" si="119"/>
        <v>XGF-RD8AInput</v>
      </c>
      <c r="L1111" s="59">
        <f t="shared" si="117"/>
        <v>115</v>
      </c>
      <c r="M1111" s="59">
        <f t="shared" si="118"/>
        <v>99</v>
      </c>
      <c r="N1111" s="59">
        <f t="shared" si="116"/>
        <v>16</v>
      </c>
      <c r="O1111" s="60">
        <f t="shared" si="115"/>
        <v>1111</v>
      </c>
      <c r="P1111" s="65"/>
    </row>
    <row r="1112" spans="3:16">
      <c r="C1112" s="83" t="s">
        <v>76</v>
      </c>
      <c r="D1112" s="75"/>
      <c r="E1112" s="75"/>
      <c r="F1112" s="81" t="s">
        <v>151</v>
      </c>
      <c r="G1112" s="55" t="s">
        <v>1532</v>
      </c>
      <c r="H1112" s="55" t="s">
        <v>124</v>
      </c>
      <c r="I1112" s="59">
        <v>3.7</v>
      </c>
      <c r="J1112" s="60" t="s">
        <v>1533</v>
      </c>
      <c r="K1112" s="63" t="str">
        <f t="shared" si="119"/>
        <v>XGF-RD8AInput</v>
      </c>
      <c r="L1112" s="59">
        <f t="shared" si="117"/>
        <v>115</v>
      </c>
      <c r="M1112" s="59">
        <f t="shared" si="118"/>
        <v>99</v>
      </c>
      <c r="N1112" s="59">
        <f t="shared" si="116"/>
        <v>16</v>
      </c>
      <c r="O1112" s="60">
        <f t="shared" si="115"/>
        <v>1112</v>
      </c>
      <c r="P1112" s="65"/>
    </row>
    <row r="1113" spans="3:16">
      <c r="C1113" s="83" t="s">
        <v>76</v>
      </c>
      <c r="D1113" s="75"/>
      <c r="E1113" s="75"/>
      <c r="F1113" s="81" t="s">
        <v>151</v>
      </c>
      <c r="G1113" s="55" t="s">
        <v>1534</v>
      </c>
      <c r="H1113" s="55" t="s">
        <v>124</v>
      </c>
      <c r="I1113" s="59">
        <v>3.8</v>
      </c>
      <c r="J1113" s="60" t="s">
        <v>1535</v>
      </c>
      <c r="K1113" s="63" t="str">
        <f t="shared" si="119"/>
        <v>XGF-RD8AInput</v>
      </c>
      <c r="L1113" s="59">
        <f t="shared" si="117"/>
        <v>115</v>
      </c>
      <c r="M1113" s="59">
        <f t="shared" si="118"/>
        <v>99</v>
      </c>
      <c r="N1113" s="59">
        <f t="shared" si="116"/>
        <v>16</v>
      </c>
      <c r="O1113" s="60">
        <f t="shared" si="115"/>
        <v>1113</v>
      </c>
      <c r="P1113" s="65"/>
    </row>
    <row r="1114" spans="3:16">
      <c r="C1114" s="83" t="s">
        <v>76</v>
      </c>
      <c r="D1114" s="75"/>
      <c r="E1114" s="75"/>
      <c r="F1114" s="81" t="s">
        <v>151</v>
      </c>
      <c r="G1114" s="55" t="s">
        <v>1536</v>
      </c>
      <c r="H1114" s="55" t="s">
        <v>124</v>
      </c>
      <c r="I1114" s="59">
        <v>3.9</v>
      </c>
      <c r="J1114" s="60" t="s">
        <v>1537</v>
      </c>
      <c r="K1114" s="63" t="str">
        <f t="shared" si="119"/>
        <v>XGF-RD8AInput</v>
      </c>
      <c r="L1114" s="59">
        <f t="shared" si="117"/>
        <v>115</v>
      </c>
      <c r="M1114" s="59">
        <f t="shared" si="118"/>
        <v>99</v>
      </c>
      <c r="N1114" s="59">
        <f t="shared" si="116"/>
        <v>16</v>
      </c>
      <c r="O1114" s="60">
        <f t="shared" si="115"/>
        <v>1114</v>
      </c>
      <c r="P1114" s="65"/>
    </row>
    <row r="1115" spans="3:16">
      <c r="C1115" s="83" t="s">
        <v>76</v>
      </c>
      <c r="D1115" s="75"/>
      <c r="E1115" s="75"/>
      <c r="F1115" s="81" t="s">
        <v>151</v>
      </c>
      <c r="G1115" s="55" t="s">
        <v>1538</v>
      </c>
      <c r="H1115" s="55" t="s">
        <v>124</v>
      </c>
      <c r="I1115" s="59" t="s">
        <v>1300</v>
      </c>
      <c r="J1115" s="60" t="s">
        <v>1539</v>
      </c>
      <c r="K1115" s="63" t="str">
        <f t="shared" si="119"/>
        <v>XGF-RD8AInput</v>
      </c>
      <c r="L1115" s="59">
        <f t="shared" si="117"/>
        <v>115</v>
      </c>
      <c r="M1115" s="59">
        <f t="shared" si="118"/>
        <v>99</v>
      </c>
      <c r="N1115" s="59">
        <f t="shared" si="116"/>
        <v>16</v>
      </c>
      <c r="O1115" s="60">
        <f t="shared" si="115"/>
        <v>1115</v>
      </c>
      <c r="P1115" s="65"/>
    </row>
    <row r="1116" spans="3:16">
      <c r="C1116" s="83" t="s">
        <v>76</v>
      </c>
      <c r="D1116" s="75"/>
      <c r="E1116" s="75"/>
      <c r="F1116" s="81" t="s">
        <v>151</v>
      </c>
      <c r="G1116" s="55" t="s">
        <v>1540</v>
      </c>
      <c r="H1116" s="55" t="s">
        <v>124</v>
      </c>
      <c r="I1116" s="59" t="s">
        <v>1303</v>
      </c>
      <c r="J1116" s="60" t="s">
        <v>1541</v>
      </c>
      <c r="K1116" s="63" t="str">
        <f t="shared" si="119"/>
        <v>XGF-RD8AInput</v>
      </c>
      <c r="L1116" s="59">
        <f t="shared" si="117"/>
        <v>115</v>
      </c>
      <c r="M1116" s="59">
        <f t="shared" si="118"/>
        <v>99</v>
      </c>
      <c r="N1116" s="59">
        <f t="shared" si="116"/>
        <v>16</v>
      </c>
      <c r="O1116" s="60">
        <f t="shared" si="115"/>
        <v>1116</v>
      </c>
      <c r="P1116" s="65"/>
    </row>
    <row r="1117" spans="3:16">
      <c r="C1117" s="83" t="s">
        <v>76</v>
      </c>
      <c r="D1117" s="75"/>
      <c r="E1117" s="75"/>
      <c r="F1117" s="81" t="s">
        <v>151</v>
      </c>
      <c r="G1117" s="55" t="s">
        <v>1542</v>
      </c>
      <c r="H1117" s="55" t="s">
        <v>124</v>
      </c>
      <c r="I1117" s="59" t="s">
        <v>1306</v>
      </c>
      <c r="J1117" s="60" t="s">
        <v>1543</v>
      </c>
      <c r="K1117" s="63" t="str">
        <f t="shared" si="119"/>
        <v>XGF-RD8AInput</v>
      </c>
      <c r="L1117" s="59">
        <f t="shared" si="117"/>
        <v>115</v>
      </c>
      <c r="M1117" s="59">
        <f t="shared" si="118"/>
        <v>99</v>
      </c>
      <c r="N1117" s="59">
        <f t="shared" si="116"/>
        <v>16</v>
      </c>
      <c r="O1117" s="60">
        <f t="shared" si="115"/>
        <v>1117</v>
      </c>
      <c r="P1117" s="65"/>
    </row>
    <row r="1118" spans="3:16">
      <c r="C1118" s="83" t="s">
        <v>76</v>
      </c>
      <c r="D1118" s="75"/>
      <c r="E1118" s="75"/>
      <c r="F1118" s="81" t="s">
        <v>151</v>
      </c>
      <c r="G1118" s="55" t="s">
        <v>1544</v>
      </c>
      <c r="H1118" s="55" t="s">
        <v>124</v>
      </c>
      <c r="I1118" s="59" t="s">
        <v>1441</v>
      </c>
      <c r="J1118" s="60" t="s">
        <v>1545</v>
      </c>
      <c r="K1118" s="63" t="str">
        <f t="shared" si="119"/>
        <v>XGF-RD8AInput</v>
      </c>
      <c r="L1118" s="59">
        <f t="shared" si="117"/>
        <v>115</v>
      </c>
      <c r="M1118" s="59">
        <f t="shared" si="118"/>
        <v>99</v>
      </c>
      <c r="N1118" s="59">
        <f t="shared" si="116"/>
        <v>16</v>
      </c>
      <c r="O1118" s="60">
        <f t="shared" si="115"/>
        <v>1118</v>
      </c>
      <c r="P1118" s="65"/>
    </row>
    <row r="1119" spans="3:16">
      <c r="C1119" s="83" t="s">
        <v>76</v>
      </c>
      <c r="D1119" s="75"/>
      <c r="E1119" s="75"/>
      <c r="F1119" s="81" t="s">
        <v>151</v>
      </c>
      <c r="G1119" s="55" t="s">
        <v>1546</v>
      </c>
      <c r="H1119" s="55" t="s">
        <v>124</v>
      </c>
      <c r="I1119" s="59" t="s">
        <v>1309</v>
      </c>
      <c r="J1119" s="60" t="s">
        <v>1547</v>
      </c>
      <c r="K1119" s="63" t="str">
        <f t="shared" si="119"/>
        <v>XGF-RD8AInput</v>
      </c>
      <c r="L1119" s="59">
        <f t="shared" si="117"/>
        <v>115</v>
      </c>
      <c r="M1119" s="59">
        <f t="shared" si="118"/>
        <v>99</v>
      </c>
      <c r="N1119" s="59">
        <f t="shared" si="116"/>
        <v>16</v>
      </c>
      <c r="O1119" s="60">
        <f t="shared" si="115"/>
        <v>1119</v>
      </c>
      <c r="P1119" s="65"/>
    </row>
    <row r="1120" spans="3:16">
      <c r="C1120" s="83" t="s">
        <v>76</v>
      </c>
      <c r="D1120" s="75"/>
      <c r="E1120" s="75"/>
      <c r="F1120" s="81" t="s">
        <v>151</v>
      </c>
      <c r="G1120" s="55" t="s">
        <v>1548</v>
      </c>
      <c r="H1120" s="55" t="s">
        <v>124</v>
      </c>
      <c r="I1120" s="59" t="s">
        <v>1446</v>
      </c>
      <c r="J1120" s="60" t="s">
        <v>1549</v>
      </c>
      <c r="K1120" s="63" t="str">
        <f t="shared" si="119"/>
        <v>XGF-RD8AInput</v>
      </c>
      <c r="L1120" s="59">
        <f t="shared" si="117"/>
        <v>115</v>
      </c>
      <c r="M1120" s="59">
        <f t="shared" si="118"/>
        <v>99</v>
      </c>
      <c r="N1120" s="59">
        <f t="shared" si="116"/>
        <v>16</v>
      </c>
      <c r="O1120" s="60">
        <f t="shared" si="115"/>
        <v>1120</v>
      </c>
      <c r="P1120" s="65"/>
    </row>
    <row r="1121" spans="3:16">
      <c r="C1121" s="83" t="s">
        <v>76</v>
      </c>
      <c r="D1121" s="75"/>
      <c r="E1121" s="75"/>
      <c r="F1121" s="81" t="s">
        <v>151</v>
      </c>
      <c r="G1121" s="55" t="s">
        <v>1550</v>
      </c>
      <c r="H1121" s="55" t="s">
        <v>124</v>
      </c>
      <c r="I1121" s="59">
        <v>4</v>
      </c>
      <c r="J1121" s="60" t="s">
        <v>1551</v>
      </c>
      <c r="K1121" s="63" t="str">
        <f t="shared" si="119"/>
        <v>XGF-RD8AInput</v>
      </c>
      <c r="L1121" s="59">
        <f t="shared" si="117"/>
        <v>115</v>
      </c>
      <c r="M1121" s="59">
        <f t="shared" si="118"/>
        <v>99</v>
      </c>
      <c r="N1121" s="59">
        <f t="shared" si="116"/>
        <v>16</v>
      </c>
      <c r="O1121" s="60">
        <f t="shared" si="115"/>
        <v>1121</v>
      </c>
      <c r="P1121" s="65"/>
    </row>
    <row r="1122" spans="3:16">
      <c r="C1122" s="83" t="s">
        <v>76</v>
      </c>
      <c r="D1122" s="75"/>
      <c r="E1122" s="75"/>
      <c r="F1122" s="81" t="s">
        <v>151</v>
      </c>
      <c r="G1122" s="55" t="s">
        <v>1552</v>
      </c>
      <c r="H1122" s="55" t="s">
        <v>124</v>
      </c>
      <c r="I1122" s="59">
        <v>4.0999999999999996</v>
      </c>
      <c r="J1122" s="60" t="s">
        <v>1553</v>
      </c>
      <c r="K1122" s="63" t="str">
        <f t="shared" si="119"/>
        <v>XGF-RD8AInput</v>
      </c>
      <c r="L1122" s="59">
        <f t="shared" si="117"/>
        <v>115</v>
      </c>
      <c r="M1122" s="59">
        <f t="shared" si="118"/>
        <v>99</v>
      </c>
      <c r="N1122" s="59">
        <f t="shared" si="116"/>
        <v>16</v>
      </c>
      <c r="O1122" s="60">
        <f t="shared" si="115"/>
        <v>1122</v>
      </c>
      <c r="P1122" s="65"/>
    </row>
    <row r="1123" spans="3:16">
      <c r="C1123" s="83" t="s">
        <v>76</v>
      </c>
      <c r="D1123" s="75"/>
      <c r="E1123" s="75"/>
      <c r="F1123" s="81" t="s">
        <v>151</v>
      </c>
      <c r="G1123" s="55" t="s">
        <v>1554</v>
      </c>
      <c r="H1123" s="55" t="s">
        <v>124</v>
      </c>
      <c r="I1123" s="59">
        <v>4.2</v>
      </c>
      <c r="J1123" s="60" t="s">
        <v>1555</v>
      </c>
      <c r="K1123" s="63" t="str">
        <f t="shared" si="119"/>
        <v>XGF-RD8AInput</v>
      </c>
      <c r="L1123" s="59">
        <f t="shared" si="117"/>
        <v>115</v>
      </c>
      <c r="M1123" s="59">
        <f t="shared" si="118"/>
        <v>99</v>
      </c>
      <c r="N1123" s="59">
        <f t="shared" si="116"/>
        <v>16</v>
      </c>
      <c r="O1123" s="60">
        <f t="shared" si="115"/>
        <v>1123</v>
      </c>
      <c r="P1123" s="65"/>
    </row>
    <row r="1124" spans="3:16">
      <c r="C1124" s="83" t="s">
        <v>76</v>
      </c>
      <c r="D1124" s="75"/>
      <c r="E1124" s="75"/>
      <c r="F1124" s="81" t="s">
        <v>151</v>
      </c>
      <c r="G1124" s="55" t="s">
        <v>1556</v>
      </c>
      <c r="H1124" s="55" t="s">
        <v>124</v>
      </c>
      <c r="I1124" s="59">
        <v>4.3</v>
      </c>
      <c r="J1124" s="60" t="s">
        <v>1557</v>
      </c>
      <c r="K1124" s="63" t="str">
        <f t="shared" si="119"/>
        <v>XGF-RD8AInput</v>
      </c>
      <c r="L1124" s="59">
        <f t="shared" si="117"/>
        <v>115</v>
      </c>
      <c r="M1124" s="59">
        <f t="shared" si="118"/>
        <v>99</v>
      </c>
      <c r="N1124" s="59">
        <f t="shared" si="116"/>
        <v>16</v>
      </c>
      <c r="O1124" s="60">
        <f t="shared" si="115"/>
        <v>1124</v>
      </c>
      <c r="P1124" s="65"/>
    </row>
    <row r="1125" spans="3:16">
      <c r="C1125" s="83" t="s">
        <v>76</v>
      </c>
      <c r="D1125" s="75"/>
      <c r="E1125" s="75"/>
      <c r="F1125" s="81" t="s">
        <v>151</v>
      </c>
      <c r="G1125" s="55" t="s">
        <v>1558</v>
      </c>
      <c r="H1125" s="55" t="s">
        <v>124</v>
      </c>
      <c r="I1125" s="59">
        <v>4.4000000000000004</v>
      </c>
      <c r="J1125" s="60" t="s">
        <v>1559</v>
      </c>
      <c r="K1125" s="63" t="str">
        <f t="shared" si="119"/>
        <v>XGF-RD8AInput</v>
      </c>
      <c r="L1125" s="59">
        <f t="shared" si="117"/>
        <v>115</v>
      </c>
      <c r="M1125" s="59">
        <f t="shared" si="118"/>
        <v>99</v>
      </c>
      <c r="N1125" s="59">
        <f t="shared" si="116"/>
        <v>16</v>
      </c>
      <c r="O1125" s="60">
        <f t="shared" si="115"/>
        <v>1125</v>
      </c>
      <c r="P1125" s="65"/>
    </row>
    <row r="1126" spans="3:16">
      <c r="C1126" s="83" t="s">
        <v>76</v>
      </c>
      <c r="D1126" s="75"/>
      <c r="E1126" s="75"/>
      <c r="F1126" s="81" t="s">
        <v>151</v>
      </c>
      <c r="G1126" s="55" t="s">
        <v>1560</v>
      </c>
      <c r="H1126" s="55" t="s">
        <v>124</v>
      </c>
      <c r="I1126" s="59">
        <v>4.5</v>
      </c>
      <c r="J1126" s="60" t="s">
        <v>1561</v>
      </c>
      <c r="K1126" s="63" t="str">
        <f t="shared" si="119"/>
        <v>XGF-RD8AInput</v>
      </c>
      <c r="L1126" s="59">
        <f t="shared" si="117"/>
        <v>115</v>
      </c>
      <c r="M1126" s="59">
        <f t="shared" si="118"/>
        <v>99</v>
      </c>
      <c r="N1126" s="59">
        <f t="shared" si="116"/>
        <v>16</v>
      </c>
      <c r="O1126" s="60">
        <f t="shared" si="115"/>
        <v>1126</v>
      </c>
      <c r="P1126" s="65"/>
    </row>
    <row r="1127" spans="3:16">
      <c r="C1127" s="83" t="s">
        <v>76</v>
      </c>
      <c r="D1127" s="75"/>
      <c r="E1127" s="75"/>
      <c r="F1127" s="81" t="s">
        <v>151</v>
      </c>
      <c r="G1127" s="55" t="s">
        <v>1562</v>
      </c>
      <c r="H1127" s="55" t="s">
        <v>124</v>
      </c>
      <c r="I1127" s="59">
        <v>4.5999999999999996</v>
      </c>
      <c r="J1127" s="60" t="s">
        <v>1563</v>
      </c>
      <c r="K1127" s="63" t="str">
        <f t="shared" si="119"/>
        <v>XGF-RD8AInput</v>
      </c>
      <c r="L1127" s="59">
        <f t="shared" si="117"/>
        <v>115</v>
      </c>
      <c r="M1127" s="59">
        <f t="shared" si="118"/>
        <v>99</v>
      </c>
      <c r="N1127" s="59">
        <f t="shared" si="116"/>
        <v>16</v>
      </c>
      <c r="O1127" s="60">
        <f t="shared" si="115"/>
        <v>1127</v>
      </c>
      <c r="P1127" s="65"/>
    </row>
    <row r="1128" spans="3:16">
      <c r="C1128" s="83" t="s">
        <v>76</v>
      </c>
      <c r="D1128" s="75"/>
      <c r="E1128" s="75"/>
      <c r="F1128" s="81" t="s">
        <v>151</v>
      </c>
      <c r="G1128" s="55" t="s">
        <v>1564</v>
      </c>
      <c r="H1128" s="55" t="s">
        <v>124</v>
      </c>
      <c r="I1128" s="59">
        <v>4.7</v>
      </c>
      <c r="J1128" s="60" t="s">
        <v>1565</v>
      </c>
      <c r="K1128" s="63" t="str">
        <f t="shared" si="119"/>
        <v>XGF-RD8AInput</v>
      </c>
      <c r="L1128" s="59">
        <f t="shared" si="117"/>
        <v>115</v>
      </c>
      <c r="M1128" s="59">
        <f t="shared" si="118"/>
        <v>99</v>
      </c>
      <c r="N1128" s="59">
        <f t="shared" si="116"/>
        <v>16</v>
      </c>
      <c r="O1128" s="60">
        <f t="shared" si="115"/>
        <v>1128</v>
      </c>
      <c r="P1128" s="65"/>
    </row>
    <row r="1129" spans="3:16">
      <c r="C1129" s="83" t="s">
        <v>76</v>
      </c>
      <c r="D1129" s="75"/>
      <c r="E1129" s="75"/>
      <c r="F1129" s="81" t="s">
        <v>151</v>
      </c>
      <c r="G1129" s="55" t="s">
        <v>1566</v>
      </c>
      <c r="H1129" s="55" t="s">
        <v>124</v>
      </c>
      <c r="I1129" s="59">
        <v>4.8</v>
      </c>
      <c r="J1129" s="60" t="s">
        <v>1567</v>
      </c>
      <c r="K1129" s="63" t="str">
        <f t="shared" si="119"/>
        <v>XGF-RD8AInput</v>
      </c>
      <c r="L1129" s="59">
        <f t="shared" si="117"/>
        <v>115</v>
      </c>
      <c r="M1129" s="59">
        <f t="shared" si="118"/>
        <v>99</v>
      </c>
      <c r="N1129" s="59">
        <f t="shared" si="116"/>
        <v>16</v>
      </c>
      <c r="O1129" s="60">
        <f t="shared" si="115"/>
        <v>1129</v>
      </c>
      <c r="P1129" s="65"/>
    </row>
    <row r="1130" spans="3:16">
      <c r="C1130" s="83" t="s">
        <v>76</v>
      </c>
      <c r="D1130" s="75"/>
      <c r="E1130" s="75"/>
      <c r="F1130" s="81" t="s">
        <v>151</v>
      </c>
      <c r="G1130" s="55" t="s">
        <v>1568</v>
      </c>
      <c r="H1130" s="55" t="s">
        <v>124</v>
      </c>
      <c r="I1130" s="59">
        <v>4.9000000000000004</v>
      </c>
      <c r="J1130" s="60" t="s">
        <v>1569</v>
      </c>
      <c r="K1130" s="63" t="str">
        <f t="shared" si="119"/>
        <v>XGF-RD8AInput</v>
      </c>
      <c r="L1130" s="59">
        <f t="shared" si="117"/>
        <v>115</v>
      </c>
      <c r="M1130" s="59">
        <f t="shared" si="118"/>
        <v>99</v>
      </c>
      <c r="N1130" s="59">
        <f t="shared" si="116"/>
        <v>16</v>
      </c>
      <c r="O1130" s="60">
        <f t="shared" si="115"/>
        <v>1130</v>
      </c>
      <c r="P1130" s="65"/>
    </row>
    <row r="1131" spans="3:16">
      <c r="C1131" s="83" t="s">
        <v>76</v>
      </c>
      <c r="D1131" s="75"/>
      <c r="E1131" s="75"/>
      <c r="F1131" s="81" t="s">
        <v>151</v>
      </c>
      <c r="G1131" s="55" t="s">
        <v>1570</v>
      </c>
      <c r="H1131" s="55" t="s">
        <v>124</v>
      </c>
      <c r="I1131" s="59" t="s">
        <v>1571</v>
      </c>
      <c r="J1131" s="60" t="s">
        <v>1572</v>
      </c>
      <c r="K1131" s="63" t="str">
        <f t="shared" si="119"/>
        <v>XGF-RD8AInput</v>
      </c>
      <c r="L1131" s="59">
        <f t="shared" si="117"/>
        <v>115</v>
      </c>
      <c r="M1131" s="59">
        <f t="shared" si="118"/>
        <v>99</v>
      </c>
      <c r="N1131" s="59">
        <f t="shared" si="116"/>
        <v>16</v>
      </c>
      <c r="O1131" s="60">
        <f t="shared" si="115"/>
        <v>1131</v>
      </c>
      <c r="P1131" s="65"/>
    </row>
    <row r="1132" spans="3:16">
      <c r="C1132" s="83" t="s">
        <v>76</v>
      </c>
      <c r="D1132" s="75"/>
      <c r="E1132" s="75"/>
      <c r="F1132" s="81" t="s">
        <v>151</v>
      </c>
      <c r="G1132" s="55" t="s">
        <v>1573</v>
      </c>
      <c r="H1132" s="55" t="s">
        <v>124</v>
      </c>
      <c r="I1132" s="59" t="s">
        <v>1574</v>
      </c>
      <c r="J1132" s="60" t="s">
        <v>1575</v>
      </c>
      <c r="K1132" s="63" t="str">
        <f t="shared" si="119"/>
        <v>XGF-RD8AInput</v>
      </c>
      <c r="L1132" s="59">
        <f t="shared" si="117"/>
        <v>115</v>
      </c>
      <c r="M1132" s="59">
        <f t="shared" si="118"/>
        <v>99</v>
      </c>
      <c r="N1132" s="59">
        <f t="shared" si="116"/>
        <v>16</v>
      </c>
      <c r="O1132" s="60">
        <f t="shared" si="115"/>
        <v>1132</v>
      </c>
      <c r="P1132" s="65"/>
    </row>
    <row r="1133" spans="3:16">
      <c r="C1133" s="83" t="s">
        <v>76</v>
      </c>
      <c r="D1133" s="75"/>
      <c r="E1133" s="75"/>
      <c r="F1133" s="81" t="s">
        <v>151</v>
      </c>
      <c r="G1133" s="55" t="s">
        <v>1576</v>
      </c>
      <c r="H1133" s="55" t="s">
        <v>124</v>
      </c>
      <c r="I1133" s="59" t="s">
        <v>1577</v>
      </c>
      <c r="J1133" s="60" t="s">
        <v>1578</v>
      </c>
      <c r="K1133" s="63" t="str">
        <f t="shared" si="119"/>
        <v>XGF-RD8AInput</v>
      </c>
      <c r="L1133" s="59">
        <f t="shared" si="117"/>
        <v>115</v>
      </c>
      <c r="M1133" s="59">
        <f t="shared" si="118"/>
        <v>99</v>
      </c>
      <c r="N1133" s="59">
        <f t="shared" si="116"/>
        <v>16</v>
      </c>
      <c r="O1133" s="60">
        <f t="shared" si="115"/>
        <v>1133</v>
      </c>
      <c r="P1133" s="65"/>
    </row>
    <row r="1134" spans="3:16">
      <c r="C1134" s="83" t="s">
        <v>76</v>
      </c>
      <c r="D1134" s="75"/>
      <c r="E1134" s="75"/>
      <c r="F1134" s="81" t="s">
        <v>151</v>
      </c>
      <c r="G1134" s="55" t="s">
        <v>1579</v>
      </c>
      <c r="H1134" s="55" t="s">
        <v>124</v>
      </c>
      <c r="I1134" s="59" t="s">
        <v>1580</v>
      </c>
      <c r="J1134" s="60" t="s">
        <v>1581</v>
      </c>
      <c r="K1134" s="63" t="str">
        <f t="shared" si="119"/>
        <v>XGF-RD8AInput</v>
      </c>
      <c r="L1134" s="59">
        <f t="shared" ref="L1134:L1168" si="120">COUNTIF($C$2:$C$2062,C1134)</f>
        <v>115</v>
      </c>
      <c r="M1134" s="59">
        <f t="shared" ref="M1134:M1168" si="121">COUNTIF($K$2:$K$2062,K1134)</f>
        <v>99</v>
      </c>
      <c r="N1134" s="59">
        <f t="shared" si="116"/>
        <v>16</v>
      </c>
      <c r="O1134" s="60">
        <f t="shared" si="115"/>
        <v>1134</v>
      </c>
      <c r="P1134" s="65"/>
    </row>
    <row r="1135" spans="3:16">
      <c r="C1135" s="83" t="s">
        <v>76</v>
      </c>
      <c r="D1135" s="75"/>
      <c r="E1135" s="75"/>
      <c r="F1135" s="81" t="s">
        <v>151</v>
      </c>
      <c r="G1135" s="55" t="s">
        <v>1582</v>
      </c>
      <c r="H1135" s="55" t="s">
        <v>124</v>
      </c>
      <c r="I1135" s="59" t="s">
        <v>1583</v>
      </c>
      <c r="J1135" s="60" t="s">
        <v>1584</v>
      </c>
      <c r="K1135" s="63" t="str">
        <f t="shared" si="119"/>
        <v>XGF-RD8AInput</v>
      </c>
      <c r="L1135" s="59">
        <f t="shared" si="120"/>
        <v>115</v>
      </c>
      <c r="M1135" s="59">
        <f t="shared" si="121"/>
        <v>99</v>
      </c>
      <c r="N1135" s="59">
        <f t="shared" si="116"/>
        <v>16</v>
      </c>
      <c r="O1135" s="60">
        <f t="shared" si="115"/>
        <v>1135</v>
      </c>
      <c r="P1135" s="65"/>
    </row>
    <row r="1136" spans="3:16">
      <c r="C1136" s="83" t="s">
        <v>76</v>
      </c>
      <c r="D1136" s="75"/>
      <c r="E1136" s="75"/>
      <c r="F1136" s="81" t="s">
        <v>151</v>
      </c>
      <c r="G1136" s="55" t="s">
        <v>1585</v>
      </c>
      <c r="H1136" s="55" t="s">
        <v>124</v>
      </c>
      <c r="I1136" s="59" t="s">
        <v>1586</v>
      </c>
      <c r="J1136" s="60" t="s">
        <v>1587</v>
      </c>
      <c r="K1136" s="63" t="str">
        <f t="shared" si="119"/>
        <v>XGF-RD8AInput</v>
      </c>
      <c r="L1136" s="59">
        <f t="shared" si="120"/>
        <v>115</v>
      </c>
      <c r="M1136" s="59">
        <f t="shared" si="121"/>
        <v>99</v>
      </c>
      <c r="N1136" s="59">
        <f t="shared" si="116"/>
        <v>16</v>
      </c>
      <c r="O1136" s="60">
        <f t="shared" si="115"/>
        <v>1136</v>
      </c>
      <c r="P1136" s="65"/>
    </row>
    <row r="1137" spans="3:16">
      <c r="C1137" s="83" t="s">
        <v>76</v>
      </c>
      <c r="D1137" s="75"/>
      <c r="E1137" s="75"/>
      <c r="F1137" s="81" t="s">
        <v>151</v>
      </c>
      <c r="G1137" s="55" t="s">
        <v>1588</v>
      </c>
      <c r="H1137" s="55" t="s">
        <v>124</v>
      </c>
      <c r="I1137" s="59">
        <v>5</v>
      </c>
      <c r="J1137" s="60" t="s">
        <v>1589</v>
      </c>
      <c r="K1137" s="63" t="str">
        <f t="shared" si="119"/>
        <v>XGF-RD8AInput</v>
      </c>
      <c r="L1137" s="59">
        <f t="shared" si="120"/>
        <v>115</v>
      </c>
      <c r="M1137" s="59">
        <f t="shared" si="121"/>
        <v>99</v>
      </c>
      <c r="N1137" s="59">
        <f t="shared" si="116"/>
        <v>16</v>
      </c>
      <c r="O1137" s="60">
        <f t="shared" si="115"/>
        <v>1137</v>
      </c>
      <c r="P1137" s="65"/>
    </row>
    <row r="1138" spans="3:16">
      <c r="C1138" s="83" t="s">
        <v>76</v>
      </c>
      <c r="D1138" s="75"/>
      <c r="E1138" s="75"/>
      <c r="F1138" s="81" t="s">
        <v>151</v>
      </c>
      <c r="G1138" s="55" t="s">
        <v>1590</v>
      </c>
      <c r="H1138" s="55" t="s">
        <v>124</v>
      </c>
      <c r="I1138" s="59">
        <v>5.0999999999999996</v>
      </c>
      <c r="J1138" s="60" t="s">
        <v>1591</v>
      </c>
      <c r="K1138" s="63" t="str">
        <f t="shared" si="119"/>
        <v>XGF-RD8AInput</v>
      </c>
      <c r="L1138" s="59">
        <f t="shared" si="120"/>
        <v>115</v>
      </c>
      <c r="M1138" s="59">
        <f t="shared" si="121"/>
        <v>99</v>
      </c>
      <c r="N1138" s="59">
        <f t="shared" si="116"/>
        <v>16</v>
      </c>
      <c r="O1138" s="60">
        <f t="shared" si="115"/>
        <v>1138</v>
      </c>
      <c r="P1138" s="65"/>
    </row>
    <row r="1139" spans="3:16">
      <c r="C1139" s="83" t="s">
        <v>76</v>
      </c>
      <c r="D1139" s="75"/>
      <c r="E1139" s="75"/>
      <c r="F1139" s="81" t="s">
        <v>151</v>
      </c>
      <c r="G1139" s="55" t="s">
        <v>1592</v>
      </c>
      <c r="H1139" s="55" t="s">
        <v>124</v>
      </c>
      <c r="I1139" s="59">
        <v>5.2</v>
      </c>
      <c r="J1139" s="60" t="s">
        <v>1593</v>
      </c>
      <c r="K1139" s="63" t="str">
        <f t="shared" si="119"/>
        <v>XGF-RD8AInput</v>
      </c>
      <c r="L1139" s="59">
        <f t="shared" si="120"/>
        <v>115</v>
      </c>
      <c r="M1139" s="59">
        <f t="shared" si="121"/>
        <v>99</v>
      </c>
      <c r="N1139" s="59">
        <f t="shared" si="116"/>
        <v>16</v>
      </c>
      <c r="O1139" s="60">
        <f t="shared" si="115"/>
        <v>1139</v>
      </c>
      <c r="P1139" s="65"/>
    </row>
    <row r="1140" spans="3:16">
      <c r="C1140" s="83" t="s">
        <v>76</v>
      </c>
      <c r="D1140" s="75"/>
      <c r="E1140" s="75"/>
      <c r="F1140" s="81" t="s">
        <v>151</v>
      </c>
      <c r="G1140" s="55" t="s">
        <v>1594</v>
      </c>
      <c r="H1140" s="55" t="s">
        <v>124</v>
      </c>
      <c r="I1140" s="59">
        <v>5.3</v>
      </c>
      <c r="J1140" s="60" t="s">
        <v>1595</v>
      </c>
      <c r="K1140" s="63" t="str">
        <f t="shared" si="119"/>
        <v>XGF-RD8AInput</v>
      </c>
      <c r="L1140" s="59">
        <f t="shared" si="120"/>
        <v>115</v>
      </c>
      <c r="M1140" s="59">
        <f t="shared" si="121"/>
        <v>99</v>
      </c>
      <c r="N1140" s="59">
        <f t="shared" si="116"/>
        <v>16</v>
      </c>
      <c r="O1140" s="60">
        <f t="shared" si="115"/>
        <v>1140</v>
      </c>
      <c r="P1140" s="65"/>
    </row>
    <row r="1141" spans="3:16">
      <c r="C1141" s="83" t="s">
        <v>76</v>
      </c>
      <c r="D1141" s="75"/>
      <c r="E1141" s="75"/>
      <c r="F1141" s="81" t="s">
        <v>151</v>
      </c>
      <c r="G1141" s="55" t="s">
        <v>1596</v>
      </c>
      <c r="H1141" s="55" t="s">
        <v>124</v>
      </c>
      <c r="I1141" s="59">
        <v>5.4</v>
      </c>
      <c r="J1141" s="60" t="s">
        <v>1597</v>
      </c>
      <c r="K1141" s="63" t="str">
        <f t="shared" si="119"/>
        <v>XGF-RD8AInput</v>
      </c>
      <c r="L1141" s="59">
        <f t="shared" si="120"/>
        <v>115</v>
      </c>
      <c r="M1141" s="59">
        <f t="shared" si="121"/>
        <v>99</v>
      </c>
      <c r="N1141" s="59">
        <f t="shared" si="116"/>
        <v>16</v>
      </c>
      <c r="O1141" s="60">
        <f t="shared" si="115"/>
        <v>1141</v>
      </c>
      <c r="P1141" s="65"/>
    </row>
    <row r="1142" spans="3:16">
      <c r="C1142" s="83" t="s">
        <v>76</v>
      </c>
      <c r="D1142" s="75"/>
      <c r="E1142" s="75"/>
      <c r="F1142" s="81" t="s">
        <v>151</v>
      </c>
      <c r="G1142" s="55" t="s">
        <v>1598</v>
      </c>
      <c r="H1142" s="55" t="s">
        <v>124</v>
      </c>
      <c r="I1142" s="59">
        <v>5.5</v>
      </c>
      <c r="J1142" s="60" t="s">
        <v>1599</v>
      </c>
      <c r="K1142" s="63" t="str">
        <f t="shared" si="119"/>
        <v>XGF-RD8AInput</v>
      </c>
      <c r="L1142" s="59">
        <f t="shared" si="120"/>
        <v>115</v>
      </c>
      <c r="M1142" s="59">
        <f t="shared" si="121"/>
        <v>99</v>
      </c>
      <c r="N1142" s="59">
        <f t="shared" si="116"/>
        <v>16</v>
      </c>
      <c r="O1142" s="60">
        <f t="shared" si="115"/>
        <v>1142</v>
      </c>
      <c r="P1142" s="65"/>
    </row>
    <row r="1143" spans="3:16">
      <c r="C1143" s="83" t="s">
        <v>76</v>
      </c>
      <c r="D1143" s="75"/>
      <c r="E1143" s="75"/>
      <c r="F1143" s="81" t="s">
        <v>151</v>
      </c>
      <c r="G1143" s="55" t="s">
        <v>1600</v>
      </c>
      <c r="H1143" s="55" t="s">
        <v>124</v>
      </c>
      <c r="I1143" s="59">
        <v>5.6</v>
      </c>
      <c r="J1143" s="60" t="s">
        <v>1601</v>
      </c>
      <c r="K1143" s="63" t="str">
        <f t="shared" si="119"/>
        <v>XGF-RD8AInput</v>
      </c>
      <c r="L1143" s="59">
        <f t="shared" si="120"/>
        <v>115</v>
      </c>
      <c r="M1143" s="59">
        <f t="shared" si="121"/>
        <v>99</v>
      </c>
      <c r="N1143" s="59">
        <f t="shared" si="116"/>
        <v>16</v>
      </c>
      <c r="O1143" s="60">
        <f t="shared" si="115"/>
        <v>1143</v>
      </c>
      <c r="P1143" s="65"/>
    </row>
    <row r="1144" spans="3:16">
      <c r="C1144" s="83" t="s">
        <v>76</v>
      </c>
      <c r="D1144" s="75"/>
      <c r="E1144" s="75"/>
      <c r="F1144" s="81" t="s">
        <v>151</v>
      </c>
      <c r="G1144" s="55" t="s">
        <v>1602</v>
      </c>
      <c r="H1144" s="55" t="s">
        <v>124</v>
      </c>
      <c r="I1144" s="59">
        <v>5.7</v>
      </c>
      <c r="J1144" s="60" t="s">
        <v>1603</v>
      </c>
      <c r="K1144" s="63" t="str">
        <f t="shared" si="119"/>
        <v>XGF-RD8AInput</v>
      </c>
      <c r="L1144" s="59">
        <f t="shared" si="120"/>
        <v>115</v>
      </c>
      <c r="M1144" s="59">
        <f t="shared" si="121"/>
        <v>99</v>
      </c>
      <c r="N1144" s="59">
        <f t="shared" si="116"/>
        <v>16</v>
      </c>
      <c r="O1144" s="60">
        <f t="shared" si="115"/>
        <v>1144</v>
      </c>
      <c r="P1144" s="65"/>
    </row>
    <row r="1145" spans="3:16">
      <c r="C1145" s="83" t="s">
        <v>76</v>
      </c>
      <c r="D1145" s="75"/>
      <c r="E1145" s="75"/>
      <c r="F1145" s="81" t="s">
        <v>151</v>
      </c>
      <c r="G1145" s="55" t="s">
        <v>1604</v>
      </c>
      <c r="H1145" s="55" t="s">
        <v>124</v>
      </c>
      <c r="I1145" s="59">
        <v>5.8</v>
      </c>
      <c r="J1145" s="60" t="s">
        <v>1605</v>
      </c>
      <c r="K1145" s="63" t="str">
        <f t="shared" si="119"/>
        <v>XGF-RD8AInput</v>
      </c>
      <c r="L1145" s="59">
        <f t="shared" si="120"/>
        <v>115</v>
      </c>
      <c r="M1145" s="59">
        <f t="shared" si="121"/>
        <v>99</v>
      </c>
      <c r="N1145" s="59">
        <f t="shared" si="116"/>
        <v>16</v>
      </c>
      <c r="O1145" s="60">
        <f t="shared" si="115"/>
        <v>1145</v>
      </c>
      <c r="P1145" s="65"/>
    </row>
    <row r="1146" spans="3:16">
      <c r="C1146" s="83" t="s">
        <v>76</v>
      </c>
      <c r="D1146" s="75"/>
      <c r="E1146" s="75"/>
      <c r="F1146" s="81" t="s">
        <v>151</v>
      </c>
      <c r="G1146" s="55" t="s">
        <v>1606</v>
      </c>
      <c r="H1146" s="55" t="s">
        <v>124</v>
      </c>
      <c r="I1146" s="59">
        <v>5.9</v>
      </c>
      <c r="J1146" s="60" t="s">
        <v>1607</v>
      </c>
      <c r="K1146" s="63" t="str">
        <f t="shared" si="119"/>
        <v>XGF-RD8AInput</v>
      </c>
      <c r="L1146" s="59">
        <f t="shared" si="120"/>
        <v>115</v>
      </c>
      <c r="M1146" s="59">
        <f t="shared" si="121"/>
        <v>99</v>
      </c>
      <c r="N1146" s="59">
        <f t="shared" si="116"/>
        <v>16</v>
      </c>
      <c r="O1146" s="60">
        <f t="shared" si="115"/>
        <v>1146</v>
      </c>
      <c r="P1146" s="65"/>
    </row>
    <row r="1147" spans="3:16">
      <c r="C1147" s="83" t="s">
        <v>76</v>
      </c>
      <c r="D1147" s="75"/>
      <c r="E1147" s="75"/>
      <c r="F1147" s="81" t="s">
        <v>151</v>
      </c>
      <c r="G1147" s="55" t="s">
        <v>1608</v>
      </c>
      <c r="H1147" s="55" t="s">
        <v>124</v>
      </c>
      <c r="I1147" s="59" t="s">
        <v>1609</v>
      </c>
      <c r="J1147" s="60" t="s">
        <v>1610</v>
      </c>
      <c r="K1147" s="63" t="str">
        <f t="shared" si="119"/>
        <v>XGF-RD8AInput</v>
      </c>
      <c r="L1147" s="59">
        <f t="shared" si="120"/>
        <v>115</v>
      </c>
      <c r="M1147" s="59">
        <f t="shared" si="121"/>
        <v>99</v>
      </c>
      <c r="N1147" s="59">
        <f t="shared" si="116"/>
        <v>16</v>
      </c>
      <c r="O1147" s="60">
        <f t="shared" si="115"/>
        <v>1147</v>
      </c>
      <c r="P1147" s="65"/>
    </row>
    <row r="1148" spans="3:16">
      <c r="C1148" s="83" t="s">
        <v>76</v>
      </c>
      <c r="D1148" s="75"/>
      <c r="E1148" s="75"/>
      <c r="F1148" s="81" t="s">
        <v>151</v>
      </c>
      <c r="G1148" s="55" t="s">
        <v>1611</v>
      </c>
      <c r="H1148" s="55" t="s">
        <v>124</v>
      </c>
      <c r="I1148" s="59" t="s">
        <v>1612</v>
      </c>
      <c r="J1148" s="60" t="s">
        <v>1613</v>
      </c>
      <c r="K1148" s="63" t="str">
        <f t="shared" si="119"/>
        <v>XGF-RD8AInput</v>
      </c>
      <c r="L1148" s="59">
        <f t="shared" si="120"/>
        <v>115</v>
      </c>
      <c r="M1148" s="59">
        <f t="shared" si="121"/>
        <v>99</v>
      </c>
      <c r="N1148" s="59">
        <f t="shared" si="116"/>
        <v>16</v>
      </c>
      <c r="O1148" s="60">
        <f t="shared" si="115"/>
        <v>1148</v>
      </c>
      <c r="P1148" s="65"/>
    </row>
    <row r="1149" spans="3:16">
      <c r="C1149" s="83" t="s">
        <v>76</v>
      </c>
      <c r="D1149" s="75"/>
      <c r="E1149" s="75"/>
      <c r="F1149" s="81" t="s">
        <v>151</v>
      </c>
      <c r="G1149" s="55" t="s">
        <v>1614</v>
      </c>
      <c r="H1149" s="55" t="s">
        <v>124</v>
      </c>
      <c r="I1149" s="59" t="s">
        <v>1615</v>
      </c>
      <c r="J1149" s="60" t="s">
        <v>1616</v>
      </c>
      <c r="K1149" s="63" t="str">
        <f t="shared" si="119"/>
        <v>XGF-RD8AInput</v>
      </c>
      <c r="L1149" s="59">
        <f t="shared" si="120"/>
        <v>115</v>
      </c>
      <c r="M1149" s="59">
        <f t="shared" si="121"/>
        <v>99</v>
      </c>
      <c r="N1149" s="59">
        <f t="shared" si="116"/>
        <v>16</v>
      </c>
      <c r="O1149" s="60">
        <f t="shared" si="115"/>
        <v>1149</v>
      </c>
      <c r="P1149" s="65"/>
    </row>
    <row r="1150" spans="3:16">
      <c r="C1150" s="83" t="s">
        <v>76</v>
      </c>
      <c r="D1150" s="75"/>
      <c r="E1150" s="75"/>
      <c r="F1150" s="81" t="s">
        <v>151</v>
      </c>
      <c r="G1150" s="55" t="s">
        <v>1617</v>
      </c>
      <c r="H1150" s="55" t="s">
        <v>124</v>
      </c>
      <c r="I1150" s="59" t="s">
        <v>1618</v>
      </c>
      <c r="J1150" s="60" t="s">
        <v>1619</v>
      </c>
      <c r="K1150" s="63" t="str">
        <f t="shared" si="119"/>
        <v>XGF-RD8AInput</v>
      </c>
      <c r="L1150" s="59">
        <f t="shared" si="120"/>
        <v>115</v>
      </c>
      <c r="M1150" s="59">
        <f t="shared" si="121"/>
        <v>99</v>
      </c>
      <c r="N1150" s="59">
        <f t="shared" si="116"/>
        <v>16</v>
      </c>
      <c r="O1150" s="60">
        <f t="shared" si="115"/>
        <v>1150</v>
      </c>
      <c r="P1150" s="65"/>
    </row>
    <row r="1151" spans="3:16">
      <c r="C1151" s="83" t="s">
        <v>76</v>
      </c>
      <c r="D1151" s="75"/>
      <c r="E1151" s="75"/>
      <c r="F1151" s="81" t="s">
        <v>151</v>
      </c>
      <c r="G1151" s="55" t="s">
        <v>1620</v>
      </c>
      <c r="H1151" s="55" t="s">
        <v>124</v>
      </c>
      <c r="I1151" s="59" t="s">
        <v>1621</v>
      </c>
      <c r="J1151" s="60" t="s">
        <v>1622</v>
      </c>
      <c r="K1151" s="63" t="str">
        <f t="shared" si="119"/>
        <v>XGF-RD8AInput</v>
      </c>
      <c r="L1151" s="59">
        <f t="shared" si="120"/>
        <v>115</v>
      </c>
      <c r="M1151" s="59">
        <f t="shared" si="121"/>
        <v>99</v>
      </c>
      <c r="N1151" s="59">
        <f t="shared" si="116"/>
        <v>16</v>
      </c>
      <c r="O1151" s="60">
        <f t="shared" si="115"/>
        <v>1151</v>
      </c>
      <c r="P1151" s="65"/>
    </row>
    <row r="1152" spans="3:16">
      <c r="C1152" s="83" t="s">
        <v>76</v>
      </c>
      <c r="D1152" s="75"/>
      <c r="E1152" s="75"/>
      <c r="F1152" s="81" t="s">
        <v>151</v>
      </c>
      <c r="G1152" s="55" t="s">
        <v>1623</v>
      </c>
      <c r="H1152" s="55" t="s">
        <v>124</v>
      </c>
      <c r="I1152" s="59" t="s">
        <v>1624</v>
      </c>
      <c r="J1152" s="60" t="s">
        <v>1625</v>
      </c>
      <c r="K1152" s="63" t="str">
        <f t="shared" si="119"/>
        <v>XGF-RD8AInput</v>
      </c>
      <c r="L1152" s="59">
        <f t="shared" si="120"/>
        <v>115</v>
      </c>
      <c r="M1152" s="59">
        <f t="shared" si="121"/>
        <v>99</v>
      </c>
      <c r="N1152" s="59">
        <f t="shared" si="116"/>
        <v>16</v>
      </c>
      <c r="O1152" s="60">
        <f t="shared" si="115"/>
        <v>1152</v>
      </c>
      <c r="P1152" s="65"/>
    </row>
    <row r="1153" spans="3:16">
      <c r="C1153" s="83" t="s">
        <v>76</v>
      </c>
      <c r="D1153" s="75"/>
      <c r="E1153" s="75"/>
      <c r="F1153" s="81" t="s">
        <v>151</v>
      </c>
      <c r="G1153" s="55" t="s">
        <v>1626</v>
      </c>
      <c r="H1153" s="55" t="s">
        <v>139</v>
      </c>
      <c r="I1153" s="59">
        <v>6</v>
      </c>
      <c r="J1153" s="60" t="s">
        <v>1627</v>
      </c>
      <c r="K1153" s="63" t="str">
        <f t="shared" si="119"/>
        <v>XGF-RD8AInput</v>
      </c>
      <c r="L1153" s="59">
        <f t="shared" si="120"/>
        <v>115</v>
      </c>
      <c r="M1153" s="59">
        <f t="shared" si="121"/>
        <v>99</v>
      </c>
      <c r="N1153" s="59">
        <f t="shared" si="116"/>
        <v>16</v>
      </c>
      <c r="O1153" s="60">
        <f t="shared" si="115"/>
        <v>1153</v>
      </c>
      <c r="P1153" s="65"/>
    </row>
    <row r="1154" spans="3:16">
      <c r="C1154" s="83" t="s">
        <v>76</v>
      </c>
      <c r="D1154" s="75"/>
      <c r="E1154" s="75"/>
      <c r="F1154" s="81" t="s">
        <v>151</v>
      </c>
      <c r="G1154" s="55" t="s">
        <v>1628</v>
      </c>
      <c r="H1154" s="55" t="s">
        <v>139</v>
      </c>
      <c r="I1154" s="59">
        <v>7</v>
      </c>
      <c r="J1154" s="60" t="s">
        <v>1629</v>
      </c>
      <c r="K1154" s="63" t="str">
        <f t="shared" si="119"/>
        <v>XGF-RD8AInput</v>
      </c>
      <c r="L1154" s="59">
        <f t="shared" si="120"/>
        <v>115</v>
      </c>
      <c r="M1154" s="59">
        <f t="shared" si="121"/>
        <v>99</v>
      </c>
      <c r="N1154" s="59">
        <f t="shared" si="116"/>
        <v>16</v>
      </c>
      <c r="O1154" s="60">
        <f t="shared" ref="O1154:O1217" si="122">ROW(C1154)</f>
        <v>1154</v>
      </c>
      <c r="P1154" s="65"/>
    </row>
    <row r="1155" spans="3:16">
      <c r="C1155" s="83" t="s">
        <v>76</v>
      </c>
      <c r="D1155" s="75"/>
      <c r="E1155" s="75"/>
      <c r="F1155" s="81" t="s">
        <v>151</v>
      </c>
      <c r="G1155" s="55" t="s">
        <v>1630</v>
      </c>
      <c r="H1155" s="55" t="s">
        <v>139</v>
      </c>
      <c r="I1155" s="59">
        <v>8</v>
      </c>
      <c r="J1155" s="60" t="s">
        <v>1631</v>
      </c>
      <c r="K1155" s="63" t="str">
        <f t="shared" si="119"/>
        <v>XGF-RD8AInput</v>
      </c>
      <c r="L1155" s="59">
        <f t="shared" si="120"/>
        <v>115</v>
      </c>
      <c r="M1155" s="59">
        <f t="shared" si="121"/>
        <v>99</v>
      </c>
      <c r="N1155" s="59">
        <f t="shared" ref="N1155:N1218" si="123">L1155-M1155</f>
        <v>16</v>
      </c>
      <c r="O1155" s="60">
        <f t="shared" si="122"/>
        <v>1155</v>
      </c>
      <c r="P1155" s="65"/>
    </row>
    <row r="1156" spans="3:16">
      <c r="C1156" s="83" t="s">
        <v>76</v>
      </c>
      <c r="D1156" s="75"/>
      <c r="E1156" s="75"/>
      <c r="F1156" s="81" t="s">
        <v>151</v>
      </c>
      <c r="G1156" s="55" t="s">
        <v>1632</v>
      </c>
      <c r="H1156" s="55" t="s">
        <v>139</v>
      </c>
      <c r="I1156" s="59">
        <v>9</v>
      </c>
      <c r="J1156" s="60" t="s">
        <v>1633</v>
      </c>
      <c r="K1156" s="63" t="str">
        <f t="shared" si="119"/>
        <v>XGF-RD8AInput</v>
      </c>
      <c r="L1156" s="59">
        <f t="shared" si="120"/>
        <v>115</v>
      </c>
      <c r="M1156" s="59">
        <f t="shared" si="121"/>
        <v>99</v>
      </c>
      <c r="N1156" s="59">
        <f t="shared" si="123"/>
        <v>16</v>
      </c>
      <c r="O1156" s="60">
        <f t="shared" si="122"/>
        <v>1156</v>
      </c>
      <c r="P1156" s="65"/>
    </row>
    <row r="1157" spans="3:16">
      <c r="C1157" s="83" t="s">
        <v>76</v>
      </c>
      <c r="D1157" s="75"/>
      <c r="E1157" s="75"/>
      <c r="F1157" s="81" t="s">
        <v>151</v>
      </c>
      <c r="G1157" s="55" t="s">
        <v>1634</v>
      </c>
      <c r="H1157" s="55" t="s">
        <v>139</v>
      </c>
      <c r="I1157" s="59">
        <v>10</v>
      </c>
      <c r="J1157" s="60" t="s">
        <v>1635</v>
      </c>
      <c r="K1157" s="63" t="str">
        <f t="shared" si="119"/>
        <v>XGF-RD8AInput</v>
      </c>
      <c r="L1157" s="59">
        <f t="shared" si="120"/>
        <v>115</v>
      </c>
      <c r="M1157" s="59">
        <f t="shared" si="121"/>
        <v>99</v>
      </c>
      <c r="N1157" s="59">
        <f t="shared" si="123"/>
        <v>16</v>
      </c>
      <c r="O1157" s="60">
        <f t="shared" si="122"/>
        <v>1157</v>
      </c>
      <c r="P1157" s="65"/>
    </row>
    <row r="1158" spans="3:16">
      <c r="C1158" s="83" t="s">
        <v>76</v>
      </c>
      <c r="D1158" s="75"/>
      <c r="E1158" s="75"/>
      <c r="F1158" s="81" t="s">
        <v>151</v>
      </c>
      <c r="G1158" s="55" t="s">
        <v>1636</v>
      </c>
      <c r="H1158" s="55" t="s">
        <v>139</v>
      </c>
      <c r="I1158" s="59">
        <v>11</v>
      </c>
      <c r="J1158" s="60" t="s">
        <v>1637</v>
      </c>
      <c r="K1158" s="63" t="str">
        <f t="shared" si="119"/>
        <v>XGF-RD8AInput</v>
      </c>
      <c r="L1158" s="59">
        <f t="shared" si="120"/>
        <v>115</v>
      </c>
      <c r="M1158" s="59">
        <f t="shared" si="121"/>
        <v>99</v>
      </c>
      <c r="N1158" s="59">
        <f t="shared" si="123"/>
        <v>16</v>
      </c>
      <c r="O1158" s="60">
        <f t="shared" si="122"/>
        <v>1158</v>
      </c>
      <c r="P1158" s="65"/>
    </row>
    <row r="1159" spans="3:16">
      <c r="C1159" s="83" t="s">
        <v>76</v>
      </c>
      <c r="D1159" s="75"/>
      <c r="E1159" s="75"/>
      <c r="F1159" s="81" t="s">
        <v>151</v>
      </c>
      <c r="G1159" s="55" t="s">
        <v>1638</v>
      </c>
      <c r="H1159" s="55" t="s">
        <v>139</v>
      </c>
      <c r="I1159" s="59">
        <v>12</v>
      </c>
      <c r="J1159" s="60" t="s">
        <v>1639</v>
      </c>
      <c r="K1159" s="63" t="str">
        <f t="shared" si="119"/>
        <v>XGF-RD8AInput</v>
      </c>
      <c r="L1159" s="59">
        <f t="shared" si="120"/>
        <v>115</v>
      </c>
      <c r="M1159" s="59">
        <f t="shared" si="121"/>
        <v>99</v>
      </c>
      <c r="N1159" s="59">
        <f t="shared" si="123"/>
        <v>16</v>
      </c>
      <c r="O1159" s="60">
        <f t="shared" si="122"/>
        <v>1159</v>
      </c>
      <c r="P1159" s="65"/>
    </row>
    <row r="1160" spans="3:16">
      <c r="C1160" s="83" t="s">
        <v>76</v>
      </c>
      <c r="D1160" s="75"/>
      <c r="E1160" s="75"/>
      <c r="F1160" s="81" t="s">
        <v>151</v>
      </c>
      <c r="G1160" s="55" t="s">
        <v>1640</v>
      </c>
      <c r="H1160" s="55" t="s">
        <v>139</v>
      </c>
      <c r="I1160" s="59">
        <v>13</v>
      </c>
      <c r="J1160" s="60" t="s">
        <v>1641</v>
      </c>
      <c r="K1160" s="63" t="str">
        <f t="shared" si="119"/>
        <v>XGF-RD8AInput</v>
      </c>
      <c r="L1160" s="59">
        <f t="shared" si="120"/>
        <v>115</v>
      </c>
      <c r="M1160" s="59">
        <f t="shared" si="121"/>
        <v>99</v>
      </c>
      <c r="N1160" s="59">
        <f t="shared" si="123"/>
        <v>16</v>
      </c>
      <c r="O1160" s="60">
        <f t="shared" si="122"/>
        <v>1160</v>
      </c>
      <c r="P1160" s="65"/>
    </row>
    <row r="1161" spans="3:16">
      <c r="C1161" s="83" t="s">
        <v>76</v>
      </c>
      <c r="D1161" s="75"/>
      <c r="E1161" s="75"/>
      <c r="F1161" s="81" t="s">
        <v>151</v>
      </c>
      <c r="G1161" s="55" t="s">
        <v>1642</v>
      </c>
      <c r="H1161" s="55" t="s">
        <v>139</v>
      </c>
      <c r="I1161" s="59">
        <v>14</v>
      </c>
      <c r="J1161" s="60" t="s">
        <v>1643</v>
      </c>
      <c r="K1161" s="63" t="str">
        <f t="shared" si="119"/>
        <v>XGF-RD8AInput</v>
      </c>
      <c r="L1161" s="59">
        <f t="shared" si="120"/>
        <v>115</v>
      </c>
      <c r="M1161" s="59">
        <f t="shared" si="121"/>
        <v>99</v>
      </c>
      <c r="N1161" s="59">
        <f t="shared" si="123"/>
        <v>16</v>
      </c>
      <c r="O1161" s="60">
        <f t="shared" si="122"/>
        <v>1161</v>
      </c>
      <c r="P1161" s="65"/>
    </row>
    <row r="1162" spans="3:16">
      <c r="C1162" s="83" t="s">
        <v>76</v>
      </c>
      <c r="D1162" s="75"/>
      <c r="E1162" s="75"/>
      <c r="F1162" s="81" t="s">
        <v>151</v>
      </c>
      <c r="G1162" s="55" t="s">
        <v>1644</v>
      </c>
      <c r="H1162" s="55" t="s">
        <v>139</v>
      </c>
      <c r="I1162" s="59">
        <v>15</v>
      </c>
      <c r="J1162" s="60" t="s">
        <v>1645</v>
      </c>
      <c r="K1162" s="63" t="str">
        <f t="shared" si="119"/>
        <v>XGF-RD8AInput</v>
      </c>
      <c r="L1162" s="59">
        <f t="shared" si="120"/>
        <v>115</v>
      </c>
      <c r="M1162" s="59">
        <f t="shared" si="121"/>
        <v>99</v>
      </c>
      <c r="N1162" s="59">
        <f t="shared" si="123"/>
        <v>16</v>
      </c>
      <c r="O1162" s="60">
        <f t="shared" si="122"/>
        <v>1162</v>
      </c>
      <c r="P1162" s="65"/>
    </row>
    <row r="1163" spans="3:16">
      <c r="C1163" s="83" t="s">
        <v>76</v>
      </c>
      <c r="D1163" s="75"/>
      <c r="E1163" s="75"/>
      <c r="F1163" s="81" t="s">
        <v>151</v>
      </c>
      <c r="G1163" s="55" t="s">
        <v>1646</v>
      </c>
      <c r="H1163" s="55" t="s">
        <v>139</v>
      </c>
      <c r="I1163" s="59">
        <v>16</v>
      </c>
      <c r="J1163" s="60" t="s">
        <v>1647</v>
      </c>
      <c r="K1163" s="63" t="str">
        <f t="shared" si="119"/>
        <v>XGF-RD8AInput</v>
      </c>
      <c r="L1163" s="59">
        <f t="shared" si="120"/>
        <v>115</v>
      </c>
      <c r="M1163" s="59">
        <f t="shared" si="121"/>
        <v>99</v>
      </c>
      <c r="N1163" s="59">
        <f t="shared" si="123"/>
        <v>16</v>
      </c>
      <c r="O1163" s="60">
        <f t="shared" si="122"/>
        <v>1163</v>
      </c>
      <c r="P1163" s="65"/>
    </row>
    <row r="1164" spans="3:16">
      <c r="C1164" s="83" t="s">
        <v>76</v>
      </c>
      <c r="D1164" s="75"/>
      <c r="E1164" s="75"/>
      <c r="F1164" s="81" t="s">
        <v>151</v>
      </c>
      <c r="G1164" s="55" t="s">
        <v>1648</v>
      </c>
      <c r="H1164" s="55" t="s">
        <v>139</v>
      </c>
      <c r="I1164" s="59">
        <v>17</v>
      </c>
      <c r="J1164" s="60" t="s">
        <v>1649</v>
      </c>
      <c r="K1164" s="63" t="str">
        <f t="shared" si="119"/>
        <v>XGF-RD8AInput</v>
      </c>
      <c r="L1164" s="59">
        <f t="shared" si="120"/>
        <v>115</v>
      </c>
      <c r="M1164" s="59">
        <f t="shared" si="121"/>
        <v>99</v>
      </c>
      <c r="N1164" s="59">
        <f t="shared" si="123"/>
        <v>16</v>
      </c>
      <c r="O1164" s="60">
        <f t="shared" si="122"/>
        <v>1164</v>
      </c>
      <c r="P1164" s="65"/>
    </row>
    <row r="1165" spans="3:16">
      <c r="C1165" s="83" t="s">
        <v>76</v>
      </c>
      <c r="D1165" s="75"/>
      <c r="E1165" s="75"/>
      <c r="F1165" s="81" t="s">
        <v>151</v>
      </c>
      <c r="G1165" s="55" t="s">
        <v>1650</v>
      </c>
      <c r="H1165" s="55" t="s">
        <v>139</v>
      </c>
      <c r="I1165" s="59">
        <v>18</v>
      </c>
      <c r="J1165" s="60" t="s">
        <v>1651</v>
      </c>
      <c r="K1165" s="63" t="str">
        <f t="shared" si="119"/>
        <v>XGF-RD8AInput</v>
      </c>
      <c r="L1165" s="59">
        <f t="shared" si="120"/>
        <v>115</v>
      </c>
      <c r="M1165" s="59">
        <f t="shared" si="121"/>
        <v>99</v>
      </c>
      <c r="N1165" s="59">
        <f t="shared" si="123"/>
        <v>16</v>
      </c>
      <c r="O1165" s="60">
        <f t="shared" si="122"/>
        <v>1165</v>
      </c>
      <c r="P1165" s="65"/>
    </row>
    <row r="1166" spans="3:16">
      <c r="C1166" s="83" t="s">
        <v>76</v>
      </c>
      <c r="D1166" s="75"/>
      <c r="E1166" s="75"/>
      <c r="F1166" s="81" t="s">
        <v>151</v>
      </c>
      <c r="G1166" s="55" t="s">
        <v>1652</v>
      </c>
      <c r="H1166" s="55" t="s">
        <v>139</v>
      </c>
      <c r="I1166" s="59">
        <v>19</v>
      </c>
      <c r="J1166" s="60" t="s">
        <v>1653</v>
      </c>
      <c r="K1166" s="63" t="str">
        <f t="shared" si="119"/>
        <v>XGF-RD8AInput</v>
      </c>
      <c r="L1166" s="59">
        <f t="shared" si="120"/>
        <v>115</v>
      </c>
      <c r="M1166" s="59">
        <f t="shared" si="121"/>
        <v>99</v>
      </c>
      <c r="N1166" s="59">
        <f t="shared" si="123"/>
        <v>16</v>
      </c>
      <c r="O1166" s="60">
        <f t="shared" si="122"/>
        <v>1166</v>
      </c>
      <c r="P1166" s="65"/>
    </row>
    <row r="1167" spans="3:16">
      <c r="C1167" s="83" t="s">
        <v>76</v>
      </c>
      <c r="D1167" s="75"/>
      <c r="E1167" s="75"/>
      <c r="F1167" s="81" t="s">
        <v>151</v>
      </c>
      <c r="G1167" s="55" t="s">
        <v>1654</v>
      </c>
      <c r="H1167" s="55" t="s">
        <v>139</v>
      </c>
      <c r="I1167" s="59">
        <v>20</v>
      </c>
      <c r="J1167" s="60" t="s">
        <v>1655</v>
      </c>
      <c r="K1167" s="63" t="str">
        <f t="shared" si="119"/>
        <v>XGF-RD8AInput</v>
      </c>
      <c r="L1167" s="59">
        <f t="shared" si="120"/>
        <v>115</v>
      </c>
      <c r="M1167" s="59">
        <f t="shared" si="121"/>
        <v>99</v>
      </c>
      <c r="N1167" s="59">
        <f t="shared" si="123"/>
        <v>16</v>
      </c>
      <c r="O1167" s="60">
        <f t="shared" si="122"/>
        <v>1167</v>
      </c>
      <c r="P1167" s="65"/>
    </row>
    <row r="1168" spans="3:16">
      <c r="C1168" s="83" t="s">
        <v>76</v>
      </c>
      <c r="D1168" s="75"/>
      <c r="E1168" s="75"/>
      <c r="F1168" s="81" t="s">
        <v>151</v>
      </c>
      <c r="G1168" s="55" t="s">
        <v>1656</v>
      </c>
      <c r="H1168" s="55" t="s">
        <v>139</v>
      </c>
      <c r="I1168" s="59">
        <v>21</v>
      </c>
      <c r="J1168" s="60" t="s">
        <v>1657</v>
      </c>
      <c r="K1168" s="63" t="str">
        <f t="shared" si="119"/>
        <v>XGF-RD8AInput</v>
      </c>
      <c r="L1168" s="59">
        <f t="shared" si="120"/>
        <v>115</v>
      </c>
      <c r="M1168" s="59">
        <f t="shared" si="121"/>
        <v>99</v>
      </c>
      <c r="N1168" s="59">
        <f t="shared" si="123"/>
        <v>16</v>
      </c>
      <c r="O1168" s="60">
        <f t="shared" si="122"/>
        <v>1168</v>
      </c>
      <c r="P1168" s="65"/>
    </row>
    <row r="1169" spans="3:16">
      <c r="C1169" s="83" t="s">
        <v>76</v>
      </c>
      <c r="D1169" s="75"/>
      <c r="E1169" s="75"/>
      <c r="F1169" s="81" t="s">
        <v>166</v>
      </c>
      <c r="G1169" s="55" t="s">
        <v>1658</v>
      </c>
      <c r="H1169" s="55" t="s">
        <v>124</v>
      </c>
      <c r="I1169" s="59">
        <v>0</v>
      </c>
      <c r="J1169" s="60" t="s">
        <v>1659</v>
      </c>
      <c r="K1169" s="63"/>
      <c r="L1169" s="59"/>
      <c r="M1169" s="59"/>
      <c r="N1169" s="59"/>
      <c r="O1169" s="60">
        <f t="shared" si="122"/>
        <v>1169</v>
      </c>
      <c r="P1169" s="65"/>
    </row>
    <row r="1170" spans="3:16">
      <c r="C1170" s="83" t="s">
        <v>76</v>
      </c>
      <c r="D1170" s="75"/>
      <c r="E1170" s="75"/>
      <c r="F1170" s="81" t="s">
        <v>166</v>
      </c>
      <c r="G1170" s="55" t="s">
        <v>1660</v>
      </c>
      <c r="H1170" s="55" t="s">
        <v>124</v>
      </c>
      <c r="I1170" s="59">
        <v>0.1</v>
      </c>
      <c r="J1170" s="60" t="s">
        <v>1661</v>
      </c>
      <c r="K1170" s="63"/>
      <c r="L1170" s="59"/>
      <c r="M1170" s="59"/>
      <c r="N1170" s="59"/>
      <c r="O1170" s="60">
        <f t="shared" si="122"/>
        <v>1170</v>
      </c>
      <c r="P1170" s="65"/>
    </row>
    <row r="1171" spans="3:16">
      <c r="C1171" s="83" t="s">
        <v>76</v>
      </c>
      <c r="D1171" s="75"/>
      <c r="E1171" s="75"/>
      <c r="F1171" s="81" t="s">
        <v>166</v>
      </c>
      <c r="G1171" s="55" t="s">
        <v>1662</v>
      </c>
      <c r="H1171" s="55" t="s">
        <v>124</v>
      </c>
      <c r="I1171" s="59">
        <v>0.2</v>
      </c>
      <c r="J1171" s="60" t="s">
        <v>1663</v>
      </c>
      <c r="K1171" s="63"/>
      <c r="L1171" s="59"/>
      <c r="M1171" s="59"/>
      <c r="N1171" s="59"/>
      <c r="O1171" s="60">
        <f t="shared" si="122"/>
        <v>1171</v>
      </c>
      <c r="P1171" s="65"/>
    </row>
    <row r="1172" spans="3:16">
      <c r="C1172" s="83" t="s">
        <v>76</v>
      </c>
      <c r="D1172" s="75"/>
      <c r="E1172" s="75"/>
      <c r="F1172" s="81" t="s">
        <v>166</v>
      </c>
      <c r="G1172" s="55" t="s">
        <v>1664</v>
      </c>
      <c r="H1172" s="55" t="s">
        <v>124</v>
      </c>
      <c r="I1172" s="59">
        <v>0.3</v>
      </c>
      <c r="J1172" s="60" t="s">
        <v>1665</v>
      </c>
      <c r="K1172" s="63"/>
      <c r="L1172" s="59"/>
      <c r="M1172" s="59"/>
      <c r="N1172" s="59"/>
      <c r="O1172" s="60">
        <f t="shared" si="122"/>
        <v>1172</v>
      </c>
      <c r="P1172" s="65"/>
    </row>
    <row r="1173" spans="3:16">
      <c r="C1173" s="83" t="s">
        <v>76</v>
      </c>
      <c r="D1173" s="75"/>
      <c r="E1173" s="75"/>
      <c r="F1173" s="81" t="s">
        <v>166</v>
      </c>
      <c r="G1173" s="55" t="s">
        <v>1666</v>
      </c>
      <c r="H1173" s="55" t="s">
        <v>124</v>
      </c>
      <c r="I1173" s="59">
        <v>0.4</v>
      </c>
      <c r="J1173" s="60" t="s">
        <v>1667</v>
      </c>
      <c r="K1173" s="63"/>
      <c r="L1173" s="59"/>
      <c r="M1173" s="59"/>
      <c r="N1173" s="59"/>
      <c r="O1173" s="60">
        <f t="shared" si="122"/>
        <v>1173</v>
      </c>
      <c r="P1173" s="65"/>
    </row>
    <row r="1174" spans="3:16">
      <c r="C1174" s="83" t="s">
        <v>76</v>
      </c>
      <c r="D1174" s="75"/>
      <c r="E1174" s="75"/>
      <c r="F1174" s="81" t="s">
        <v>166</v>
      </c>
      <c r="G1174" s="55" t="s">
        <v>1668</v>
      </c>
      <c r="H1174" s="55" t="s">
        <v>124</v>
      </c>
      <c r="I1174" s="59">
        <v>0.5</v>
      </c>
      <c r="J1174" s="60" t="s">
        <v>1669</v>
      </c>
      <c r="K1174" s="63"/>
      <c r="L1174" s="59"/>
      <c r="M1174" s="59"/>
      <c r="N1174" s="59"/>
      <c r="O1174" s="60">
        <f t="shared" si="122"/>
        <v>1174</v>
      </c>
      <c r="P1174" s="65"/>
    </row>
    <row r="1175" spans="3:16">
      <c r="C1175" s="83" t="s">
        <v>76</v>
      </c>
      <c r="D1175" s="75"/>
      <c r="E1175" s="75"/>
      <c r="F1175" s="81" t="s">
        <v>166</v>
      </c>
      <c r="G1175" s="55" t="s">
        <v>1670</v>
      </c>
      <c r="H1175" s="55" t="s">
        <v>124</v>
      </c>
      <c r="I1175" s="59">
        <v>0.6</v>
      </c>
      <c r="J1175" s="60" t="s">
        <v>1671</v>
      </c>
      <c r="K1175" s="63"/>
      <c r="L1175" s="59"/>
      <c r="M1175" s="59"/>
      <c r="N1175" s="59"/>
      <c r="O1175" s="60">
        <f t="shared" si="122"/>
        <v>1175</v>
      </c>
      <c r="P1175" s="65"/>
    </row>
    <row r="1176" spans="3:16">
      <c r="C1176" s="83" t="s">
        <v>76</v>
      </c>
      <c r="D1176" s="75"/>
      <c r="E1176" s="75"/>
      <c r="F1176" s="81" t="s">
        <v>166</v>
      </c>
      <c r="G1176" s="55" t="s">
        <v>1672</v>
      </c>
      <c r="H1176" s="55" t="s">
        <v>124</v>
      </c>
      <c r="I1176" s="59">
        <v>0.7</v>
      </c>
      <c r="J1176" s="60" t="s">
        <v>1673</v>
      </c>
      <c r="K1176" s="63"/>
      <c r="L1176" s="59"/>
      <c r="M1176" s="59"/>
      <c r="N1176" s="59"/>
      <c r="O1176" s="60">
        <f t="shared" si="122"/>
        <v>1176</v>
      </c>
      <c r="P1176" s="65"/>
    </row>
    <row r="1177" spans="3:16">
      <c r="C1177" s="83" t="s">
        <v>76</v>
      </c>
      <c r="D1177" s="75"/>
      <c r="E1177" s="75"/>
      <c r="F1177" s="81" t="s">
        <v>166</v>
      </c>
      <c r="G1177" s="55" t="s">
        <v>1674</v>
      </c>
      <c r="H1177" s="55" t="s">
        <v>124</v>
      </c>
      <c r="I1177" s="59">
        <v>0.8</v>
      </c>
      <c r="J1177" s="60" t="s">
        <v>1675</v>
      </c>
      <c r="K1177" s="63"/>
      <c r="L1177" s="59"/>
      <c r="M1177" s="59"/>
      <c r="N1177" s="59"/>
      <c r="O1177" s="60">
        <f t="shared" si="122"/>
        <v>1177</v>
      </c>
      <c r="P1177" s="65"/>
    </row>
    <row r="1178" spans="3:16">
      <c r="C1178" s="83" t="s">
        <v>76</v>
      </c>
      <c r="D1178" s="75"/>
      <c r="E1178" s="75"/>
      <c r="F1178" s="81" t="s">
        <v>166</v>
      </c>
      <c r="G1178" s="55" t="s">
        <v>1676</v>
      </c>
      <c r="H1178" s="55" t="s">
        <v>124</v>
      </c>
      <c r="I1178" s="59">
        <v>0.9</v>
      </c>
      <c r="J1178" s="60" t="s">
        <v>1677</v>
      </c>
      <c r="K1178" s="63"/>
      <c r="L1178" s="59"/>
      <c r="M1178" s="59"/>
      <c r="N1178" s="59"/>
      <c r="O1178" s="60">
        <f t="shared" si="122"/>
        <v>1178</v>
      </c>
      <c r="P1178" s="65"/>
    </row>
    <row r="1179" spans="3:16">
      <c r="C1179" s="83" t="s">
        <v>76</v>
      </c>
      <c r="D1179" s="75"/>
      <c r="E1179" s="75"/>
      <c r="F1179" s="81" t="s">
        <v>166</v>
      </c>
      <c r="G1179" s="55" t="s">
        <v>1678</v>
      </c>
      <c r="H1179" s="55" t="s">
        <v>124</v>
      </c>
      <c r="I1179" s="59" t="s">
        <v>988</v>
      </c>
      <c r="J1179" s="60" t="s">
        <v>1679</v>
      </c>
      <c r="K1179" s="63"/>
      <c r="L1179" s="59"/>
      <c r="M1179" s="59"/>
      <c r="N1179" s="59"/>
      <c r="O1179" s="60">
        <f t="shared" si="122"/>
        <v>1179</v>
      </c>
      <c r="P1179" s="65"/>
    </row>
    <row r="1180" spans="3:16">
      <c r="C1180" s="83" t="s">
        <v>76</v>
      </c>
      <c r="D1180" s="75"/>
      <c r="E1180" s="75"/>
      <c r="F1180" s="81" t="s">
        <v>166</v>
      </c>
      <c r="G1180" s="55" t="s">
        <v>1680</v>
      </c>
      <c r="H1180" s="55" t="s">
        <v>124</v>
      </c>
      <c r="I1180" s="59" t="s">
        <v>991</v>
      </c>
      <c r="J1180" s="60" t="s">
        <v>1681</v>
      </c>
      <c r="K1180" s="63"/>
      <c r="L1180" s="59"/>
      <c r="M1180" s="59"/>
      <c r="N1180" s="59"/>
      <c r="O1180" s="60">
        <f t="shared" si="122"/>
        <v>1180</v>
      </c>
      <c r="P1180" s="65"/>
    </row>
    <row r="1181" spans="3:16">
      <c r="C1181" s="83" t="s">
        <v>76</v>
      </c>
      <c r="D1181" s="75"/>
      <c r="E1181" s="75"/>
      <c r="F1181" s="81" t="s">
        <v>166</v>
      </c>
      <c r="G1181" s="55" t="s">
        <v>1682</v>
      </c>
      <c r="H1181" s="55" t="s">
        <v>124</v>
      </c>
      <c r="I1181" s="59" t="s">
        <v>1130</v>
      </c>
      <c r="J1181" s="60" t="s">
        <v>1683</v>
      </c>
      <c r="K1181" s="63"/>
      <c r="L1181" s="59"/>
      <c r="M1181" s="59"/>
      <c r="N1181" s="59"/>
      <c r="O1181" s="60">
        <f t="shared" si="122"/>
        <v>1181</v>
      </c>
      <c r="P1181" s="65"/>
    </row>
    <row r="1182" spans="3:16">
      <c r="C1182" s="83" t="s">
        <v>76</v>
      </c>
      <c r="D1182" s="75"/>
      <c r="E1182" s="75"/>
      <c r="F1182" s="81" t="s">
        <v>166</v>
      </c>
      <c r="G1182" s="55" t="s">
        <v>1684</v>
      </c>
      <c r="H1182" s="55" t="s">
        <v>124</v>
      </c>
      <c r="I1182" s="59" t="s">
        <v>1133</v>
      </c>
      <c r="J1182" s="60" t="s">
        <v>1685</v>
      </c>
      <c r="K1182" s="63"/>
      <c r="L1182" s="59"/>
      <c r="M1182" s="59"/>
      <c r="N1182" s="59"/>
      <c r="O1182" s="60">
        <f t="shared" si="122"/>
        <v>1182</v>
      </c>
      <c r="P1182" s="65"/>
    </row>
    <row r="1183" spans="3:16">
      <c r="C1183" s="83" t="s">
        <v>76</v>
      </c>
      <c r="D1183" s="75"/>
      <c r="E1183" s="75"/>
      <c r="F1183" s="81" t="s">
        <v>166</v>
      </c>
      <c r="G1183" s="55" t="s">
        <v>1686</v>
      </c>
      <c r="H1183" s="55" t="s">
        <v>124</v>
      </c>
      <c r="I1183" s="59" t="s">
        <v>1050</v>
      </c>
      <c r="J1183" s="60" t="s">
        <v>1687</v>
      </c>
      <c r="K1183" s="63"/>
      <c r="L1183" s="59"/>
      <c r="M1183" s="59"/>
      <c r="N1183" s="59"/>
      <c r="O1183" s="60">
        <f t="shared" si="122"/>
        <v>1183</v>
      </c>
      <c r="P1183" s="65"/>
    </row>
    <row r="1184" spans="3:16">
      <c r="C1184" s="83" t="s">
        <v>76</v>
      </c>
      <c r="D1184" s="75"/>
      <c r="E1184" s="75"/>
      <c r="F1184" s="81" t="s">
        <v>166</v>
      </c>
      <c r="G1184" s="55" t="s">
        <v>1688</v>
      </c>
      <c r="H1184" s="55" t="s">
        <v>124</v>
      </c>
      <c r="I1184" s="59" t="s">
        <v>126</v>
      </c>
      <c r="J1184" s="60" t="s">
        <v>1689</v>
      </c>
      <c r="K1184" s="63"/>
      <c r="L1184" s="59"/>
      <c r="M1184" s="59"/>
      <c r="N1184" s="59"/>
      <c r="O1184" s="60">
        <f t="shared" si="122"/>
        <v>1184</v>
      </c>
      <c r="P1184" s="65"/>
    </row>
    <row r="1185" spans="3:22">
      <c r="C1185" s="83" t="s">
        <v>77</v>
      </c>
      <c r="D1185" s="75">
        <v>36</v>
      </c>
      <c r="E1185" s="75">
        <v>26</v>
      </c>
      <c r="F1185" s="81" t="s">
        <v>151</v>
      </c>
      <c r="G1185" s="55" t="s">
        <v>2066</v>
      </c>
      <c r="H1185" s="55" t="s">
        <v>124</v>
      </c>
      <c r="I1185" s="59">
        <v>0</v>
      </c>
      <c r="J1185" s="60" t="s">
        <v>2067</v>
      </c>
      <c r="K1185" s="63" t="str">
        <f t="shared" ref="K1185:K1236" si="124">C1185&amp;F1185</f>
        <v>XGF-TC4UDInput</v>
      </c>
      <c r="L1185" s="59">
        <f t="shared" ref="L1185:L1216" si="125">COUNTIF($C$2:$C$2062,C1185)</f>
        <v>87</v>
      </c>
      <c r="M1185" s="59">
        <f t="shared" ref="M1185:M1216" si="126">COUNTIF($K$2:$K$2062,K1185)</f>
        <v>61</v>
      </c>
      <c r="N1185" s="59">
        <f t="shared" si="123"/>
        <v>26</v>
      </c>
      <c r="O1185" s="60">
        <f t="shared" si="122"/>
        <v>1185</v>
      </c>
      <c r="P1185" s="65" t="s">
        <v>3214</v>
      </c>
      <c r="Q1185">
        <f>O1185</f>
        <v>1185</v>
      </c>
      <c r="R1185" t="s">
        <v>3215</v>
      </c>
      <c r="S1185">
        <v>1272</v>
      </c>
      <c r="T1185" t="str">
        <f>P1185&amp;Q1185&amp;R1185&amp;S1185</f>
        <v>All data map'!$F$1185:$J$1272</v>
      </c>
      <c r="V1185" t="s">
        <v>3258</v>
      </c>
    </row>
    <row r="1186" spans="3:22">
      <c r="C1186" s="83" t="s">
        <v>77</v>
      </c>
      <c r="D1186" s="75"/>
      <c r="E1186" s="75"/>
      <c r="F1186" s="81" t="s">
        <v>151</v>
      </c>
      <c r="G1186" s="55" t="s">
        <v>2068</v>
      </c>
      <c r="H1186" s="55" t="s">
        <v>124</v>
      </c>
      <c r="I1186" s="59">
        <v>0.1</v>
      </c>
      <c r="J1186" s="60" t="s">
        <v>2069</v>
      </c>
      <c r="K1186" s="63" t="str">
        <f t="shared" si="124"/>
        <v>XGF-TC4UDInput</v>
      </c>
      <c r="L1186" s="59">
        <f t="shared" si="125"/>
        <v>87</v>
      </c>
      <c r="M1186" s="59">
        <f t="shared" si="126"/>
        <v>61</v>
      </c>
      <c r="N1186" s="59">
        <f t="shared" si="123"/>
        <v>26</v>
      </c>
      <c r="O1186" s="60">
        <f t="shared" si="122"/>
        <v>1186</v>
      </c>
      <c r="P1186" s="65"/>
    </row>
    <row r="1187" spans="3:22">
      <c r="C1187" s="83" t="s">
        <v>77</v>
      </c>
      <c r="D1187" s="75"/>
      <c r="E1187" s="75"/>
      <c r="F1187" s="81" t="s">
        <v>151</v>
      </c>
      <c r="G1187" s="55" t="s">
        <v>2070</v>
      </c>
      <c r="H1187" s="55" t="s">
        <v>124</v>
      </c>
      <c r="I1187" s="59">
        <v>0.2</v>
      </c>
      <c r="J1187" s="60" t="s">
        <v>2071</v>
      </c>
      <c r="K1187" s="63" t="str">
        <f t="shared" si="124"/>
        <v>XGF-TC4UDInput</v>
      </c>
      <c r="L1187" s="59">
        <f t="shared" si="125"/>
        <v>87</v>
      </c>
      <c r="M1187" s="59">
        <f t="shared" si="126"/>
        <v>61</v>
      </c>
      <c r="N1187" s="59">
        <f t="shared" si="123"/>
        <v>26</v>
      </c>
      <c r="O1187" s="60">
        <f t="shared" si="122"/>
        <v>1187</v>
      </c>
      <c r="P1187" s="65"/>
    </row>
    <row r="1188" spans="3:22">
      <c r="C1188" s="83" t="s">
        <v>77</v>
      </c>
      <c r="D1188" s="75"/>
      <c r="E1188" s="75"/>
      <c r="F1188" s="81" t="s">
        <v>151</v>
      </c>
      <c r="G1188" s="55" t="s">
        <v>2072</v>
      </c>
      <c r="H1188" s="55" t="s">
        <v>124</v>
      </c>
      <c r="I1188" s="59">
        <v>0.3</v>
      </c>
      <c r="J1188" s="60" t="s">
        <v>2073</v>
      </c>
      <c r="K1188" s="63" t="str">
        <f t="shared" si="124"/>
        <v>XGF-TC4UDInput</v>
      </c>
      <c r="L1188" s="59">
        <f t="shared" si="125"/>
        <v>87</v>
      </c>
      <c r="M1188" s="59">
        <f t="shared" si="126"/>
        <v>61</v>
      </c>
      <c r="N1188" s="59">
        <f t="shared" si="123"/>
        <v>26</v>
      </c>
      <c r="O1188" s="60">
        <f t="shared" si="122"/>
        <v>1188</v>
      </c>
      <c r="P1188" s="65"/>
    </row>
    <row r="1189" spans="3:22">
      <c r="C1189" s="83" t="s">
        <v>77</v>
      </c>
      <c r="D1189" s="75"/>
      <c r="E1189" s="75"/>
      <c r="F1189" s="81" t="s">
        <v>151</v>
      </c>
      <c r="G1189" s="55" t="s">
        <v>2074</v>
      </c>
      <c r="H1189" s="55" t="s">
        <v>124</v>
      </c>
      <c r="I1189" s="59">
        <v>0.4</v>
      </c>
      <c r="J1189" s="60" t="s">
        <v>2075</v>
      </c>
      <c r="K1189" s="63" t="str">
        <f t="shared" si="124"/>
        <v>XGF-TC4UDInput</v>
      </c>
      <c r="L1189" s="59">
        <f t="shared" si="125"/>
        <v>87</v>
      </c>
      <c r="M1189" s="59">
        <f t="shared" si="126"/>
        <v>61</v>
      </c>
      <c r="N1189" s="59">
        <f t="shared" si="123"/>
        <v>26</v>
      </c>
      <c r="O1189" s="60">
        <f t="shared" si="122"/>
        <v>1189</v>
      </c>
      <c r="P1189" s="65"/>
    </row>
    <row r="1190" spans="3:22">
      <c r="C1190" s="83" t="s">
        <v>77</v>
      </c>
      <c r="D1190" s="75"/>
      <c r="E1190" s="75"/>
      <c r="F1190" s="81" t="s">
        <v>151</v>
      </c>
      <c r="G1190" s="55" t="s">
        <v>2076</v>
      </c>
      <c r="H1190" s="55" t="s">
        <v>124</v>
      </c>
      <c r="I1190" s="59">
        <v>0.5</v>
      </c>
      <c r="J1190" s="60" t="s">
        <v>2077</v>
      </c>
      <c r="K1190" s="63" t="str">
        <f t="shared" si="124"/>
        <v>XGF-TC4UDInput</v>
      </c>
      <c r="L1190" s="59">
        <f t="shared" si="125"/>
        <v>87</v>
      </c>
      <c r="M1190" s="59">
        <f t="shared" si="126"/>
        <v>61</v>
      </c>
      <c r="N1190" s="59">
        <f t="shared" si="123"/>
        <v>26</v>
      </c>
      <c r="O1190" s="60">
        <f t="shared" si="122"/>
        <v>1190</v>
      </c>
      <c r="P1190" s="65"/>
    </row>
    <row r="1191" spans="3:22">
      <c r="C1191" s="83" t="s">
        <v>77</v>
      </c>
      <c r="D1191" s="75"/>
      <c r="E1191" s="75"/>
      <c r="F1191" s="81" t="s">
        <v>151</v>
      </c>
      <c r="G1191" s="55" t="s">
        <v>2078</v>
      </c>
      <c r="H1191" s="55" t="s">
        <v>124</v>
      </c>
      <c r="I1191" s="59">
        <v>0.6</v>
      </c>
      <c r="J1191" s="60" t="s">
        <v>2079</v>
      </c>
      <c r="K1191" s="63" t="str">
        <f t="shared" si="124"/>
        <v>XGF-TC4UDInput</v>
      </c>
      <c r="L1191" s="59">
        <f t="shared" si="125"/>
        <v>87</v>
      </c>
      <c r="M1191" s="59">
        <f t="shared" si="126"/>
        <v>61</v>
      </c>
      <c r="N1191" s="59">
        <f t="shared" si="123"/>
        <v>26</v>
      </c>
      <c r="O1191" s="60">
        <f t="shared" si="122"/>
        <v>1191</v>
      </c>
      <c r="P1191" s="65"/>
    </row>
    <row r="1192" spans="3:22">
      <c r="C1192" s="83" t="s">
        <v>77</v>
      </c>
      <c r="D1192" s="75"/>
      <c r="E1192" s="75"/>
      <c r="F1192" s="81" t="s">
        <v>151</v>
      </c>
      <c r="G1192" s="55" t="s">
        <v>2080</v>
      </c>
      <c r="H1192" s="55" t="s">
        <v>124</v>
      </c>
      <c r="I1192" s="59">
        <v>0.7</v>
      </c>
      <c r="J1192" s="60" t="s">
        <v>2081</v>
      </c>
      <c r="K1192" s="63" t="str">
        <f t="shared" si="124"/>
        <v>XGF-TC4UDInput</v>
      </c>
      <c r="L1192" s="59">
        <f t="shared" si="125"/>
        <v>87</v>
      </c>
      <c r="M1192" s="59">
        <f t="shared" si="126"/>
        <v>61</v>
      </c>
      <c r="N1192" s="59">
        <f t="shared" si="123"/>
        <v>26</v>
      </c>
      <c r="O1192" s="60">
        <f t="shared" si="122"/>
        <v>1192</v>
      </c>
      <c r="P1192" s="65"/>
    </row>
    <row r="1193" spans="3:22">
      <c r="C1193" s="83" t="s">
        <v>77</v>
      </c>
      <c r="D1193" s="75"/>
      <c r="E1193" s="75"/>
      <c r="F1193" s="81" t="s">
        <v>151</v>
      </c>
      <c r="G1193" s="55" t="s">
        <v>2082</v>
      </c>
      <c r="H1193" s="55" t="s">
        <v>124</v>
      </c>
      <c r="I1193" s="59">
        <v>0.8</v>
      </c>
      <c r="J1193" s="60" t="s">
        <v>2083</v>
      </c>
      <c r="K1193" s="63" t="str">
        <f t="shared" si="124"/>
        <v>XGF-TC4UDInput</v>
      </c>
      <c r="L1193" s="59">
        <f t="shared" si="125"/>
        <v>87</v>
      </c>
      <c r="M1193" s="59">
        <f t="shared" si="126"/>
        <v>61</v>
      </c>
      <c r="N1193" s="59">
        <f t="shared" si="123"/>
        <v>26</v>
      </c>
      <c r="O1193" s="60">
        <f t="shared" si="122"/>
        <v>1193</v>
      </c>
      <c r="P1193" s="65"/>
    </row>
    <row r="1194" spans="3:22">
      <c r="C1194" s="83" t="s">
        <v>77</v>
      </c>
      <c r="D1194" s="75"/>
      <c r="E1194" s="75"/>
      <c r="F1194" s="81" t="s">
        <v>151</v>
      </c>
      <c r="G1194" s="55" t="s">
        <v>2084</v>
      </c>
      <c r="H1194" s="55" t="s">
        <v>124</v>
      </c>
      <c r="I1194" s="59">
        <v>0.9</v>
      </c>
      <c r="J1194" s="60" t="s">
        <v>2085</v>
      </c>
      <c r="K1194" s="63" t="str">
        <f t="shared" si="124"/>
        <v>XGF-TC4UDInput</v>
      </c>
      <c r="L1194" s="59">
        <f t="shared" si="125"/>
        <v>87</v>
      </c>
      <c r="M1194" s="59">
        <f t="shared" si="126"/>
        <v>61</v>
      </c>
      <c r="N1194" s="59">
        <f t="shared" si="123"/>
        <v>26</v>
      </c>
      <c r="O1194" s="60">
        <f t="shared" si="122"/>
        <v>1194</v>
      </c>
      <c r="P1194" s="65"/>
    </row>
    <row r="1195" spans="3:22">
      <c r="C1195" s="83" t="s">
        <v>77</v>
      </c>
      <c r="D1195" s="75"/>
      <c r="E1195" s="75"/>
      <c r="F1195" s="81" t="s">
        <v>151</v>
      </c>
      <c r="G1195" s="55" t="s">
        <v>2086</v>
      </c>
      <c r="H1195" s="55" t="s">
        <v>124</v>
      </c>
      <c r="I1195" s="59" t="s">
        <v>988</v>
      </c>
      <c r="J1195" s="60" t="s">
        <v>2087</v>
      </c>
      <c r="K1195" s="63" t="str">
        <f t="shared" si="124"/>
        <v>XGF-TC4UDInput</v>
      </c>
      <c r="L1195" s="59">
        <f t="shared" si="125"/>
        <v>87</v>
      </c>
      <c r="M1195" s="59">
        <f t="shared" si="126"/>
        <v>61</v>
      </c>
      <c r="N1195" s="59">
        <f t="shared" si="123"/>
        <v>26</v>
      </c>
      <c r="O1195" s="60">
        <f t="shared" si="122"/>
        <v>1195</v>
      </c>
      <c r="P1195" s="65"/>
    </row>
    <row r="1196" spans="3:22">
      <c r="C1196" s="83" t="s">
        <v>77</v>
      </c>
      <c r="D1196" s="75"/>
      <c r="E1196" s="75"/>
      <c r="F1196" s="81" t="s">
        <v>151</v>
      </c>
      <c r="G1196" s="55" t="s">
        <v>2088</v>
      </c>
      <c r="H1196" s="55" t="s">
        <v>124</v>
      </c>
      <c r="I1196" s="59" t="s">
        <v>991</v>
      </c>
      <c r="J1196" s="60" t="s">
        <v>2089</v>
      </c>
      <c r="K1196" s="63" t="str">
        <f t="shared" si="124"/>
        <v>XGF-TC4UDInput</v>
      </c>
      <c r="L1196" s="59">
        <f t="shared" si="125"/>
        <v>87</v>
      </c>
      <c r="M1196" s="59">
        <f t="shared" si="126"/>
        <v>61</v>
      </c>
      <c r="N1196" s="59">
        <f t="shared" si="123"/>
        <v>26</v>
      </c>
      <c r="O1196" s="60">
        <f t="shared" si="122"/>
        <v>1196</v>
      </c>
      <c r="P1196" s="65"/>
    </row>
    <row r="1197" spans="3:22">
      <c r="C1197" s="83" t="s">
        <v>77</v>
      </c>
      <c r="D1197" s="75"/>
      <c r="E1197" s="75"/>
      <c r="F1197" s="81" t="s">
        <v>151</v>
      </c>
      <c r="G1197" s="55" t="s">
        <v>2090</v>
      </c>
      <c r="H1197" s="55" t="s">
        <v>124</v>
      </c>
      <c r="I1197" s="59" t="s">
        <v>1133</v>
      </c>
      <c r="J1197" s="60" t="s">
        <v>2091</v>
      </c>
      <c r="K1197" s="63" t="str">
        <f t="shared" si="124"/>
        <v>XGF-TC4UDInput</v>
      </c>
      <c r="L1197" s="59">
        <f t="shared" si="125"/>
        <v>87</v>
      </c>
      <c r="M1197" s="59">
        <f t="shared" si="126"/>
        <v>61</v>
      </c>
      <c r="N1197" s="59">
        <f t="shared" si="123"/>
        <v>26</v>
      </c>
      <c r="O1197" s="60">
        <f t="shared" si="122"/>
        <v>1197</v>
      </c>
      <c r="P1197" s="65"/>
    </row>
    <row r="1198" spans="3:22">
      <c r="C1198" s="83" t="s">
        <v>77</v>
      </c>
      <c r="D1198" s="75"/>
      <c r="E1198" s="75"/>
      <c r="F1198" s="81" t="s">
        <v>151</v>
      </c>
      <c r="G1198" s="55" t="s">
        <v>2092</v>
      </c>
      <c r="H1198" s="55" t="s">
        <v>124</v>
      </c>
      <c r="I1198" s="59" t="s">
        <v>1050</v>
      </c>
      <c r="J1198" s="60" t="s">
        <v>2093</v>
      </c>
      <c r="K1198" s="63" t="str">
        <f t="shared" si="124"/>
        <v>XGF-TC4UDInput</v>
      </c>
      <c r="L1198" s="59">
        <f t="shared" si="125"/>
        <v>87</v>
      </c>
      <c r="M1198" s="59">
        <f t="shared" si="126"/>
        <v>61</v>
      </c>
      <c r="N1198" s="59">
        <f t="shared" si="123"/>
        <v>26</v>
      </c>
      <c r="O1198" s="60">
        <f t="shared" si="122"/>
        <v>1198</v>
      </c>
      <c r="P1198" s="65"/>
    </row>
    <row r="1199" spans="3:22">
      <c r="C1199" s="83" t="s">
        <v>77</v>
      </c>
      <c r="D1199" s="75"/>
      <c r="E1199" s="75"/>
      <c r="F1199" s="81" t="s">
        <v>151</v>
      </c>
      <c r="G1199" s="55" t="s">
        <v>2094</v>
      </c>
      <c r="H1199" s="55" t="s">
        <v>124</v>
      </c>
      <c r="I1199" s="59" t="s">
        <v>126</v>
      </c>
      <c r="J1199" s="60" t="s">
        <v>2095</v>
      </c>
      <c r="K1199" s="63" t="str">
        <f t="shared" si="124"/>
        <v>XGF-TC4UDInput</v>
      </c>
      <c r="L1199" s="59">
        <f t="shared" si="125"/>
        <v>87</v>
      </c>
      <c r="M1199" s="59">
        <f t="shared" si="126"/>
        <v>61</v>
      </c>
      <c r="N1199" s="59">
        <f t="shared" si="123"/>
        <v>26</v>
      </c>
      <c r="O1199" s="60">
        <f t="shared" si="122"/>
        <v>1199</v>
      </c>
      <c r="P1199" s="65"/>
    </row>
    <row r="1200" spans="3:22">
      <c r="C1200" s="83" t="s">
        <v>77</v>
      </c>
      <c r="D1200" s="75"/>
      <c r="E1200" s="75"/>
      <c r="F1200" s="81" t="s">
        <v>151</v>
      </c>
      <c r="G1200" s="55" t="s">
        <v>2096</v>
      </c>
      <c r="H1200" s="55" t="s">
        <v>124</v>
      </c>
      <c r="I1200" s="59">
        <v>1</v>
      </c>
      <c r="J1200" s="60" t="s">
        <v>2097</v>
      </c>
      <c r="K1200" s="63" t="str">
        <f t="shared" si="124"/>
        <v>XGF-TC4UDInput</v>
      </c>
      <c r="L1200" s="59">
        <f t="shared" si="125"/>
        <v>87</v>
      </c>
      <c r="M1200" s="59">
        <f t="shared" si="126"/>
        <v>61</v>
      </c>
      <c r="N1200" s="59">
        <f t="shared" si="123"/>
        <v>26</v>
      </c>
      <c r="O1200" s="60">
        <f t="shared" si="122"/>
        <v>1200</v>
      </c>
      <c r="P1200" s="65"/>
    </row>
    <row r="1201" spans="3:16">
      <c r="C1201" s="83" t="s">
        <v>77</v>
      </c>
      <c r="D1201" s="75"/>
      <c r="E1201" s="75"/>
      <c r="F1201" s="81" t="s">
        <v>151</v>
      </c>
      <c r="G1201" s="55" t="s">
        <v>2098</v>
      </c>
      <c r="H1201" s="55" t="s">
        <v>124</v>
      </c>
      <c r="I1201" s="59">
        <v>1.8</v>
      </c>
      <c r="J1201" s="60" t="s">
        <v>2099</v>
      </c>
      <c r="K1201" s="63" t="str">
        <f t="shared" si="124"/>
        <v>XGF-TC4UDInput</v>
      </c>
      <c r="L1201" s="59">
        <f t="shared" si="125"/>
        <v>87</v>
      </c>
      <c r="M1201" s="59">
        <f t="shared" si="126"/>
        <v>61</v>
      </c>
      <c r="N1201" s="59">
        <f t="shared" si="123"/>
        <v>26</v>
      </c>
      <c r="O1201" s="60">
        <f t="shared" si="122"/>
        <v>1201</v>
      </c>
      <c r="P1201" s="65"/>
    </row>
    <row r="1202" spans="3:16">
      <c r="C1202" s="83" t="s">
        <v>77</v>
      </c>
      <c r="D1202" s="75"/>
      <c r="E1202" s="75"/>
      <c r="F1202" s="81" t="s">
        <v>151</v>
      </c>
      <c r="G1202" s="55" t="s">
        <v>2100</v>
      </c>
      <c r="H1202" s="55" t="s">
        <v>124</v>
      </c>
      <c r="I1202" s="59">
        <v>2</v>
      </c>
      <c r="J1202" s="60" t="s">
        <v>2101</v>
      </c>
      <c r="K1202" s="63" t="str">
        <f t="shared" si="124"/>
        <v>XGF-TC4UDInput</v>
      </c>
      <c r="L1202" s="59">
        <f t="shared" si="125"/>
        <v>87</v>
      </c>
      <c r="M1202" s="59">
        <f t="shared" si="126"/>
        <v>61</v>
      </c>
      <c r="N1202" s="59">
        <f t="shared" si="123"/>
        <v>26</v>
      </c>
      <c r="O1202" s="60">
        <f t="shared" si="122"/>
        <v>1202</v>
      </c>
      <c r="P1202" s="65"/>
    </row>
    <row r="1203" spans="3:16">
      <c r="C1203" s="83" t="s">
        <v>77</v>
      </c>
      <c r="D1203" s="75"/>
      <c r="E1203" s="75"/>
      <c r="F1203" s="81" t="s">
        <v>151</v>
      </c>
      <c r="G1203" s="55" t="s">
        <v>2102</v>
      </c>
      <c r="H1203" s="55" t="s">
        <v>124</v>
      </c>
      <c r="I1203" s="59">
        <v>2.1</v>
      </c>
      <c r="J1203" s="60" t="s">
        <v>2103</v>
      </c>
      <c r="K1203" s="63" t="str">
        <f t="shared" si="124"/>
        <v>XGF-TC4UDInput</v>
      </c>
      <c r="L1203" s="59">
        <f t="shared" si="125"/>
        <v>87</v>
      </c>
      <c r="M1203" s="59">
        <f t="shared" si="126"/>
        <v>61</v>
      </c>
      <c r="N1203" s="59">
        <f t="shared" si="123"/>
        <v>26</v>
      </c>
      <c r="O1203" s="60">
        <f t="shared" si="122"/>
        <v>1203</v>
      </c>
      <c r="P1203" s="65"/>
    </row>
    <row r="1204" spans="3:16">
      <c r="C1204" s="83" t="s">
        <v>77</v>
      </c>
      <c r="D1204" s="75"/>
      <c r="E1204" s="75"/>
      <c r="F1204" s="81" t="s">
        <v>151</v>
      </c>
      <c r="G1204" s="55" t="s">
        <v>2104</v>
      </c>
      <c r="H1204" s="55" t="s">
        <v>124</v>
      </c>
      <c r="I1204" s="59">
        <v>2.2000000000000002</v>
      </c>
      <c r="J1204" s="60" t="s">
        <v>2105</v>
      </c>
      <c r="K1204" s="63" t="str">
        <f t="shared" si="124"/>
        <v>XGF-TC4UDInput</v>
      </c>
      <c r="L1204" s="59">
        <f t="shared" si="125"/>
        <v>87</v>
      </c>
      <c r="M1204" s="59">
        <f t="shared" si="126"/>
        <v>61</v>
      </c>
      <c r="N1204" s="59">
        <f t="shared" si="123"/>
        <v>26</v>
      </c>
      <c r="O1204" s="60">
        <f t="shared" si="122"/>
        <v>1204</v>
      </c>
      <c r="P1204" s="65"/>
    </row>
    <row r="1205" spans="3:16">
      <c r="C1205" s="83" t="s">
        <v>77</v>
      </c>
      <c r="D1205" s="75"/>
      <c r="E1205" s="75"/>
      <c r="F1205" s="81" t="s">
        <v>151</v>
      </c>
      <c r="G1205" s="55" t="s">
        <v>2106</v>
      </c>
      <c r="H1205" s="55" t="s">
        <v>124</v>
      </c>
      <c r="I1205" s="59">
        <v>2.2999999999999998</v>
      </c>
      <c r="J1205" s="60" t="s">
        <v>2107</v>
      </c>
      <c r="K1205" s="63" t="str">
        <f t="shared" si="124"/>
        <v>XGF-TC4UDInput</v>
      </c>
      <c r="L1205" s="59">
        <f t="shared" si="125"/>
        <v>87</v>
      </c>
      <c r="M1205" s="59">
        <f t="shared" si="126"/>
        <v>61</v>
      </c>
      <c r="N1205" s="59">
        <f t="shared" si="123"/>
        <v>26</v>
      </c>
      <c r="O1205" s="60">
        <f t="shared" si="122"/>
        <v>1205</v>
      </c>
      <c r="P1205" s="65"/>
    </row>
    <row r="1206" spans="3:16">
      <c r="C1206" s="83" t="s">
        <v>77</v>
      </c>
      <c r="D1206" s="75"/>
      <c r="E1206" s="75"/>
      <c r="F1206" s="81" t="s">
        <v>151</v>
      </c>
      <c r="G1206" s="55" t="s">
        <v>2108</v>
      </c>
      <c r="H1206" s="55" t="s">
        <v>124</v>
      </c>
      <c r="I1206" s="59">
        <v>2.4</v>
      </c>
      <c r="J1206" s="60" t="s">
        <v>2109</v>
      </c>
      <c r="K1206" s="63" t="str">
        <f t="shared" si="124"/>
        <v>XGF-TC4UDInput</v>
      </c>
      <c r="L1206" s="59">
        <f t="shared" si="125"/>
        <v>87</v>
      </c>
      <c r="M1206" s="59">
        <f t="shared" si="126"/>
        <v>61</v>
      </c>
      <c r="N1206" s="59">
        <f t="shared" si="123"/>
        <v>26</v>
      </c>
      <c r="O1206" s="60">
        <f t="shared" si="122"/>
        <v>1206</v>
      </c>
      <c r="P1206" s="65"/>
    </row>
    <row r="1207" spans="3:16">
      <c r="C1207" s="83" t="s">
        <v>77</v>
      </c>
      <c r="D1207" s="75"/>
      <c r="E1207" s="75"/>
      <c r="F1207" s="81" t="s">
        <v>151</v>
      </c>
      <c r="G1207" s="55" t="s">
        <v>2110</v>
      </c>
      <c r="H1207" s="55" t="s">
        <v>124</v>
      </c>
      <c r="I1207" s="59">
        <v>2.5</v>
      </c>
      <c r="J1207" s="60" t="s">
        <v>2111</v>
      </c>
      <c r="K1207" s="63" t="str">
        <f t="shared" si="124"/>
        <v>XGF-TC4UDInput</v>
      </c>
      <c r="L1207" s="59">
        <f t="shared" si="125"/>
        <v>87</v>
      </c>
      <c r="M1207" s="59">
        <f t="shared" si="126"/>
        <v>61</v>
      </c>
      <c r="N1207" s="59">
        <f t="shared" si="123"/>
        <v>26</v>
      </c>
      <c r="O1207" s="60">
        <f t="shared" si="122"/>
        <v>1207</v>
      </c>
      <c r="P1207" s="65"/>
    </row>
    <row r="1208" spans="3:16">
      <c r="C1208" s="83" t="s">
        <v>77</v>
      </c>
      <c r="D1208" s="75"/>
      <c r="E1208" s="75"/>
      <c r="F1208" s="81" t="s">
        <v>151</v>
      </c>
      <c r="G1208" s="55" t="s">
        <v>2112</v>
      </c>
      <c r="H1208" s="55" t="s">
        <v>124</v>
      </c>
      <c r="I1208" s="59">
        <v>2.6</v>
      </c>
      <c r="J1208" s="60" t="s">
        <v>2113</v>
      </c>
      <c r="K1208" s="63" t="str">
        <f t="shared" si="124"/>
        <v>XGF-TC4UDInput</v>
      </c>
      <c r="L1208" s="59">
        <f t="shared" si="125"/>
        <v>87</v>
      </c>
      <c r="M1208" s="59">
        <f t="shared" si="126"/>
        <v>61</v>
      </c>
      <c r="N1208" s="59">
        <f t="shared" si="123"/>
        <v>26</v>
      </c>
      <c r="O1208" s="60">
        <f t="shared" si="122"/>
        <v>1208</v>
      </c>
      <c r="P1208" s="65"/>
    </row>
    <row r="1209" spans="3:16">
      <c r="C1209" s="83" t="s">
        <v>77</v>
      </c>
      <c r="D1209" s="75"/>
      <c r="E1209" s="75"/>
      <c r="F1209" s="81" t="s">
        <v>151</v>
      </c>
      <c r="G1209" s="55" t="s">
        <v>2114</v>
      </c>
      <c r="H1209" s="55" t="s">
        <v>124</v>
      </c>
      <c r="I1209" s="59">
        <v>2.7</v>
      </c>
      <c r="J1209" s="60" t="s">
        <v>2115</v>
      </c>
      <c r="K1209" s="63" t="str">
        <f t="shared" si="124"/>
        <v>XGF-TC4UDInput</v>
      </c>
      <c r="L1209" s="59">
        <f t="shared" si="125"/>
        <v>87</v>
      </c>
      <c r="M1209" s="59">
        <f t="shared" si="126"/>
        <v>61</v>
      </c>
      <c r="N1209" s="59">
        <f t="shared" si="123"/>
        <v>26</v>
      </c>
      <c r="O1209" s="60">
        <f t="shared" si="122"/>
        <v>1209</v>
      </c>
      <c r="P1209" s="65"/>
    </row>
    <row r="1210" spans="3:16">
      <c r="C1210" s="83" t="s">
        <v>77</v>
      </c>
      <c r="D1210" s="75"/>
      <c r="E1210" s="75"/>
      <c r="F1210" s="81" t="s">
        <v>151</v>
      </c>
      <c r="G1210" s="55" t="s">
        <v>2116</v>
      </c>
      <c r="H1210" s="55" t="s">
        <v>124</v>
      </c>
      <c r="I1210" s="59">
        <v>3</v>
      </c>
      <c r="J1210" s="60" t="s">
        <v>2117</v>
      </c>
      <c r="K1210" s="63" t="str">
        <f t="shared" si="124"/>
        <v>XGF-TC4UDInput</v>
      </c>
      <c r="L1210" s="59">
        <f t="shared" si="125"/>
        <v>87</v>
      </c>
      <c r="M1210" s="59">
        <f t="shared" si="126"/>
        <v>61</v>
      </c>
      <c r="N1210" s="59">
        <f t="shared" si="123"/>
        <v>26</v>
      </c>
      <c r="O1210" s="60">
        <f t="shared" si="122"/>
        <v>1210</v>
      </c>
      <c r="P1210" s="65"/>
    </row>
    <row r="1211" spans="3:16">
      <c r="C1211" s="83" t="s">
        <v>77</v>
      </c>
      <c r="D1211" s="75"/>
      <c r="E1211" s="75"/>
      <c r="F1211" s="81" t="s">
        <v>151</v>
      </c>
      <c r="G1211" s="55" t="s">
        <v>2118</v>
      </c>
      <c r="H1211" s="55" t="s">
        <v>124</v>
      </c>
      <c r="I1211" s="59">
        <v>3.1</v>
      </c>
      <c r="J1211" s="60" t="s">
        <v>2119</v>
      </c>
      <c r="K1211" s="63" t="str">
        <f t="shared" si="124"/>
        <v>XGF-TC4UDInput</v>
      </c>
      <c r="L1211" s="59">
        <f t="shared" si="125"/>
        <v>87</v>
      </c>
      <c r="M1211" s="59">
        <f t="shared" si="126"/>
        <v>61</v>
      </c>
      <c r="N1211" s="59">
        <f t="shared" si="123"/>
        <v>26</v>
      </c>
      <c r="O1211" s="60">
        <f t="shared" si="122"/>
        <v>1211</v>
      </c>
      <c r="P1211" s="65"/>
    </row>
    <row r="1212" spans="3:16">
      <c r="C1212" s="83" t="s">
        <v>77</v>
      </c>
      <c r="D1212" s="75"/>
      <c r="E1212" s="75"/>
      <c r="F1212" s="81" t="s">
        <v>151</v>
      </c>
      <c r="G1212" s="55" t="s">
        <v>2120</v>
      </c>
      <c r="H1212" s="55" t="s">
        <v>124</v>
      </c>
      <c r="I1212" s="59">
        <v>3.2</v>
      </c>
      <c r="J1212" s="60" t="s">
        <v>2121</v>
      </c>
      <c r="K1212" s="63" t="str">
        <f t="shared" si="124"/>
        <v>XGF-TC4UDInput</v>
      </c>
      <c r="L1212" s="59">
        <f t="shared" si="125"/>
        <v>87</v>
      </c>
      <c r="M1212" s="59">
        <f t="shared" si="126"/>
        <v>61</v>
      </c>
      <c r="N1212" s="59">
        <f t="shared" si="123"/>
        <v>26</v>
      </c>
      <c r="O1212" s="60">
        <f t="shared" si="122"/>
        <v>1212</v>
      </c>
      <c r="P1212" s="65"/>
    </row>
    <row r="1213" spans="3:16">
      <c r="C1213" s="83" t="s">
        <v>77</v>
      </c>
      <c r="D1213" s="75"/>
      <c r="E1213" s="75"/>
      <c r="F1213" s="81" t="s">
        <v>151</v>
      </c>
      <c r="G1213" s="55" t="s">
        <v>2122</v>
      </c>
      <c r="H1213" s="55" t="s">
        <v>124</v>
      </c>
      <c r="I1213" s="59">
        <v>3.3</v>
      </c>
      <c r="J1213" s="60" t="s">
        <v>2123</v>
      </c>
      <c r="K1213" s="63" t="str">
        <f t="shared" si="124"/>
        <v>XGF-TC4UDInput</v>
      </c>
      <c r="L1213" s="59">
        <f t="shared" si="125"/>
        <v>87</v>
      </c>
      <c r="M1213" s="59">
        <f t="shared" si="126"/>
        <v>61</v>
      </c>
      <c r="N1213" s="59">
        <f t="shared" si="123"/>
        <v>26</v>
      </c>
      <c r="O1213" s="60">
        <f t="shared" si="122"/>
        <v>1213</v>
      </c>
      <c r="P1213" s="65"/>
    </row>
    <row r="1214" spans="3:16">
      <c r="C1214" s="83" t="s">
        <v>77</v>
      </c>
      <c r="D1214" s="75"/>
      <c r="E1214" s="75"/>
      <c r="F1214" s="81" t="s">
        <v>151</v>
      </c>
      <c r="G1214" s="55" t="s">
        <v>2124</v>
      </c>
      <c r="H1214" s="55" t="s">
        <v>124</v>
      </c>
      <c r="I1214" s="59">
        <v>3.4</v>
      </c>
      <c r="J1214" s="60" t="s">
        <v>2125</v>
      </c>
      <c r="K1214" s="63" t="str">
        <f t="shared" si="124"/>
        <v>XGF-TC4UDInput</v>
      </c>
      <c r="L1214" s="59">
        <f t="shared" si="125"/>
        <v>87</v>
      </c>
      <c r="M1214" s="59">
        <f t="shared" si="126"/>
        <v>61</v>
      </c>
      <c r="N1214" s="59">
        <f t="shared" si="123"/>
        <v>26</v>
      </c>
      <c r="O1214" s="60">
        <f t="shared" si="122"/>
        <v>1214</v>
      </c>
      <c r="P1214" s="65"/>
    </row>
    <row r="1215" spans="3:16">
      <c r="C1215" s="83" t="s">
        <v>77</v>
      </c>
      <c r="D1215" s="75"/>
      <c r="E1215" s="75"/>
      <c r="F1215" s="81" t="s">
        <v>151</v>
      </c>
      <c r="G1215" s="55" t="s">
        <v>2126</v>
      </c>
      <c r="H1215" s="55" t="s">
        <v>124</v>
      </c>
      <c r="I1215" s="59">
        <v>3.5</v>
      </c>
      <c r="J1215" s="60" t="s">
        <v>2127</v>
      </c>
      <c r="K1215" s="63" t="str">
        <f t="shared" si="124"/>
        <v>XGF-TC4UDInput</v>
      </c>
      <c r="L1215" s="59">
        <f t="shared" si="125"/>
        <v>87</v>
      </c>
      <c r="M1215" s="59">
        <f t="shared" si="126"/>
        <v>61</v>
      </c>
      <c r="N1215" s="59">
        <f t="shared" si="123"/>
        <v>26</v>
      </c>
      <c r="O1215" s="60">
        <f t="shared" si="122"/>
        <v>1215</v>
      </c>
      <c r="P1215" s="65"/>
    </row>
    <row r="1216" spans="3:16">
      <c r="C1216" s="83" t="s">
        <v>77</v>
      </c>
      <c r="D1216" s="75"/>
      <c r="E1216" s="75"/>
      <c r="F1216" s="81" t="s">
        <v>151</v>
      </c>
      <c r="G1216" s="55" t="s">
        <v>2128</v>
      </c>
      <c r="H1216" s="55" t="s">
        <v>124</v>
      </c>
      <c r="I1216" s="59">
        <v>3.6</v>
      </c>
      <c r="J1216" s="60" t="s">
        <v>2129</v>
      </c>
      <c r="K1216" s="63" t="str">
        <f t="shared" si="124"/>
        <v>XGF-TC4UDInput</v>
      </c>
      <c r="L1216" s="59">
        <f t="shared" si="125"/>
        <v>87</v>
      </c>
      <c r="M1216" s="59">
        <f t="shared" si="126"/>
        <v>61</v>
      </c>
      <c r="N1216" s="59">
        <f t="shared" si="123"/>
        <v>26</v>
      </c>
      <c r="O1216" s="60">
        <f t="shared" si="122"/>
        <v>1216</v>
      </c>
      <c r="P1216" s="65"/>
    </row>
    <row r="1217" spans="3:16">
      <c r="C1217" s="83" t="s">
        <v>77</v>
      </c>
      <c r="D1217" s="75"/>
      <c r="E1217" s="75"/>
      <c r="F1217" s="81" t="s">
        <v>151</v>
      </c>
      <c r="G1217" s="55" t="s">
        <v>2130</v>
      </c>
      <c r="H1217" s="55" t="s">
        <v>124</v>
      </c>
      <c r="I1217" s="59">
        <v>3.7</v>
      </c>
      <c r="J1217" s="60" t="s">
        <v>2131</v>
      </c>
      <c r="K1217" s="63" t="str">
        <f t="shared" si="124"/>
        <v>XGF-TC4UDInput</v>
      </c>
      <c r="L1217" s="59">
        <f t="shared" ref="L1217:L1245" si="127">COUNTIF($C$2:$C$2062,C1217)</f>
        <v>87</v>
      </c>
      <c r="M1217" s="59">
        <f t="shared" ref="M1217:M1245" si="128">COUNTIF($K$2:$K$2062,K1217)</f>
        <v>61</v>
      </c>
      <c r="N1217" s="59">
        <f t="shared" si="123"/>
        <v>26</v>
      </c>
      <c r="O1217" s="60">
        <f t="shared" si="122"/>
        <v>1217</v>
      </c>
      <c r="P1217" s="65"/>
    </row>
    <row r="1218" spans="3:16">
      <c r="C1218" s="83" t="s">
        <v>77</v>
      </c>
      <c r="D1218" s="75"/>
      <c r="E1218" s="75"/>
      <c r="F1218" s="81" t="s">
        <v>151</v>
      </c>
      <c r="G1218" s="55" t="s">
        <v>2132</v>
      </c>
      <c r="H1218" s="55" t="s">
        <v>124</v>
      </c>
      <c r="I1218" s="59">
        <v>4</v>
      </c>
      <c r="J1218" s="60" t="s">
        <v>2133</v>
      </c>
      <c r="K1218" s="63" t="str">
        <f t="shared" si="124"/>
        <v>XGF-TC4UDInput</v>
      </c>
      <c r="L1218" s="59">
        <f t="shared" si="127"/>
        <v>87</v>
      </c>
      <c r="M1218" s="59">
        <f t="shared" si="128"/>
        <v>61</v>
      </c>
      <c r="N1218" s="59">
        <f t="shared" si="123"/>
        <v>26</v>
      </c>
      <c r="O1218" s="60">
        <f t="shared" ref="O1218:O1281" si="129">ROW(C1218)</f>
        <v>1218</v>
      </c>
      <c r="P1218" s="65"/>
    </row>
    <row r="1219" spans="3:16">
      <c r="C1219" s="83" t="s">
        <v>77</v>
      </c>
      <c r="D1219" s="75"/>
      <c r="E1219" s="75"/>
      <c r="F1219" s="81" t="s">
        <v>151</v>
      </c>
      <c r="G1219" s="55" t="s">
        <v>2134</v>
      </c>
      <c r="H1219" s="55" t="s">
        <v>124</v>
      </c>
      <c r="I1219" s="59">
        <v>4.0999999999999996</v>
      </c>
      <c r="J1219" s="60" t="s">
        <v>2135</v>
      </c>
      <c r="K1219" s="63" t="str">
        <f t="shared" si="124"/>
        <v>XGF-TC4UDInput</v>
      </c>
      <c r="L1219" s="59">
        <f t="shared" si="127"/>
        <v>87</v>
      </c>
      <c r="M1219" s="59">
        <f t="shared" si="128"/>
        <v>61</v>
      </c>
      <c r="N1219" s="59">
        <f t="shared" ref="N1219:N1282" si="130">L1219-M1219</f>
        <v>26</v>
      </c>
      <c r="O1219" s="60">
        <f t="shared" si="129"/>
        <v>1219</v>
      </c>
      <c r="P1219" s="65"/>
    </row>
    <row r="1220" spans="3:16">
      <c r="C1220" s="83" t="s">
        <v>77</v>
      </c>
      <c r="D1220" s="75"/>
      <c r="E1220" s="75"/>
      <c r="F1220" s="81" t="s">
        <v>151</v>
      </c>
      <c r="G1220" s="55" t="s">
        <v>2136</v>
      </c>
      <c r="H1220" s="55" t="s">
        <v>124</v>
      </c>
      <c r="I1220" s="59">
        <v>4.2</v>
      </c>
      <c r="J1220" s="60" t="s">
        <v>2137</v>
      </c>
      <c r="K1220" s="63" t="str">
        <f t="shared" si="124"/>
        <v>XGF-TC4UDInput</v>
      </c>
      <c r="L1220" s="59">
        <f t="shared" si="127"/>
        <v>87</v>
      </c>
      <c r="M1220" s="59">
        <f t="shared" si="128"/>
        <v>61</v>
      </c>
      <c r="N1220" s="59">
        <f t="shared" si="130"/>
        <v>26</v>
      </c>
      <c r="O1220" s="60">
        <f t="shared" si="129"/>
        <v>1220</v>
      </c>
      <c r="P1220" s="65"/>
    </row>
    <row r="1221" spans="3:16">
      <c r="C1221" s="83" t="s">
        <v>77</v>
      </c>
      <c r="D1221" s="75"/>
      <c r="E1221" s="75"/>
      <c r="F1221" s="81" t="s">
        <v>151</v>
      </c>
      <c r="G1221" s="55" t="s">
        <v>2138</v>
      </c>
      <c r="H1221" s="55" t="s">
        <v>124</v>
      </c>
      <c r="I1221" s="59">
        <v>4.3</v>
      </c>
      <c r="J1221" s="60" t="s">
        <v>2139</v>
      </c>
      <c r="K1221" s="63" t="str">
        <f t="shared" si="124"/>
        <v>XGF-TC4UDInput</v>
      </c>
      <c r="L1221" s="59">
        <f t="shared" si="127"/>
        <v>87</v>
      </c>
      <c r="M1221" s="59">
        <f t="shared" si="128"/>
        <v>61</v>
      </c>
      <c r="N1221" s="59">
        <f t="shared" si="130"/>
        <v>26</v>
      </c>
      <c r="O1221" s="60">
        <f t="shared" si="129"/>
        <v>1221</v>
      </c>
      <c r="P1221" s="65"/>
    </row>
    <row r="1222" spans="3:16">
      <c r="C1222" s="83" t="s">
        <v>77</v>
      </c>
      <c r="D1222" s="75"/>
      <c r="E1222" s="75"/>
      <c r="F1222" s="81" t="s">
        <v>151</v>
      </c>
      <c r="G1222" s="55" t="s">
        <v>2140</v>
      </c>
      <c r="H1222" s="55" t="s">
        <v>124</v>
      </c>
      <c r="I1222" s="59">
        <v>4.4000000000000004</v>
      </c>
      <c r="J1222" s="60" t="s">
        <v>2141</v>
      </c>
      <c r="K1222" s="63" t="str">
        <f t="shared" si="124"/>
        <v>XGF-TC4UDInput</v>
      </c>
      <c r="L1222" s="59">
        <f t="shared" si="127"/>
        <v>87</v>
      </c>
      <c r="M1222" s="59">
        <f t="shared" si="128"/>
        <v>61</v>
      </c>
      <c r="N1222" s="59">
        <f t="shared" si="130"/>
        <v>26</v>
      </c>
      <c r="O1222" s="60">
        <f t="shared" si="129"/>
        <v>1222</v>
      </c>
      <c r="P1222" s="65"/>
    </row>
    <row r="1223" spans="3:16">
      <c r="C1223" s="83" t="s">
        <v>77</v>
      </c>
      <c r="D1223" s="75"/>
      <c r="E1223" s="75"/>
      <c r="F1223" s="81" t="s">
        <v>151</v>
      </c>
      <c r="G1223" s="55" t="s">
        <v>2142</v>
      </c>
      <c r="H1223" s="55" t="s">
        <v>124</v>
      </c>
      <c r="I1223" s="59">
        <v>4.5</v>
      </c>
      <c r="J1223" s="60" t="s">
        <v>2143</v>
      </c>
      <c r="K1223" s="63" t="str">
        <f t="shared" si="124"/>
        <v>XGF-TC4UDInput</v>
      </c>
      <c r="L1223" s="59">
        <f t="shared" si="127"/>
        <v>87</v>
      </c>
      <c r="M1223" s="59">
        <f t="shared" si="128"/>
        <v>61</v>
      </c>
      <c r="N1223" s="59">
        <f t="shared" si="130"/>
        <v>26</v>
      </c>
      <c r="O1223" s="60">
        <f t="shared" si="129"/>
        <v>1223</v>
      </c>
      <c r="P1223" s="65"/>
    </row>
    <row r="1224" spans="3:16">
      <c r="C1224" s="83" t="s">
        <v>77</v>
      </c>
      <c r="D1224" s="75"/>
      <c r="E1224" s="75"/>
      <c r="F1224" s="81" t="s">
        <v>151</v>
      </c>
      <c r="G1224" s="55" t="s">
        <v>2144</v>
      </c>
      <c r="H1224" s="55" t="s">
        <v>124</v>
      </c>
      <c r="I1224" s="59">
        <v>4.5999999999999996</v>
      </c>
      <c r="J1224" s="60" t="s">
        <v>2145</v>
      </c>
      <c r="K1224" s="63" t="str">
        <f t="shared" si="124"/>
        <v>XGF-TC4UDInput</v>
      </c>
      <c r="L1224" s="59">
        <f t="shared" si="127"/>
        <v>87</v>
      </c>
      <c r="M1224" s="59">
        <f t="shared" si="128"/>
        <v>61</v>
      </c>
      <c r="N1224" s="59">
        <f t="shared" si="130"/>
        <v>26</v>
      </c>
      <c r="O1224" s="60">
        <f t="shared" si="129"/>
        <v>1224</v>
      </c>
      <c r="P1224" s="65"/>
    </row>
    <row r="1225" spans="3:16">
      <c r="C1225" s="83" t="s">
        <v>77</v>
      </c>
      <c r="D1225" s="75"/>
      <c r="E1225" s="75"/>
      <c r="F1225" s="81" t="s">
        <v>151</v>
      </c>
      <c r="G1225" s="55" t="s">
        <v>2146</v>
      </c>
      <c r="H1225" s="55" t="s">
        <v>124</v>
      </c>
      <c r="I1225" s="59">
        <v>4.7</v>
      </c>
      <c r="J1225" s="60" t="s">
        <v>2147</v>
      </c>
      <c r="K1225" s="63" t="str">
        <f t="shared" si="124"/>
        <v>XGF-TC4UDInput</v>
      </c>
      <c r="L1225" s="59">
        <f t="shared" si="127"/>
        <v>87</v>
      </c>
      <c r="M1225" s="59">
        <f t="shared" si="128"/>
        <v>61</v>
      </c>
      <c r="N1225" s="59">
        <f t="shared" si="130"/>
        <v>26</v>
      </c>
      <c r="O1225" s="60">
        <f t="shared" si="129"/>
        <v>1225</v>
      </c>
      <c r="P1225" s="65"/>
    </row>
    <row r="1226" spans="3:16">
      <c r="C1226" s="83" t="s">
        <v>77</v>
      </c>
      <c r="D1226" s="75"/>
      <c r="E1226" s="75"/>
      <c r="F1226" s="81" t="s">
        <v>151</v>
      </c>
      <c r="G1226" s="55" t="s">
        <v>2148</v>
      </c>
      <c r="H1226" s="55" t="s">
        <v>124</v>
      </c>
      <c r="I1226" s="59">
        <v>5</v>
      </c>
      <c r="J1226" s="60" t="s">
        <v>2149</v>
      </c>
      <c r="K1226" s="63" t="str">
        <f t="shared" si="124"/>
        <v>XGF-TC4UDInput</v>
      </c>
      <c r="L1226" s="59">
        <f t="shared" si="127"/>
        <v>87</v>
      </c>
      <c r="M1226" s="59">
        <f t="shared" si="128"/>
        <v>61</v>
      </c>
      <c r="N1226" s="59">
        <f t="shared" si="130"/>
        <v>26</v>
      </c>
      <c r="O1226" s="60">
        <f t="shared" si="129"/>
        <v>1226</v>
      </c>
      <c r="P1226" s="65"/>
    </row>
    <row r="1227" spans="3:16">
      <c r="C1227" s="83" t="s">
        <v>77</v>
      </c>
      <c r="D1227" s="75"/>
      <c r="E1227" s="75"/>
      <c r="F1227" s="81" t="s">
        <v>151</v>
      </c>
      <c r="G1227" s="55" t="s">
        <v>2150</v>
      </c>
      <c r="H1227" s="55" t="s">
        <v>124</v>
      </c>
      <c r="I1227" s="59">
        <v>5.0999999999999996</v>
      </c>
      <c r="J1227" s="60" t="s">
        <v>2151</v>
      </c>
      <c r="K1227" s="63" t="str">
        <f t="shared" si="124"/>
        <v>XGF-TC4UDInput</v>
      </c>
      <c r="L1227" s="59">
        <f t="shared" si="127"/>
        <v>87</v>
      </c>
      <c r="M1227" s="59">
        <f t="shared" si="128"/>
        <v>61</v>
      </c>
      <c r="N1227" s="59">
        <f t="shared" si="130"/>
        <v>26</v>
      </c>
      <c r="O1227" s="60">
        <f t="shared" si="129"/>
        <v>1227</v>
      </c>
      <c r="P1227" s="65"/>
    </row>
    <row r="1228" spans="3:16">
      <c r="C1228" s="83" t="s">
        <v>77</v>
      </c>
      <c r="D1228" s="75"/>
      <c r="E1228" s="75"/>
      <c r="F1228" s="81" t="s">
        <v>151</v>
      </c>
      <c r="G1228" s="55" t="s">
        <v>2152</v>
      </c>
      <c r="H1228" s="55" t="s">
        <v>124</v>
      </c>
      <c r="I1228" s="59">
        <v>5.2</v>
      </c>
      <c r="J1228" s="60" t="s">
        <v>2153</v>
      </c>
      <c r="K1228" s="63" t="str">
        <f t="shared" si="124"/>
        <v>XGF-TC4UDInput</v>
      </c>
      <c r="L1228" s="59">
        <f t="shared" si="127"/>
        <v>87</v>
      </c>
      <c r="M1228" s="59">
        <f t="shared" si="128"/>
        <v>61</v>
      </c>
      <c r="N1228" s="59">
        <f t="shared" si="130"/>
        <v>26</v>
      </c>
      <c r="O1228" s="60">
        <f t="shared" si="129"/>
        <v>1228</v>
      </c>
      <c r="P1228" s="65"/>
    </row>
    <row r="1229" spans="3:16">
      <c r="C1229" s="83" t="s">
        <v>77</v>
      </c>
      <c r="D1229" s="75"/>
      <c r="E1229" s="75"/>
      <c r="F1229" s="81" t="s">
        <v>151</v>
      </c>
      <c r="G1229" s="55" t="s">
        <v>2154</v>
      </c>
      <c r="H1229" s="55" t="s">
        <v>124</v>
      </c>
      <c r="I1229" s="59">
        <v>5.3</v>
      </c>
      <c r="J1229" s="60" t="s">
        <v>2155</v>
      </c>
      <c r="K1229" s="63" t="str">
        <f t="shared" si="124"/>
        <v>XGF-TC4UDInput</v>
      </c>
      <c r="L1229" s="59">
        <f t="shared" si="127"/>
        <v>87</v>
      </c>
      <c r="M1229" s="59">
        <f t="shared" si="128"/>
        <v>61</v>
      </c>
      <c r="N1229" s="59">
        <f t="shared" si="130"/>
        <v>26</v>
      </c>
      <c r="O1229" s="60">
        <f t="shared" si="129"/>
        <v>1229</v>
      </c>
      <c r="P1229" s="65"/>
    </row>
    <row r="1230" spans="3:16">
      <c r="C1230" s="83" t="s">
        <v>77</v>
      </c>
      <c r="D1230" s="75"/>
      <c r="E1230" s="75"/>
      <c r="F1230" s="81" t="s">
        <v>151</v>
      </c>
      <c r="G1230" s="55" t="s">
        <v>2156</v>
      </c>
      <c r="H1230" s="55" t="s">
        <v>124</v>
      </c>
      <c r="I1230" s="59">
        <v>5.4</v>
      </c>
      <c r="J1230" s="60" t="s">
        <v>2157</v>
      </c>
      <c r="K1230" s="63" t="str">
        <f t="shared" si="124"/>
        <v>XGF-TC4UDInput</v>
      </c>
      <c r="L1230" s="59">
        <f t="shared" si="127"/>
        <v>87</v>
      </c>
      <c r="M1230" s="59">
        <f t="shared" si="128"/>
        <v>61</v>
      </c>
      <c r="N1230" s="59">
        <f t="shared" si="130"/>
        <v>26</v>
      </c>
      <c r="O1230" s="60">
        <f t="shared" si="129"/>
        <v>1230</v>
      </c>
      <c r="P1230" s="65"/>
    </row>
    <row r="1231" spans="3:16">
      <c r="C1231" s="83" t="s">
        <v>77</v>
      </c>
      <c r="D1231" s="75"/>
      <c r="E1231" s="75"/>
      <c r="F1231" s="81" t="s">
        <v>151</v>
      </c>
      <c r="G1231" s="55" t="s">
        <v>2158</v>
      </c>
      <c r="H1231" s="55" t="s">
        <v>124</v>
      </c>
      <c r="I1231" s="59">
        <v>5.5</v>
      </c>
      <c r="J1231" s="60" t="s">
        <v>2159</v>
      </c>
      <c r="K1231" s="63" t="str">
        <f t="shared" si="124"/>
        <v>XGF-TC4UDInput</v>
      </c>
      <c r="L1231" s="59">
        <f t="shared" si="127"/>
        <v>87</v>
      </c>
      <c r="M1231" s="59">
        <f t="shared" si="128"/>
        <v>61</v>
      </c>
      <c r="N1231" s="59">
        <f t="shared" si="130"/>
        <v>26</v>
      </c>
      <c r="O1231" s="60">
        <f t="shared" si="129"/>
        <v>1231</v>
      </c>
      <c r="P1231" s="65"/>
    </row>
    <row r="1232" spans="3:16">
      <c r="C1232" s="83" t="s">
        <v>77</v>
      </c>
      <c r="D1232" s="75"/>
      <c r="E1232" s="75"/>
      <c r="F1232" s="81" t="s">
        <v>151</v>
      </c>
      <c r="G1232" s="55" t="s">
        <v>2160</v>
      </c>
      <c r="H1232" s="55" t="s">
        <v>124</v>
      </c>
      <c r="I1232" s="59">
        <v>5.6</v>
      </c>
      <c r="J1232" s="60" t="s">
        <v>2161</v>
      </c>
      <c r="K1232" s="63" t="str">
        <f t="shared" si="124"/>
        <v>XGF-TC4UDInput</v>
      </c>
      <c r="L1232" s="59">
        <f t="shared" si="127"/>
        <v>87</v>
      </c>
      <c r="M1232" s="59">
        <f t="shared" si="128"/>
        <v>61</v>
      </c>
      <c r="N1232" s="59">
        <f t="shared" si="130"/>
        <v>26</v>
      </c>
      <c r="O1232" s="60">
        <f t="shared" si="129"/>
        <v>1232</v>
      </c>
      <c r="P1232" s="65"/>
    </row>
    <row r="1233" spans="3:16">
      <c r="C1233" s="83" t="s">
        <v>77</v>
      </c>
      <c r="D1233" s="75"/>
      <c r="E1233" s="75"/>
      <c r="F1233" s="81" t="s">
        <v>151</v>
      </c>
      <c r="G1233" s="55" t="s">
        <v>2162</v>
      </c>
      <c r="H1233" s="55" t="s">
        <v>124</v>
      </c>
      <c r="I1233" s="59">
        <v>5.7</v>
      </c>
      <c r="J1233" s="60" t="s">
        <v>2163</v>
      </c>
      <c r="K1233" s="63" t="str">
        <f t="shared" si="124"/>
        <v>XGF-TC4UDInput</v>
      </c>
      <c r="L1233" s="59">
        <f t="shared" si="127"/>
        <v>87</v>
      </c>
      <c r="M1233" s="59">
        <f t="shared" si="128"/>
        <v>61</v>
      </c>
      <c r="N1233" s="59">
        <f t="shared" si="130"/>
        <v>26</v>
      </c>
      <c r="O1233" s="60">
        <f t="shared" si="129"/>
        <v>1233</v>
      </c>
      <c r="P1233" s="65"/>
    </row>
    <row r="1234" spans="3:16">
      <c r="C1234" s="83" t="s">
        <v>77</v>
      </c>
      <c r="D1234" s="75"/>
      <c r="E1234" s="75"/>
      <c r="F1234" s="81" t="s">
        <v>151</v>
      </c>
      <c r="G1234" s="55" t="s">
        <v>2164</v>
      </c>
      <c r="H1234" s="55" t="s">
        <v>139</v>
      </c>
      <c r="I1234" s="59">
        <v>6</v>
      </c>
      <c r="J1234" s="60" t="s">
        <v>2165</v>
      </c>
      <c r="K1234" s="63" t="str">
        <f t="shared" si="124"/>
        <v>XGF-TC4UDInput</v>
      </c>
      <c r="L1234" s="59">
        <f t="shared" si="127"/>
        <v>87</v>
      </c>
      <c r="M1234" s="59">
        <f t="shared" si="128"/>
        <v>61</v>
      </c>
      <c r="N1234" s="59">
        <f t="shared" si="130"/>
        <v>26</v>
      </c>
      <c r="O1234" s="60">
        <f t="shared" si="129"/>
        <v>1234</v>
      </c>
      <c r="P1234" s="65"/>
    </row>
    <row r="1235" spans="3:16">
      <c r="C1235" s="83" t="s">
        <v>77</v>
      </c>
      <c r="D1235" s="75"/>
      <c r="E1235" s="75"/>
      <c r="F1235" s="81" t="s">
        <v>151</v>
      </c>
      <c r="G1235" s="55" t="s">
        <v>2166</v>
      </c>
      <c r="H1235" s="55" t="s">
        <v>139</v>
      </c>
      <c r="I1235" s="59">
        <v>7</v>
      </c>
      <c r="J1235" s="60" t="s">
        <v>2167</v>
      </c>
      <c r="K1235" s="63" t="str">
        <f t="shared" si="124"/>
        <v>XGF-TC4UDInput</v>
      </c>
      <c r="L1235" s="59">
        <f t="shared" si="127"/>
        <v>87</v>
      </c>
      <c r="M1235" s="59">
        <f t="shared" si="128"/>
        <v>61</v>
      </c>
      <c r="N1235" s="59">
        <f t="shared" si="130"/>
        <v>26</v>
      </c>
      <c r="O1235" s="60">
        <f t="shared" si="129"/>
        <v>1235</v>
      </c>
      <c r="P1235" s="65"/>
    </row>
    <row r="1236" spans="3:16">
      <c r="C1236" s="83" t="s">
        <v>77</v>
      </c>
      <c r="D1236" s="75"/>
      <c r="E1236" s="75"/>
      <c r="F1236" s="81" t="s">
        <v>151</v>
      </c>
      <c r="G1236" s="55" t="s">
        <v>2168</v>
      </c>
      <c r="H1236" s="55" t="s">
        <v>139</v>
      </c>
      <c r="I1236" s="59">
        <v>8</v>
      </c>
      <c r="J1236" s="60" t="s">
        <v>2169</v>
      </c>
      <c r="K1236" s="63" t="str">
        <f t="shared" si="124"/>
        <v>XGF-TC4UDInput</v>
      </c>
      <c r="L1236" s="59">
        <f t="shared" si="127"/>
        <v>87</v>
      </c>
      <c r="M1236" s="59">
        <f t="shared" si="128"/>
        <v>61</v>
      </c>
      <c r="N1236" s="59">
        <f t="shared" si="130"/>
        <v>26</v>
      </c>
      <c r="O1236" s="60">
        <f t="shared" si="129"/>
        <v>1236</v>
      </c>
      <c r="P1236" s="65"/>
    </row>
    <row r="1237" spans="3:16">
      <c r="C1237" s="83" t="s">
        <v>77</v>
      </c>
      <c r="D1237" s="75"/>
      <c r="E1237" s="75"/>
      <c r="F1237" s="81" t="s">
        <v>151</v>
      </c>
      <c r="G1237" s="55" t="s">
        <v>2170</v>
      </c>
      <c r="H1237" s="55" t="s">
        <v>139</v>
      </c>
      <c r="I1237" s="59">
        <v>9</v>
      </c>
      <c r="J1237" s="60" t="s">
        <v>2171</v>
      </c>
      <c r="K1237" s="63" t="str">
        <f t="shared" ref="K1237:K1300" si="131">C1237&amp;F1237</f>
        <v>XGF-TC4UDInput</v>
      </c>
      <c r="L1237" s="59">
        <f t="shared" si="127"/>
        <v>87</v>
      </c>
      <c r="M1237" s="59">
        <f t="shared" si="128"/>
        <v>61</v>
      </c>
      <c r="N1237" s="59">
        <f t="shared" si="130"/>
        <v>26</v>
      </c>
      <c r="O1237" s="60">
        <f t="shared" si="129"/>
        <v>1237</v>
      </c>
      <c r="P1237" s="65"/>
    </row>
    <row r="1238" spans="3:16">
      <c r="C1238" s="83" t="s">
        <v>77</v>
      </c>
      <c r="D1238" s="75"/>
      <c r="E1238" s="75"/>
      <c r="F1238" s="81" t="s">
        <v>151</v>
      </c>
      <c r="G1238" s="55" t="s">
        <v>2172</v>
      </c>
      <c r="H1238" s="55" t="s">
        <v>139</v>
      </c>
      <c r="I1238" s="59">
        <v>10</v>
      </c>
      <c r="J1238" s="60" t="s">
        <v>2173</v>
      </c>
      <c r="K1238" s="63" t="str">
        <f t="shared" si="131"/>
        <v>XGF-TC4UDInput</v>
      </c>
      <c r="L1238" s="59">
        <f t="shared" si="127"/>
        <v>87</v>
      </c>
      <c r="M1238" s="59">
        <f t="shared" si="128"/>
        <v>61</v>
      </c>
      <c r="N1238" s="59">
        <f t="shared" si="130"/>
        <v>26</v>
      </c>
      <c r="O1238" s="60">
        <f t="shared" si="129"/>
        <v>1238</v>
      </c>
      <c r="P1238" s="65"/>
    </row>
    <row r="1239" spans="3:16">
      <c r="C1239" s="83" t="s">
        <v>77</v>
      </c>
      <c r="D1239" s="75"/>
      <c r="E1239" s="75"/>
      <c r="F1239" s="81" t="s">
        <v>151</v>
      </c>
      <c r="G1239" s="55" t="s">
        <v>2174</v>
      </c>
      <c r="H1239" s="55" t="s">
        <v>139</v>
      </c>
      <c r="I1239" s="59">
        <v>11</v>
      </c>
      <c r="J1239" s="60" t="s">
        <v>2175</v>
      </c>
      <c r="K1239" s="63" t="str">
        <f t="shared" si="131"/>
        <v>XGF-TC4UDInput</v>
      </c>
      <c r="L1239" s="59">
        <f t="shared" si="127"/>
        <v>87</v>
      </c>
      <c r="M1239" s="59">
        <f t="shared" si="128"/>
        <v>61</v>
      </c>
      <c r="N1239" s="59">
        <f t="shared" si="130"/>
        <v>26</v>
      </c>
      <c r="O1239" s="60">
        <f t="shared" si="129"/>
        <v>1239</v>
      </c>
      <c r="P1239" s="65"/>
    </row>
    <row r="1240" spans="3:16">
      <c r="C1240" s="83" t="s">
        <v>77</v>
      </c>
      <c r="D1240" s="75"/>
      <c r="E1240" s="75"/>
      <c r="F1240" s="81" t="s">
        <v>151</v>
      </c>
      <c r="G1240" s="55" t="s">
        <v>2176</v>
      </c>
      <c r="H1240" s="55" t="s">
        <v>139</v>
      </c>
      <c r="I1240" s="59">
        <v>12</v>
      </c>
      <c r="J1240" s="60" t="s">
        <v>2177</v>
      </c>
      <c r="K1240" s="63" t="str">
        <f t="shared" si="131"/>
        <v>XGF-TC4UDInput</v>
      </c>
      <c r="L1240" s="59">
        <f t="shared" si="127"/>
        <v>87</v>
      </c>
      <c r="M1240" s="59">
        <f t="shared" si="128"/>
        <v>61</v>
      </c>
      <c r="N1240" s="59">
        <f t="shared" si="130"/>
        <v>26</v>
      </c>
      <c r="O1240" s="60">
        <f t="shared" si="129"/>
        <v>1240</v>
      </c>
      <c r="P1240" s="65"/>
    </row>
    <row r="1241" spans="3:16">
      <c r="C1241" s="83" t="s">
        <v>77</v>
      </c>
      <c r="D1241" s="75"/>
      <c r="E1241" s="75"/>
      <c r="F1241" s="81" t="s">
        <v>151</v>
      </c>
      <c r="G1241" s="55" t="s">
        <v>2178</v>
      </c>
      <c r="H1241" s="55" t="s">
        <v>139</v>
      </c>
      <c r="I1241" s="59">
        <v>13</v>
      </c>
      <c r="J1241" s="60" t="s">
        <v>2179</v>
      </c>
      <c r="K1241" s="63" t="str">
        <f t="shared" si="131"/>
        <v>XGF-TC4UDInput</v>
      </c>
      <c r="L1241" s="59">
        <f t="shared" si="127"/>
        <v>87</v>
      </c>
      <c r="M1241" s="59">
        <f t="shared" si="128"/>
        <v>61</v>
      </c>
      <c r="N1241" s="59">
        <f t="shared" si="130"/>
        <v>26</v>
      </c>
      <c r="O1241" s="60">
        <f t="shared" si="129"/>
        <v>1241</v>
      </c>
      <c r="P1241" s="65"/>
    </row>
    <row r="1242" spans="3:16">
      <c r="C1242" s="83" t="s">
        <v>77</v>
      </c>
      <c r="D1242" s="75"/>
      <c r="E1242" s="75"/>
      <c r="F1242" s="81" t="s">
        <v>151</v>
      </c>
      <c r="G1242" s="55" t="s">
        <v>2180</v>
      </c>
      <c r="H1242" s="55" t="s">
        <v>139</v>
      </c>
      <c r="I1242" s="59">
        <v>14</v>
      </c>
      <c r="J1242" s="60" t="s">
        <v>2181</v>
      </c>
      <c r="K1242" s="63" t="str">
        <f t="shared" si="131"/>
        <v>XGF-TC4UDInput</v>
      </c>
      <c r="L1242" s="59">
        <f t="shared" si="127"/>
        <v>87</v>
      </c>
      <c r="M1242" s="59">
        <f t="shared" si="128"/>
        <v>61</v>
      </c>
      <c r="N1242" s="59">
        <f t="shared" si="130"/>
        <v>26</v>
      </c>
      <c r="O1242" s="60">
        <f t="shared" si="129"/>
        <v>1242</v>
      </c>
      <c r="P1242" s="65"/>
    </row>
    <row r="1243" spans="3:16">
      <c r="C1243" s="83" t="s">
        <v>77</v>
      </c>
      <c r="D1243" s="75"/>
      <c r="E1243" s="75"/>
      <c r="F1243" s="81" t="s">
        <v>151</v>
      </c>
      <c r="G1243" s="55" t="s">
        <v>2182</v>
      </c>
      <c r="H1243" s="55" t="s">
        <v>139</v>
      </c>
      <c r="I1243" s="59">
        <v>15</v>
      </c>
      <c r="J1243" s="60" t="s">
        <v>2183</v>
      </c>
      <c r="K1243" s="63" t="str">
        <f t="shared" si="131"/>
        <v>XGF-TC4UDInput</v>
      </c>
      <c r="L1243" s="59">
        <f t="shared" si="127"/>
        <v>87</v>
      </c>
      <c r="M1243" s="59">
        <f t="shared" si="128"/>
        <v>61</v>
      </c>
      <c r="N1243" s="59">
        <f t="shared" si="130"/>
        <v>26</v>
      </c>
      <c r="O1243" s="60">
        <f t="shared" si="129"/>
        <v>1243</v>
      </c>
      <c r="P1243" s="65"/>
    </row>
    <row r="1244" spans="3:16">
      <c r="C1244" s="83" t="s">
        <v>77</v>
      </c>
      <c r="D1244" s="75"/>
      <c r="E1244" s="75"/>
      <c r="F1244" s="81" t="s">
        <v>151</v>
      </c>
      <c r="G1244" s="55" t="s">
        <v>2184</v>
      </c>
      <c r="H1244" s="55" t="s">
        <v>139</v>
      </c>
      <c r="I1244" s="59">
        <v>16</v>
      </c>
      <c r="J1244" s="60" t="s">
        <v>2185</v>
      </c>
      <c r="K1244" s="63" t="str">
        <f t="shared" si="131"/>
        <v>XGF-TC4UDInput</v>
      </c>
      <c r="L1244" s="59">
        <f t="shared" si="127"/>
        <v>87</v>
      </c>
      <c r="M1244" s="59">
        <f t="shared" si="128"/>
        <v>61</v>
      </c>
      <c r="N1244" s="59">
        <f t="shared" si="130"/>
        <v>26</v>
      </c>
      <c r="O1244" s="60">
        <f t="shared" si="129"/>
        <v>1244</v>
      </c>
      <c r="P1244" s="65"/>
    </row>
    <row r="1245" spans="3:16">
      <c r="C1245" s="83" t="s">
        <v>77</v>
      </c>
      <c r="D1245" s="75"/>
      <c r="E1245" s="75"/>
      <c r="F1245" s="81" t="s">
        <v>151</v>
      </c>
      <c r="G1245" s="55" t="s">
        <v>2186</v>
      </c>
      <c r="H1245" s="55" t="s">
        <v>139</v>
      </c>
      <c r="I1245" s="59">
        <v>17</v>
      </c>
      <c r="J1245" s="60" t="s">
        <v>2187</v>
      </c>
      <c r="K1245" s="63" t="str">
        <f t="shared" si="131"/>
        <v>XGF-TC4UDInput</v>
      </c>
      <c r="L1245" s="59">
        <f t="shared" si="127"/>
        <v>87</v>
      </c>
      <c r="M1245" s="59">
        <f t="shared" si="128"/>
        <v>61</v>
      </c>
      <c r="N1245" s="59">
        <f t="shared" si="130"/>
        <v>26</v>
      </c>
      <c r="O1245" s="60">
        <f t="shared" si="129"/>
        <v>1245</v>
      </c>
      <c r="P1245" s="65"/>
    </row>
    <row r="1246" spans="3:16">
      <c r="C1246" s="83" t="s">
        <v>77</v>
      </c>
      <c r="D1246" s="75"/>
      <c r="E1246" s="75"/>
      <c r="F1246" s="81" t="s">
        <v>166</v>
      </c>
      <c r="G1246" s="55" t="s">
        <v>2188</v>
      </c>
      <c r="H1246" s="55" t="s">
        <v>124</v>
      </c>
      <c r="I1246" s="59">
        <v>0</v>
      </c>
      <c r="J1246" s="60" t="s">
        <v>2189</v>
      </c>
      <c r="K1246" s="63"/>
      <c r="L1246" s="59"/>
      <c r="M1246" s="59"/>
      <c r="N1246" s="59"/>
      <c r="O1246" s="60">
        <f t="shared" si="129"/>
        <v>1246</v>
      </c>
      <c r="P1246" s="65"/>
    </row>
    <row r="1247" spans="3:16">
      <c r="C1247" s="83" t="s">
        <v>77</v>
      </c>
      <c r="D1247" s="75"/>
      <c r="E1247" s="75"/>
      <c r="F1247" s="81" t="s">
        <v>166</v>
      </c>
      <c r="G1247" s="55" t="s">
        <v>2190</v>
      </c>
      <c r="H1247" s="55" t="s">
        <v>124</v>
      </c>
      <c r="I1247" s="59">
        <v>0.1</v>
      </c>
      <c r="J1247" s="60" t="s">
        <v>2191</v>
      </c>
      <c r="K1247" s="63"/>
      <c r="L1247" s="59"/>
      <c r="M1247" s="59"/>
      <c r="N1247" s="59"/>
      <c r="O1247" s="60">
        <f t="shared" si="129"/>
        <v>1247</v>
      </c>
      <c r="P1247" s="65"/>
    </row>
    <row r="1248" spans="3:16">
      <c r="C1248" s="83" t="s">
        <v>77</v>
      </c>
      <c r="D1248" s="75"/>
      <c r="E1248" s="75"/>
      <c r="F1248" s="81" t="s">
        <v>166</v>
      </c>
      <c r="G1248" s="55" t="s">
        <v>2192</v>
      </c>
      <c r="H1248" s="55" t="s">
        <v>124</v>
      </c>
      <c r="I1248" s="59">
        <v>0.2</v>
      </c>
      <c r="J1248" s="60" t="s">
        <v>2193</v>
      </c>
      <c r="K1248" s="63"/>
      <c r="L1248" s="59"/>
      <c r="M1248" s="59"/>
      <c r="N1248" s="59"/>
      <c r="O1248" s="60">
        <f t="shared" si="129"/>
        <v>1248</v>
      </c>
      <c r="P1248" s="65"/>
    </row>
    <row r="1249" spans="3:16">
      <c r="C1249" s="83" t="s">
        <v>77</v>
      </c>
      <c r="D1249" s="75"/>
      <c r="E1249" s="75"/>
      <c r="F1249" s="81" t="s">
        <v>166</v>
      </c>
      <c r="G1249" s="55" t="s">
        <v>2194</v>
      </c>
      <c r="H1249" s="55" t="s">
        <v>124</v>
      </c>
      <c r="I1249" s="59">
        <v>0.3</v>
      </c>
      <c r="J1249" s="60" t="s">
        <v>2195</v>
      </c>
      <c r="K1249" s="63"/>
      <c r="L1249" s="59"/>
      <c r="M1249" s="59"/>
      <c r="N1249" s="59"/>
      <c r="O1249" s="60">
        <f t="shared" si="129"/>
        <v>1249</v>
      </c>
      <c r="P1249" s="65"/>
    </row>
    <row r="1250" spans="3:16">
      <c r="C1250" s="83" t="s">
        <v>77</v>
      </c>
      <c r="D1250" s="75"/>
      <c r="E1250" s="75"/>
      <c r="F1250" s="81" t="s">
        <v>166</v>
      </c>
      <c r="G1250" s="55" t="s">
        <v>2196</v>
      </c>
      <c r="H1250" s="55" t="s">
        <v>124</v>
      </c>
      <c r="I1250" s="59">
        <v>1</v>
      </c>
      <c r="J1250" s="60" t="s">
        <v>2197</v>
      </c>
      <c r="K1250" s="63"/>
      <c r="L1250" s="59"/>
      <c r="M1250" s="59"/>
      <c r="N1250" s="59"/>
      <c r="O1250" s="60">
        <f t="shared" si="129"/>
        <v>1250</v>
      </c>
      <c r="P1250" s="65"/>
    </row>
    <row r="1251" spans="3:16">
      <c r="C1251" s="83" t="s">
        <v>77</v>
      </c>
      <c r="D1251" s="75"/>
      <c r="E1251" s="75"/>
      <c r="F1251" s="81" t="s">
        <v>166</v>
      </c>
      <c r="G1251" s="55" t="s">
        <v>2198</v>
      </c>
      <c r="H1251" s="55" t="s">
        <v>124</v>
      </c>
      <c r="I1251" s="59">
        <v>1.1000000000000001</v>
      </c>
      <c r="J1251" s="60" t="s">
        <v>2199</v>
      </c>
      <c r="K1251" s="63"/>
      <c r="L1251" s="59"/>
      <c r="M1251" s="59"/>
      <c r="N1251" s="59"/>
      <c r="O1251" s="60">
        <f t="shared" si="129"/>
        <v>1251</v>
      </c>
      <c r="P1251" s="65"/>
    </row>
    <row r="1252" spans="3:16">
      <c r="C1252" s="83" t="s">
        <v>77</v>
      </c>
      <c r="D1252" s="75"/>
      <c r="E1252" s="75"/>
      <c r="F1252" s="81" t="s">
        <v>166</v>
      </c>
      <c r="G1252" s="55" t="s">
        <v>2200</v>
      </c>
      <c r="H1252" s="55" t="s">
        <v>124</v>
      </c>
      <c r="I1252" s="59">
        <v>1.2</v>
      </c>
      <c r="J1252" s="60" t="s">
        <v>2201</v>
      </c>
      <c r="K1252" s="63"/>
      <c r="L1252" s="59"/>
      <c r="M1252" s="59"/>
      <c r="N1252" s="59"/>
      <c r="O1252" s="60">
        <f t="shared" si="129"/>
        <v>1252</v>
      </c>
      <c r="P1252" s="65"/>
    </row>
    <row r="1253" spans="3:16">
      <c r="C1253" s="83" t="s">
        <v>77</v>
      </c>
      <c r="D1253" s="75"/>
      <c r="E1253" s="75"/>
      <c r="F1253" s="81" t="s">
        <v>166</v>
      </c>
      <c r="G1253" s="55" t="s">
        <v>2202</v>
      </c>
      <c r="H1253" s="55" t="s">
        <v>124</v>
      </c>
      <c r="I1253" s="59">
        <v>1.3</v>
      </c>
      <c r="J1253" s="60" t="s">
        <v>2203</v>
      </c>
      <c r="K1253" s="63"/>
      <c r="L1253" s="59"/>
      <c r="M1253" s="59"/>
      <c r="N1253" s="59"/>
      <c r="O1253" s="60">
        <f t="shared" si="129"/>
        <v>1253</v>
      </c>
      <c r="P1253" s="65"/>
    </row>
    <row r="1254" spans="3:16">
      <c r="C1254" s="83" t="s">
        <v>77</v>
      </c>
      <c r="D1254" s="75"/>
      <c r="E1254" s="75"/>
      <c r="F1254" s="81" t="s">
        <v>166</v>
      </c>
      <c r="G1254" s="55" t="s">
        <v>2204</v>
      </c>
      <c r="H1254" s="55" t="s">
        <v>124</v>
      </c>
      <c r="I1254" s="59">
        <v>2</v>
      </c>
      <c r="J1254" s="60" t="s">
        <v>2205</v>
      </c>
      <c r="K1254" s="63"/>
      <c r="L1254" s="59"/>
      <c r="M1254" s="59"/>
      <c r="N1254" s="59"/>
      <c r="O1254" s="60">
        <f t="shared" si="129"/>
        <v>1254</v>
      </c>
      <c r="P1254" s="65"/>
    </row>
    <row r="1255" spans="3:16">
      <c r="C1255" s="83" t="s">
        <v>77</v>
      </c>
      <c r="D1255" s="75"/>
      <c r="E1255" s="75"/>
      <c r="F1255" s="81" t="s">
        <v>166</v>
      </c>
      <c r="G1255" s="55" t="s">
        <v>2206</v>
      </c>
      <c r="H1255" s="55" t="s">
        <v>124</v>
      </c>
      <c r="I1255" s="59">
        <v>2.1</v>
      </c>
      <c r="J1255" s="60" t="s">
        <v>2207</v>
      </c>
      <c r="K1255" s="63"/>
      <c r="L1255" s="59"/>
      <c r="M1255" s="59"/>
      <c r="N1255" s="59"/>
      <c r="O1255" s="60">
        <f t="shared" si="129"/>
        <v>1255</v>
      </c>
      <c r="P1255" s="65"/>
    </row>
    <row r="1256" spans="3:16">
      <c r="C1256" s="83" t="s">
        <v>77</v>
      </c>
      <c r="D1256" s="75"/>
      <c r="E1256" s="75"/>
      <c r="F1256" s="81" t="s">
        <v>166</v>
      </c>
      <c r="G1256" s="55" t="s">
        <v>2208</v>
      </c>
      <c r="H1256" s="55" t="s">
        <v>124</v>
      </c>
      <c r="I1256" s="59">
        <v>2.2000000000000002</v>
      </c>
      <c r="J1256" s="60" t="s">
        <v>2209</v>
      </c>
      <c r="K1256" s="63"/>
      <c r="L1256" s="59"/>
      <c r="M1256" s="59"/>
      <c r="N1256" s="59"/>
      <c r="O1256" s="60">
        <f t="shared" si="129"/>
        <v>1256</v>
      </c>
      <c r="P1256" s="65"/>
    </row>
    <row r="1257" spans="3:16">
      <c r="C1257" s="83" t="s">
        <v>77</v>
      </c>
      <c r="D1257" s="75"/>
      <c r="E1257" s="75"/>
      <c r="F1257" s="81" t="s">
        <v>166</v>
      </c>
      <c r="G1257" s="55" t="s">
        <v>2210</v>
      </c>
      <c r="H1257" s="55" t="s">
        <v>124</v>
      </c>
      <c r="I1257" s="59">
        <v>2.2999999999999998</v>
      </c>
      <c r="J1257" s="60" t="s">
        <v>2211</v>
      </c>
      <c r="K1257" s="63"/>
      <c r="L1257" s="59"/>
      <c r="M1257" s="59"/>
      <c r="N1257" s="59"/>
      <c r="O1257" s="60">
        <f t="shared" si="129"/>
        <v>1257</v>
      </c>
      <c r="P1257" s="65"/>
    </row>
    <row r="1258" spans="3:16">
      <c r="C1258" s="83" t="s">
        <v>77</v>
      </c>
      <c r="D1258" s="75"/>
      <c r="E1258" s="75"/>
      <c r="F1258" s="81" t="s">
        <v>166</v>
      </c>
      <c r="G1258" s="55" t="s">
        <v>2212</v>
      </c>
      <c r="H1258" s="55" t="s">
        <v>124</v>
      </c>
      <c r="I1258" s="59">
        <v>3</v>
      </c>
      <c r="J1258" s="60" t="s">
        <v>2213</v>
      </c>
      <c r="K1258" s="63"/>
      <c r="L1258" s="59"/>
      <c r="M1258" s="59"/>
      <c r="N1258" s="59"/>
      <c r="O1258" s="60">
        <f t="shared" si="129"/>
        <v>1258</v>
      </c>
      <c r="P1258" s="65"/>
    </row>
    <row r="1259" spans="3:16">
      <c r="C1259" s="83" t="s">
        <v>77</v>
      </c>
      <c r="D1259" s="75"/>
      <c r="E1259" s="75"/>
      <c r="F1259" s="81" t="s">
        <v>166</v>
      </c>
      <c r="G1259" s="55" t="s">
        <v>2214</v>
      </c>
      <c r="H1259" s="55" t="s">
        <v>124</v>
      </c>
      <c r="I1259" s="59">
        <v>3.1</v>
      </c>
      <c r="J1259" s="60" t="s">
        <v>2215</v>
      </c>
      <c r="K1259" s="63"/>
      <c r="L1259" s="59"/>
      <c r="M1259" s="59"/>
      <c r="N1259" s="59"/>
      <c r="O1259" s="60">
        <f t="shared" si="129"/>
        <v>1259</v>
      </c>
      <c r="P1259" s="65"/>
    </row>
    <row r="1260" spans="3:16">
      <c r="C1260" s="83" t="s">
        <v>77</v>
      </c>
      <c r="D1260" s="75"/>
      <c r="E1260" s="75"/>
      <c r="F1260" s="81" t="s">
        <v>166</v>
      </c>
      <c r="G1260" s="55" t="s">
        <v>2216</v>
      </c>
      <c r="H1260" s="55" t="s">
        <v>124</v>
      </c>
      <c r="I1260" s="59">
        <v>3.2</v>
      </c>
      <c r="J1260" s="60" t="s">
        <v>2217</v>
      </c>
      <c r="K1260" s="63"/>
      <c r="L1260" s="59"/>
      <c r="M1260" s="59"/>
      <c r="N1260" s="59"/>
      <c r="O1260" s="60">
        <f t="shared" si="129"/>
        <v>1260</v>
      </c>
      <c r="P1260" s="65"/>
    </row>
    <row r="1261" spans="3:16">
      <c r="C1261" s="83" t="s">
        <v>77</v>
      </c>
      <c r="D1261" s="75"/>
      <c r="E1261" s="75"/>
      <c r="F1261" s="81" t="s">
        <v>166</v>
      </c>
      <c r="G1261" s="55" t="s">
        <v>2218</v>
      </c>
      <c r="H1261" s="55" t="s">
        <v>124</v>
      </c>
      <c r="I1261" s="59">
        <v>3.3</v>
      </c>
      <c r="J1261" s="60" t="s">
        <v>2219</v>
      </c>
      <c r="K1261" s="63"/>
      <c r="L1261" s="59"/>
      <c r="M1261" s="59"/>
      <c r="N1261" s="59"/>
      <c r="O1261" s="60">
        <f t="shared" si="129"/>
        <v>1261</v>
      </c>
      <c r="P1261" s="65"/>
    </row>
    <row r="1262" spans="3:16">
      <c r="C1262" s="83" t="s">
        <v>77</v>
      </c>
      <c r="D1262" s="75"/>
      <c r="E1262" s="75"/>
      <c r="F1262" s="81" t="s">
        <v>166</v>
      </c>
      <c r="G1262" s="55" t="s">
        <v>2220</v>
      </c>
      <c r="H1262" s="55" t="s">
        <v>139</v>
      </c>
      <c r="I1262" s="59">
        <v>4</v>
      </c>
      <c r="J1262" s="60" t="s">
        <v>2221</v>
      </c>
      <c r="K1262" s="63"/>
      <c r="L1262" s="59"/>
      <c r="M1262" s="59"/>
      <c r="N1262" s="59"/>
      <c r="O1262" s="60">
        <f t="shared" si="129"/>
        <v>1262</v>
      </c>
      <c r="P1262" s="65"/>
    </row>
    <row r="1263" spans="3:16">
      <c r="C1263" s="83" t="s">
        <v>77</v>
      </c>
      <c r="D1263" s="75"/>
      <c r="E1263" s="75"/>
      <c r="F1263" s="81" t="s">
        <v>166</v>
      </c>
      <c r="G1263" s="55" t="s">
        <v>2222</v>
      </c>
      <c r="H1263" s="55" t="s">
        <v>139</v>
      </c>
      <c r="I1263" s="59">
        <v>5</v>
      </c>
      <c r="J1263" s="60" t="s">
        <v>2223</v>
      </c>
      <c r="K1263" s="63"/>
      <c r="L1263" s="59"/>
      <c r="M1263" s="59"/>
      <c r="N1263" s="59"/>
      <c r="O1263" s="60">
        <f t="shared" si="129"/>
        <v>1263</v>
      </c>
      <c r="P1263" s="65"/>
    </row>
    <row r="1264" spans="3:16">
      <c r="C1264" s="83" t="s">
        <v>77</v>
      </c>
      <c r="D1264" s="75"/>
      <c r="E1264" s="75"/>
      <c r="F1264" s="81" t="s">
        <v>166</v>
      </c>
      <c r="G1264" s="55" t="s">
        <v>2224</v>
      </c>
      <c r="H1264" s="55" t="s">
        <v>139</v>
      </c>
      <c r="I1264" s="59">
        <v>6</v>
      </c>
      <c r="J1264" s="60" t="s">
        <v>2225</v>
      </c>
      <c r="K1264" s="63"/>
      <c r="L1264" s="59"/>
      <c r="M1264" s="59"/>
      <c r="N1264" s="59"/>
      <c r="O1264" s="60">
        <f t="shared" si="129"/>
        <v>1264</v>
      </c>
      <c r="P1264" s="65"/>
    </row>
    <row r="1265" spans="3:22">
      <c r="C1265" s="83" t="s">
        <v>77</v>
      </c>
      <c r="D1265" s="75"/>
      <c r="E1265" s="75"/>
      <c r="F1265" s="81" t="s">
        <v>166</v>
      </c>
      <c r="G1265" s="55" t="s">
        <v>2226</v>
      </c>
      <c r="H1265" s="55" t="s">
        <v>139</v>
      </c>
      <c r="I1265" s="59">
        <v>7</v>
      </c>
      <c r="J1265" s="60" t="s">
        <v>2227</v>
      </c>
      <c r="K1265" s="63"/>
      <c r="L1265" s="59"/>
      <c r="M1265" s="59"/>
      <c r="N1265" s="59"/>
      <c r="O1265" s="60">
        <f t="shared" si="129"/>
        <v>1265</v>
      </c>
      <c r="P1265" s="65"/>
    </row>
    <row r="1266" spans="3:22">
      <c r="C1266" s="83" t="s">
        <v>77</v>
      </c>
      <c r="D1266" s="75"/>
      <c r="E1266" s="75"/>
      <c r="F1266" s="81" t="s">
        <v>166</v>
      </c>
      <c r="G1266" s="55" t="s">
        <v>2228</v>
      </c>
      <c r="H1266" s="55" t="s">
        <v>139</v>
      </c>
      <c r="I1266" s="59">
        <v>8</v>
      </c>
      <c r="J1266" s="60" t="s">
        <v>2229</v>
      </c>
      <c r="K1266" s="63"/>
      <c r="L1266" s="59"/>
      <c r="M1266" s="59"/>
      <c r="N1266" s="59"/>
      <c r="O1266" s="60">
        <f t="shared" si="129"/>
        <v>1266</v>
      </c>
      <c r="P1266" s="65"/>
    </row>
    <row r="1267" spans="3:22">
      <c r="C1267" s="83" t="s">
        <v>77</v>
      </c>
      <c r="D1267" s="75"/>
      <c r="E1267" s="75"/>
      <c r="F1267" s="81" t="s">
        <v>166</v>
      </c>
      <c r="G1267" s="55" t="s">
        <v>2230</v>
      </c>
      <c r="H1267" s="55" t="s">
        <v>139</v>
      </c>
      <c r="I1267" s="59">
        <v>9</v>
      </c>
      <c r="J1267" s="60" t="s">
        <v>2231</v>
      </c>
      <c r="K1267" s="63"/>
      <c r="L1267" s="59"/>
      <c r="M1267" s="59"/>
      <c r="N1267" s="59"/>
      <c r="O1267" s="60">
        <f t="shared" si="129"/>
        <v>1267</v>
      </c>
      <c r="P1267" s="65"/>
    </row>
    <row r="1268" spans="3:22">
      <c r="C1268" s="83" t="s">
        <v>77</v>
      </c>
      <c r="D1268" s="75"/>
      <c r="E1268" s="75"/>
      <c r="F1268" s="81" t="s">
        <v>166</v>
      </c>
      <c r="G1268" s="55" t="s">
        <v>2232</v>
      </c>
      <c r="H1268" s="55" t="s">
        <v>139</v>
      </c>
      <c r="I1268" s="59">
        <v>10</v>
      </c>
      <c r="J1268" s="60" t="s">
        <v>2233</v>
      </c>
      <c r="K1268" s="63"/>
      <c r="L1268" s="59"/>
      <c r="M1268" s="59"/>
      <c r="N1268" s="59"/>
      <c r="O1268" s="60">
        <f t="shared" si="129"/>
        <v>1268</v>
      </c>
      <c r="P1268" s="65"/>
    </row>
    <row r="1269" spans="3:22">
      <c r="C1269" s="83" t="s">
        <v>77</v>
      </c>
      <c r="D1269" s="75"/>
      <c r="E1269" s="75"/>
      <c r="F1269" s="81" t="s">
        <v>166</v>
      </c>
      <c r="G1269" s="55" t="s">
        <v>2234</v>
      </c>
      <c r="H1269" s="55" t="s">
        <v>139</v>
      </c>
      <c r="I1269" s="59">
        <v>11</v>
      </c>
      <c r="J1269" s="60" t="s">
        <v>2235</v>
      </c>
      <c r="K1269" s="63"/>
      <c r="L1269" s="59"/>
      <c r="M1269" s="59"/>
      <c r="N1269" s="59"/>
      <c r="O1269" s="60">
        <f t="shared" si="129"/>
        <v>1269</v>
      </c>
      <c r="P1269" s="65"/>
    </row>
    <row r="1270" spans="3:22">
      <c r="C1270" s="83" t="s">
        <v>77</v>
      </c>
      <c r="D1270" s="75"/>
      <c r="E1270" s="75"/>
      <c r="F1270" s="81" t="s">
        <v>166</v>
      </c>
      <c r="G1270" s="55" t="s">
        <v>2236</v>
      </c>
      <c r="H1270" s="55" t="s">
        <v>124</v>
      </c>
      <c r="I1270" s="59">
        <v>12</v>
      </c>
      <c r="J1270" s="60" t="s">
        <v>2237</v>
      </c>
      <c r="K1270" s="63"/>
      <c r="L1270" s="59"/>
      <c r="M1270" s="59"/>
      <c r="N1270" s="59"/>
      <c r="O1270" s="60">
        <f t="shared" si="129"/>
        <v>1270</v>
      </c>
      <c r="P1270" s="65"/>
    </row>
    <row r="1271" spans="3:22">
      <c r="C1271" s="83" t="s">
        <v>77</v>
      </c>
      <c r="D1271" s="75"/>
      <c r="E1271" s="75"/>
      <c r="F1271" s="81" t="s">
        <v>166</v>
      </c>
      <c r="G1271" s="55" t="s">
        <v>2238</v>
      </c>
      <c r="H1271" s="55" t="s">
        <v>124</v>
      </c>
      <c r="I1271" s="59">
        <v>12.8</v>
      </c>
      <c r="J1271" s="60" t="s">
        <v>2239</v>
      </c>
      <c r="K1271" s="63"/>
      <c r="L1271" s="59"/>
      <c r="M1271" s="59"/>
      <c r="N1271" s="59"/>
      <c r="O1271" s="60">
        <f t="shared" si="129"/>
        <v>1271</v>
      </c>
      <c r="P1271" s="65"/>
    </row>
    <row r="1272" spans="3:22">
      <c r="C1272" s="83" t="s">
        <v>78</v>
      </c>
      <c r="D1272" s="75">
        <v>36</v>
      </c>
      <c r="E1272" s="75">
        <v>26</v>
      </c>
      <c r="F1272" s="81" t="s">
        <v>151</v>
      </c>
      <c r="G1272" s="55" t="s">
        <v>2240</v>
      </c>
      <c r="H1272" s="55" t="s">
        <v>124</v>
      </c>
      <c r="I1272" s="59">
        <v>0</v>
      </c>
      <c r="J1272" s="60" t="s">
        <v>2067</v>
      </c>
      <c r="K1272" s="63" t="str">
        <f t="shared" si="131"/>
        <v>XGF-TC4RTInput</v>
      </c>
      <c r="L1272" s="59">
        <f t="shared" ref="L1272:L1303" si="132">COUNTIF($C$2:$C$2062,C1272)</f>
        <v>87</v>
      </c>
      <c r="M1272" s="59">
        <f t="shared" ref="M1272:M1303" si="133">COUNTIF($K$2:$K$2062,K1272)</f>
        <v>61</v>
      </c>
      <c r="N1272" s="59">
        <f t="shared" si="130"/>
        <v>26</v>
      </c>
      <c r="O1272" s="60">
        <f t="shared" si="129"/>
        <v>1272</v>
      </c>
      <c r="P1272" s="65" t="s">
        <v>3214</v>
      </c>
      <c r="Q1272">
        <f>O1272</f>
        <v>1272</v>
      </c>
      <c r="R1272" t="s">
        <v>3215</v>
      </c>
      <c r="S1272">
        <v>1359</v>
      </c>
      <c r="T1272" t="str">
        <f>P1272&amp;Q1272&amp;R1272&amp;S1272</f>
        <v>All data map'!$F$1272:$J$1359</v>
      </c>
      <c r="V1272" t="s">
        <v>3259</v>
      </c>
    </row>
    <row r="1273" spans="3:22">
      <c r="C1273" s="83" t="s">
        <v>78</v>
      </c>
      <c r="D1273" s="75"/>
      <c r="E1273" s="75"/>
      <c r="F1273" s="81" t="s">
        <v>151</v>
      </c>
      <c r="G1273" s="55" t="s">
        <v>2241</v>
      </c>
      <c r="H1273" s="55" t="s">
        <v>124</v>
      </c>
      <c r="I1273" s="59">
        <v>0.1</v>
      </c>
      <c r="J1273" s="60" t="s">
        <v>2069</v>
      </c>
      <c r="K1273" s="63" t="str">
        <f t="shared" si="131"/>
        <v>XGF-TC4RTInput</v>
      </c>
      <c r="L1273" s="59">
        <f t="shared" si="132"/>
        <v>87</v>
      </c>
      <c r="M1273" s="59">
        <f t="shared" si="133"/>
        <v>61</v>
      </c>
      <c r="N1273" s="59">
        <f t="shared" si="130"/>
        <v>26</v>
      </c>
      <c r="O1273" s="60">
        <f t="shared" si="129"/>
        <v>1273</v>
      </c>
      <c r="P1273" s="65"/>
    </row>
    <row r="1274" spans="3:22">
      <c r="C1274" s="83" t="s">
        <v>78</v>
      </c>
      <c r="D1274" s="75"/>
      <c r="E1274" s="75"/>
      <c r="F1274" s="81" t="s">
        <v>151</v>
      </c>
      <c r="G1274" s="55" t="s">
        <v>2242</v>
      </c>
      <c r="H1274" s="55" t="s">
        <v>124</v>
      </c>
      <c r="I1274" s="59">
        <v>0.2</v>
      </c>
      <c r="J1274" s="60" t="s">
        <v>2071</v>
      </c>
      <c r="K1274" s="63" t="str">
        <f t="shared" si="131"/>
        <v>XGF-TC4RTInput</v>
      </c>
      <c r="L1274" s="59">
        <f t="shared" si="132"/>
        <v>87</v>
      </c>
      <c r="M1274" s="59">
        <f t="shared" si="133"/>
        <v>61</v>
      </c>
      <c r="N1274" s="59">
        <f t="shared" si="130"/>
        <v>26</v>
      </c>
      <c r="O1274" s="60">
        <f t="shared" si="129"/>
        <v>1274</v>
      </c>
      <c r="P1274" s="65"/>
    </row>
    <row r="1275" spans="3:22">
      <c r="C1275" s="83" t="s">
        <v>78</v>
      </c>
      <c r="D1275" s="75"/>
      <c r="E1275" s="75"/>
      <c r="F1275" s="81" t="s">
        <v>151</v>
      </c>
      <c r="G1275" s="55" t="s">
        <v>2243</v>
      </c>
      <c r="H1275" s="55" t="s">
        <v>124</v>
      </c>
      <c r="I1275" s="59">
        <v>0.3</v>
      </c>
      <c r="J1275" s="60" t="s">
        <v>2073</v>
      </c>
      <c r="K1275" s="63" t="str">
        <f t="shared" si="131"/>
        <v>XGF-TC4RTInput</v>
      </c>
      <c r="L1275" s="59">
        <f t="shared" si="132"/>
        <v>87</v>
      </c>
      <c r="M1275" s="59">
        <f t="shared" si="133"/>
        <v>61</v>
      </c>
      <c r="N1275" s="59">
        <f t="shared" si="130"/>
        <v>26</v>
      </c>
      <c r="O1275" s="60">
        <f t="shared" si="129"/>
        <v>1275</v>
      </c>
      <c r="P1275" s="65"/>
    </row>
    <row r="1276" spans="3:22">
      <c r="C1276" s="83" t="s">
        <v>78</v>
      </c>
      <c r="D1276" s="75"/>
      <c r="E1276" s="75"/>
      <c r="F1276" s="81" t="s">
        <v>151</v>
      </c>
      <c r="G1276" s="55" t="s">
        <v>2244</v>
      </c>
      <c r="H1276" s="55" t="s">
        <v>124</v>
      </c>
      <c r="I1276" s="59">
        <v>0.4</v>
      </c>
      <c r="J1276" s="60" t="s">
        <v>2075</v>
      </c>
      <c r="K1276" s="63" t="str">
        <f t="shared" si="131"/>
        <v>XGF-TC4RTInput</v>
      </c>
      <c r="L1276" s="59">
        <f t="shared" si="132"/>
        <v>87</v>
      </c>
      <c r="M1276" s="59">
        <f t="shared" si="133"/>
        <v>61</v>
      </c>
      <c r="N1276" s="59">
        <f t="shared" si="130"/>
        <v>26</v>
      </c>
      <c r="O1276" s="60">
        <f t="shared" si="129"/>
        <v>1276</v>
      </c>
      <c r="P1276" s="65"/>
    </row>
    <row r="1277" spans="3:22">
      <c r="C1277" s="83" t="s">
        <v>78</v>
      </c>
      <c r="D1277" s="75"/>
      <c r="E1277" s="75"/>
      <c r="F1277" s="81" t="s">
        <v>151</v>
      </c>
      <c r="G1277" s="55" t="s">
        <v>2245</v>
      </c>
      <c r="H1277" s="55" t="s">
        <v>124</v>
      </c>
      <c r="I1277" s="59">
        <v>0.5</v>
      </c>
      <c r="J1277" s="60" t="s">
        <v>2077</v>
      </c>
      <c r="K1277" s="63" t="str">
        <f t="shared" si="131"/>
        <v>XGF-TC4RTInput</v>
      </c>
      <c r="L1277" s="59">
        <f t="shared" si="132"/>
        <v>87</v>
      </c>
      <c r="M1277" s="59">
        <f t="shared" si="133"/>
        <v>61</v>
      </c>
      <c r="N1277" s="59">
        <f t="shared" si="130"/>
        <v>26</v>
      </c>
      <c r="O1277" s="60">
        <f t="shared" si="129"/>
        <v>1277</v>
      </c>
      <c r="P1277" s="65"/>
    </row>
    <row r="1278" spans="3:22">
      <c r="C1278" s="83" t="s">
        <v>78</v>
      </c>
      <c r="D1278" s="75"/>
      <c r="E1278" s="75"/>
      <c r="F1278" s="81" t="s">
        <v>151</v>
      </c>
      <c r="G1278" s="55" t="s">
        <v>2246</v>
      </c>
      <c r="H1278" s="55" t="s">
        <v>124</v>
      </c>
      <c r="I1278" s="59">
        <v>0.6</v>
      </c>
      <c r="J1278" s="60" t="s">
        <v>2079</v>
      </c>
      <c r="K1278" s="63" t="str">
        <f t="shared" si="131"/>
        <v>XGF-TC4RTInput</v>
      </c>
      <c r="L1278" s="59">
        <f t="shared" si="132"/>
        <v>87</v>
      </c>
      <c r="M1278" s="59">
        <f t="shared" si="133"/>
        <v>61</v>
      </c>
      <c r="N1278" s="59">
        <f t="shared" si="130"/>
        <v>26</v>
      </c>
      <c r="O1278" s="60">
        <f t="shared" si="129"/>
        <v>1278</v>
      </c>
      <c r="P1278" s="65"/>
    </row>
    <row r="1279" spans="3:22">
      <c r="C1279" s="83" t="s">
        <v>78</v>
      </c>
      <c r="D1279" s="75"/>
      <c r="E1279" s="75"/>
      <c r="F1279" s="81" t="s">
        <v>151</v>
      </c>
      <c r="G1279" s="55" t="s">
        <v>2247</v>
      </c>
      <c r="H1279" s="55" t="s">
        <v>124</v>
      </c>
      <c r="I1279" s="59">
        <v>0.7</v>
      </c>
      <c r="J1279" s="60" t="s">
        <v>2081</v>
      </c>
      <c r="K1279" s="63" t="str">
        <f t="shared" si="131"/>
        <v>XGF-TC4RTInput</v>
      </c>
      <c r="L1279" s="59">
        <f t="shared" si="132"/>
        <v>87</v>
      </c>
      <c r="M1279" s="59">
        <f t="shared" si="133"/>
        <v>61</v>
      </c>
      <c r="N1279" s="59">
        <f t="shared" si="130"/>
        <v>26</v>
      </c>
      <c r="O1279" s="60">
        <f t="shared" si="129"/>
        <v>1279</v>
      </c>
      <c r="P1279" s="65"/>
    </row>
    <row r="1280" spans="3:22">
      <c r="C1280" s="83" t="s">
        <v>78</v>
      </c>
      <c r="D1280" s="75"/>
      <c r="E1280" s="75"/>
      <c r="F1280" s="81" t="s">
        <v>151</v>
      </c>
      <c r="G1280" s="55" t="s">
        <v>2248</v>
      </c>
      <c r="H1280" s="55" t="s">
        <v>124</v>
      </c>
      <c r="I1280" s="59">
        <v>0.8</v>
      </c>
      <c r="J1280" s="60" t="s">
        <v>2083</v>
      </c>
      <c r="K1280" s="63" t="str">
        <f t="shared" si="131"/>
        <v>XGF-TC4RTInput</v>
      </c>
      <c r="L1280" s="59">
        <f t="shared" si="132"/>
        <v>87</v>
      </c>
      <c r="M1280" s="59">
        <f t="shared" si="133"/>
        <v>61</v>
      </c>
      <c r="N1280" s="59">
        <f t="shared" si="130"/>
        <v>26</v>
      </c>
      <c r="O1280" s="60">
        <f t="shared" si="129"/>
        <v>1280</v>
      </c>
      <c r="P1280" s="65"/>
    </row>
    <row r="1281" spans="3:16">
      <c r="C1281" s="83" t="s">
        <v>78</v>
      </c>
      <c r="D1281" s="75"/>
      <c r="E1281" s="75"/>
      <c r="F1281" s="81" t="s">
        <v>151</v>
      </c>
      <c r="G1281" s="55" t="s">
        <v>2249</v>
      </c>
      <c r="H1281" s="55" t="s">
        <v>124</v>
      </c>
      <c r="I1281" s="59">
        <v>0.9</v>
      </c>
      <c r="J1281" s="60" t="s">
        <v>2085</v>
      </c>
      <c r="K1281" s="63" t="str">
        <f t="shared" si="131"/>
        <v>XGF-TC4RTInput</v>
      </c>
      <c r="L1281" s="59">
        <f t="shared" si="132"/>
        <v>87</v>
      </c>
      <c r="M1281" s="59">
        <f t="shared" si="133"/>
        <v>61</v>
      </c>
      <c r="N1281" s="59">
        <f t="shared" si="130"/>
        <v>26</v>
      </c>
      <c r="O1281" s="60">
        <f t="shared" si="129"/>
        <v>1281</v>
      </c>
      <c r="P1281" s="65"/>
    </row>
    <row r="1282" spans="3:16">
      <c r="C1282" s="83" t="s">
        <v>78</v>
      </c>
      <c r="D1282" s="75"/>
      <c r="E1282" s="75"/>
      <c r="F1282" s="81" t="s">
        <v>151</v>
      </c>
      <c r="G1282" s="55" t="s">
        <v>2250</v>
      </c>
      <c r="H1282" s="55" t="s">
        <v>124</v>
      </c>
      <c r="I1282" s="59" t="s">
        <v>988</v>
      </c>
      <c r="J1282" s="60" t="s">
        <v>2087</v>
      </c>
      <c r="K1282" s="63" t="str">
        <f t="shared" si="131"/>
        <v>XGF-TC4RTInput</v>
      </c>
      <c r="L1282" s="59">
        <f t="shared" si="132"/>
        <v>87</v>
      </c>
      <c r="M1282" s="59">
        <f t="shared" si="133"/>
        <v>61</v>
      </c>
      <c r="N1282" s="59">
        <f t="shared" si="130"/>
        <v>26</v>
      </c>
      <c r="O1282" s="60">
        <f t="shared" ref="O1282:O1345" si="134">ROW(C1282)</f>
        <v>1282</v>
      </c>
      <c r="P1282" s="65"/>
    </row>
    <row r="1283" spans="3:16">
      <c r="C1283" s="83" t="s">
        <v>78</v>
      </c>
      <c r="D1283" s="75"/>
      <c r="E1283" s="75"/>
      <c r="F1283" s="81" t="s">
        <v>151</v>
      </c>
      <c r="G1283" s="55" t="s">
        <v>2251</v>
      </c>
      <c r="H1283" s="55" t="s">
        <v>124</v>
      </c>
      <c r="I1283" s="59" t="s">
        <v>991</v>
      </c>
      <c r="J1283" s="60" t="s">
        <v>2089</v>
      </c>
      <c r="K1283" s="63" t="str">
        <f t="shared" si="131"/>
        <v>XGF-TC4RTInput</v>
      </c>
      <c r="L1283" s="59">
        <f t="shared" si="132"/>
        <v>87</v>
      </c>
      <c r="M1283" s="59">
        <f t="shared" si="133"/>
        <v>61</v>
      </c>
      <c r="N1283" s="59">
        <f t="shared" ref="N1283:N1332" si="135">L1283-M1283</f>
        <v>26</v>
      </c>
      <c r="O1283" s="60">
        <f t="shared" si="134"/>
        <v>1283</v>
      </c>
      <c r="P1283" s="65"/>
    </row>
    <row r="1284" spans="3:16">
      <c r="C1284" s="83" t="s">
        <v>78</v>
      </c>
      <c r="D1284" s="75"/>
      <c r="E1284" s="75"/>
      <c r="F1284" s="81" t="s">
        <v>151</v>
      </c>
      <c r="G1284" s="55" t="s">
        <v>2252</v>
      </c>
      <c r="H1284" s="55" t="s">
        <v>124</v>
      </c>
      <c r="I1284" s="59" t="s">
        <v>1133</v>
      </c>
      <c r="J1284" s="60" t="s">
        <v>2091</v>
      </c>
      <c r="K1284" s="63" t="str">
        <f t="shared" si="131"/>
        <v>XGF-TC4RTInput</v>
      </c>
      <c r="L1284" s="59">
        <f t="shared" si="132"/>
        <v>87</v>
      </c>
      <c r="M1284" s="59">
        <f t="shared" si="133"/>
        <v>61</v>
      </c>
      <c r="N1284" s="59">
        <f t="shared" si="135"/>
        <v>26</v>
      </c>
      <c r="O1284" s="60">
        <f t="shared" si="134"/>
        <v>1284</v>
      </c>
      <c r="P1284" s="65"/>
    </row>
    <row r="1285" spans="3:16">
      <c r="C1285" s="83" t="s">
        <v>78</v>
      </c>
      <c r="D1285" s="75"/>
      <c r="E1285" s="75"/>
      <c r="F1285" s="81" t="s">
        <v>151</v>
      </c>
      <c r="G1285" s="55" t="s">
        <v>2253</v>
      </c>
      <c r="H1285" s="55" t="s">
        <v>124</v>
      </c>
      <c r="I1285" s="59" t="s">
        <v>1050</v>
      </c>
      <c r="J1285" s="60" t="s">
        <v>2093</v>
      </c>
      <c r="K1285" s="63" t="str">
        <f t="shared" si="131"/>
        <v>XGF-TC4RTInput</v>
      </c>
      <c r="L1285" s="59">
        <f t="shared" si="132"/>
        <v>87</v>
      </c>
      <c r="M1285" s="59">
        <f t="shared" si="133"/>
        <v>61</v>
      </c>
      <c r="N1285" s="59">
        <f t="shared" si="135"/>
        <v>26</v>
      </c>
      <c r="O1285" s="60">
        <f t="shared" si="134"/>
        <v>1285</v>
      </c>
      <c r="P1285" s="65"/>
    </row>
    <row r="1286" spans="3:16">
      <c r="C1286" s="83" t="s">
        <v>78</v>
      </c>
      <c r="D1286" s="75"/>
      <c r="E1286" s="75"/>
      <c r="F1286" s="81" t="s">
        <v>151</v>
      </c>
      <c r="G1286" s="55" t="s">
        <v>2254</v>
      </c>
      <c r="H1286" s="55" t="s">
        <v>124</v>
      </c>
      <c r="I1286" s="59" t="s">
        <v>126</v>
      </c>
      <c r="J1286" s="60" t="s">
        <v>2095</v>
      </c>
      <c r="K1286" s="63" t="str">
        <f t="shared" si="131"/>
        <v>XGF-TC4RTInput</v>
      </c>
      <c r="L1286" s="59">
        <f t="shared" si="132"/>
        <v>87</v>
      </c>
      <c r="M1286" s="59">
        <f t="shared" si="133"/>
        <v>61</v>
      </c>
      <c r="N1286" s="59">
        <f t="shared" si="135"/>
        <v>26</v>
      </c>
      <c r="O1286" s="60">
        <f t="shared" si="134"/>
        <v>1286</v>
      </c>
      <c r="P1286" s="65"/>
    </row>
    <row r="1287" spans="3:16">
      <c r="C1287" s="83" t="s">
        <v>78</v>
      </c>
      <c r="D1287" s="75"/>
      <c r="E1287" s="75"/>
      <c r="F1287" s="81" t="s">
        <v>151</v>
      </c>
      <c r="G1287" s="55" t="s">
        <v>2255</v>
      </c>
      <c r="H1287" s="55" t="s">
        <v>124</v>
      </c>
      <c r="I1287" s="59">
        <v>1</v>
      </c>
      <c r="J1287" s="60" t="s">
        <v>2097</v>
      </c>
      <c r="K1287" s="63" t="str">
        <f t="shared" si="131"/>
        <v>XGF-TC4RTInput</v>
      </c>
      <c r="L1287" s="59">
        <f t="shared" si="132"/>
        <v>87</v>
      </c>
      <c r="M1287" s="59">
        <f t="shared" si="133"/>
        <v>61</v>
      </c>
      <c r="N1287" s="59">
        <f t="shared" si="135"/>
        <v>26</v>
      </c>
      <c r="O1287" s="60">
        <f t="shared" si="134"/>
        <v>1287</v>
      </c>
      <c r="P1287" s="65"/>
    </row>
    <row r="1288" spans="3:16">
      <c r="C1288" s="83" t="s">
        <v>78</v>
      </c>
      <c r="D1288" s="75"/>
      <c r="E1288" s="75"/>
      <c r="F1288" s="81" t="s">
        <v>151</v>
      </c>
      <c r="G1288" s="55" t="s">
        <v>2256</v>
      </c>
      <c r="H1288" s="55" t="s">
        <v>124</v>
      </c>
      <c r="I1288" s="59">
        <v>1.8</v>
      </c>
      <c r="J1288" s="60" t="s">
        <v>2099</v>
      </c>
      <c r="K1288" s="63" t="str">
        <f t="shared" si="131"/>
        <v>XGF-TC4RTInput</v>
      </c>
      <c r="L1288" s="59">
        <f t="shared" si="132"/>
        <v>87</v>
      </c>
      <c r="M1288" s="59">
        <f t="shared" si="133"/>
        <v>61</v>
      </c>
      <c r="N1288" s="59">
        <f t="shared" si="135"/>
        <v>26</v>
      </c>
      <c r="O1288" s="60">
        <f t="shared" si="134"/>
        <v>1288</v>
      </c>
      <c r="P1288" s="65"/>
    </row>
    <row r="1289" spans="3:16">
      <c r="C1289" s="83" t="s">
        <v>78</v>
      </c>
      <c r="D1289" s="75"/>
      <c r="E1289" s="75"/>
      <c r="F1289" s="81" t="s">
        <v>151</v>
      </c>
      <c r="G1289" s="55" t="s">
        <v>2257</v>
      </c>
      <c r="H1289" s="55" t="s">
        <v>124</v>
      </c>
      <c r="I1289" s="59">
        <v>2</v>
      </c>
      <c r="J1289" s="60" t="s">
        <v>2101</v>
      </c>
      <c r="K1289" s="63" t="str">
        <f t="shared" si="131"/>
        <v>XGF-TC4RTInput</v>
      </c>
      <c r="L1289" s="59">
        <f t="shared" si="132"/>
        <v>87</v>
      </c>
      <c r="M1289" s="59">
        <f t="shared" si="133"/>
        <v>61</v>
      </c>
      <c r="N1289" s="59">
        <f t="shared" si="135"/>
        <v>26</v>
      </c>
      <c r="O1289" s="60">
        <f t="shared" si="134"/>
        <v>1289</v>
      </c>
      <c r="P1289" s="65"/>
    </row>
    <row r="1290" spans="3:16">
      <c r="C1290" s="83" t="s">
        <v>78</v>
      </c>
      <c r="D1290" s="75"/>
      <c r="E1290" s="75"/>
      <c r="F1290" s="81" t="s">
        <v>151</v>
      </c>
      <c r="G1290" s="55" t="s">
        <v>2258</v>
      </c>
      <c r="H1290" s="55" t="s">
        <v>124</v>
      </c>
      <c r="I1290" s="59">
        <v>2.1</v>
      </c>
      <c r="J1290" s="60" t="s">
        <v>2103</v>
      </c>
      <c r="K1290" s="63" t="str">
        <f t="shared" si="131"/>
        <v>XGF-TC4RTInput</v>
      </c>
      <c r="L1290" s="59">
        <f t="shared" si="132"/>
        <v>87</v>
      </c>
      <c r="M1290" s="59">
        <f t="shared" si="133"/>
        <v>61</v>
      </c>
      <c r="N1290" s="59">
        <f t="shared" si="135"/>
        <v>26</v>
      </c>
      <c r="O1290" s="60">
        <f t="shared" si="134"/>
        <v>1290</v>
      </c>
      <c r="P1290" s="65"/>
    </row>
    <row r="1291" spans="3:16">
      <c r="C1291" s="83" t="s">
        <v>78</v>
      </c>
      <c r="D1291" s="75"/>
      <c r="E1291" s="75"/>
      <c r="F1291" s="81" t="s">
        <v>151</v>
      </c>
      <c r="G1291" s="55" t="s">
        <v>2259</v>
      </c>
      <c r="H1291" s="55" t="s">
        <v>124</v>
      </c>
      <c r="I1291" s="59">
        <v>2.2000000000000002</v>
      </c>
      <c r="J1291" s="60" t="s">
        <v>2105</v>
      </c>
      <c r="K1291" s="63" t="str">
        <f t="shared" si="131"/>
        <v>XGF-TC4RTInput</v>
      </c>
      <c r="L1291" s="59">
        <f t="shared" si="132"/>
        <v>87</v>
      </c>
      <c r="M1291" s="59">
        <f t="shared" si="133"/>
        <v>61</v>
      </c>
      <c r="N1291" s="59">
        <f t="shared" si="135"/>
        <v>26</v>
      </c>
      <c r="O1291" s="60">
        <f t="shared" si="134"/>
        <v>1291</v>
      </c>
      <c r="P1291" s="65"/>
    </row>
    <row r="1292" spans="3:16">
      <c r="C1292" s="83" t="s">
        <v>78</v>
      </c>
      <c r="D1292" s="75"/>
      <c r="E1292" s="75"/>
      <c r="F1292" s="81" t="s">
        <v>151</v>
      </c>
      <c r="G1292" s="55" t="s">
        <v>2260</v>
      </c>
      <c r="H1292" s="55" t="s">
        <v>124</v>
      </c>
      <c r="I1292" s="59">
        <v>2.2999999999999998</v>
      </c>
      <c r="J1292" s="60" t="s">
        <v>2107</v>
      </c>
      <c r="K1292" s="63" t="str">
        <f t="shared" si="131"/>
        <v>XGF-TC4RTInput</v>
      </c>
      <c r="L1292" s="59">
        <f t="shared" si="132"/>
        <v>87</v>
      </c>
      <c r="M1292" s="59">
        <f t="shared" si="133"/>
        <v>61</v>
      </c>
      <c r="N1292" s="59">
        <f t="shared" si="135"/>
        <v>26</v>
      </c>
      <c r="O1292" s="60">
        <f t="shared" si="134"/>
        <v>1292</v>
      </c>
      <c r="P1292" s="65"/>
    </row>
    <row r="1293" spans="3:16">
      <c r="C1293" s="83" t="s">
        <v>78</v>
      </c>
      <c r="D1293" s="75"/>
      <c r="E1293" s="75"/>
      <c r="F1293" s="81" t="s">
        <v>151</v>
      </c>
      <c r="G1293" s="55" t="s">
        <v>2261</v>
      </c>
      <c r="H1293" s="55" t="s">
        <v>124</v>
      </c>
      <c r="I1293" s="59">
        <v>2.4</v>
      </c>
      <c r="J1293" s="60" t="s">
        <v>2109</v>
      </c>
      <c r="K1293" s="63" t="str">
        <f t="shared" si="131"/>
        <v>XGF-TC4RTInput</v>
      </c>
      <c r="L1293" s="59">
        <f t="shared" si="132"/>
        <v>87</v>
      </c>
      <c r="M1293" s="59">
        <f t="shared" si="133"/>
        <v>61</v>
      </c>
      <c r="N1293" s="59">
        <f t="shared" si="135"/>
        <v>26</v>
      </c>
      <c r="O1293" s="60">
        <f t="shared" si="134"/>
        <v>1293</v>
      </c>
      <c r="P1293" s="65"/>
    </row>
    <row r="1294" spans="3:16">
      <c r="C1294" s="83" t="s">
        <v>78</v>
      </c>
      <c r="D1294" s="75"/>
      <c r="E1294" s="75"/>
      <c r="F1294" s="81" t="s">
        <v>151</v>
      </c>
      <c r="G1294" s="55" t="s">
        <v>2262</v>
      </c>
      <c r="H1294" s="55" t="s">
        <v>124</v>
      </c>
      <c r="I1294" s="59">
        <v>2.5</v>
      </c>
      <c r="J1294" s="60" t="s">
        <v>2111</v>
      </c>
      <c r="K1294" s="63" t="str">
        <f t="shared" si="131"/>
        <v>XGF-TC4RTInput</v>
      </c>
      <c r="L1294" s="59">
        <f t="shared" si="132"/>
        <v>87</v>
      </c>
      <c r="M1294" s="59">
        <f t="shared" si="133"/>
        <v>61</v>
      </c>
      <c r="N1294" s="59">
        <f t="shared" si="135"/>
        <v>26</v>
      </c>
      <c r="O1294" s="60">
        <f t="shared" si="134"/>
        <v>1294</v>
      </c>
      <c r="P1294" s="65"/>
    </row>
    <row r="1295" spans="3:16">
      <c r="C1295" s="83" t="s">
        <v>78</v>
      </c>
      <c r="D1295" s="75"/>
      <c r="E1295" s="75"/>
      <c r="F1295" s="81" t="s">
        <v>151</v>
      </c>
      <c r="G1295" s="55" t="s">
        <v>2263</v>
      </c>
      <c r="H1295" s="55" t="s">
        <v>124</v>
      </c>
      <c r="I1295" s="59">
        <v>2.6</v>
      </c>
      <c r="J1295" s="60" t="s">
        <v>2113</v>
      </c>
      <c r="K1295" s="63" t="str">
        <f t="shared" si="131"/>
        <v>XGF-TC4RTInput</v>
      </c>
      <c r="L1295" s="59">
        <f t="shared" si="132"/>
        <v>87</v>
      </c>
      <c r="M1295" s="59">
        <f t="shared" si="133"/>
        <v>61</v>
      </c>
      <c r="N1295" s="59">
        <f t="shared" si="135"/>
        <v>26</v>
      </c>
      <c r="O1295" s="60">
        <f t="shared" si="134"/>
        <v>1295</v>
      </c>
      <c r="P1295" s="65"/>
    </row>
    <row r="1296" spans="3:16">
      <c r="C1296" s="83" t="s">
        <v>78</v>
      </c>
      <c r="D1296" s="75"/>
      <c r="E1296" s="75"/>
      <c r="F1296" s="81" t="s">
        <v>151</v>
      </c>
      <c r="G1296" s="55" t="s">
        <v>2264</v>
      </c>
      <c r="H1296" s="55" t="s">
        <v>124</v>
      </c>
      <c r="I1296" s="59">
        <v>2.7</v>
      </c>
      <c r="J1296" s="60" t="s">
        <v>2115</v>
      </c>
      <c r="K1296" s="63" t="str">
        <f t="shared" si="131"/>
        <v>XGF-TC4RTInput</v>
      </c>
      <c r="L1296" s="59">
        <f t="shared" si="132"/>
        <v>87</v>
      </c>
      <c r="M1296" s="59">
        <f t="shared" si="133"/>
        <v>61</v>
      </c>
      <c r="N1296" s="59">
        <f t="shared" si="135"/>
        <v>26</v>
      </c>
      <c r="O1296" s="60">
        <f t="shared" si="134"/>
        <v>1296</v>
      </c>
      <c r="P1296" s="65"/>
    </row>
    <row r="1297" spans="3:16">
      <c r="C1297" s="83" t="s">
        <v>78</v>
      </c>
      <c r="D1297" s="75"/>
      <c r="E1297" s="75"/>
      <c r="F1297" s="81" t="s">
        <v>151</v>
      </c>
      <c r="G1297" s="55" t="s">
        <v>2265</v>
      </c>
      <c r="H1297" s="55" t="s">
        <v>124</v>
      </c>
      <c r="I1297" s="59">
        <v>3</v>
      </c>
      <c r="J1297" s="60" t="s">
        <v>2117</v>
      </c>
      <c r="K1297" s="63" t="str">
        <f t="shared" si="131"/>
        <v>XGF-TC4RTInput</v>
      </c>
      <c r="L1297" s="59">
        <f t="shared" si="132"/>
        <v>87</v>
      </c>
      <c r="M1297" s="59">
        <f t="shared" si="133"/>
        <v>61</v>
      </c>
      <c r="N1297" s="59">
        <f t="shared" si="135"/>
        <v>26</v>
      </c>
      <c r="O1297" s="60">
        <f t="shared" si="134"/>
        <v>1297</v>
      </c>
      <c r="P1297" s="65"/>
    </row>
    <row r="1298" spans="3:16">
      <c r="C1298" s="83" t="s">
        <v>78</v>
      </c>
      <c r="D1298" s="75"/>
      <c r="E1298" s="75"/>
      <c r="F1298" s="81" t="s">
        <v>151</v>
      </c>
      <c r="G1298" s="55" t="s">
        <v>2266</v>
      </c>
      <c r="H1298" s="55" t="s">
        <v>124</v>
      </c>
      <c r="I1298" s="59">
        <v>3.1</v>
      </c>
      <c r="J1298" s="60" t="s">
        <v>2119</v>
      </c>
      <c r="K1298" s="63" t="str">
        <f t="shared" si="131"/>
        <v>XGF-TC4RTInput</v>
      </c>
      <c r="L1298" s="59">
        <f t="shared" si="132"/>
        <v>87</v>
      </c>
      <c r="M1298" s="59">
        <f t="shared" si="133"/>
        <v>61</v>
      </c>
      <c r="N1298" s="59">
        <f t="shared" si="135"/>
        <v>26</v>
      </c>
      <c r="O1298" s="60">
        <f t="shared" si="134"/>
        <v>1298</v>
      </c>
      <c r="P1298" s="65"/>
    </row>
    <row r="1299" spans="3:16">
      <c r="C1299" s="83" t="s">
        <v>78</v>
      </c>
      <c r="D1299" s="75"/>
      <c r="E1299" s="75"/>
      <c r="F1299" s="81" t="s">
        <v>151</v>
      </c>
      <c r="G1299" s="55" t="s">
        <v>2267</v>
      </c>
      <c r="H1299" s="55" t="s">
        <v>124</v>
      </c>
      <c r="I1299" s="59">
        <v>3.2</v>
      </c>
      <c r="J1299" s="60" t="s">
        <v>2121</v>
      </c>
      <c r="K1299" s="63" t="str">
        <f t="shared" si="131"/>
        <v>XGF-TC4RTInput</v>
      </c>
      <c r="L1299" s="59">
        <f t="shared" si="132"/>
        <v>87</v>
      </c>
      <c r="M1299" s="59">
        <f t="shared" si="133"/>
        <v>61</v>
      </c>
      <c r="N1299" s="59">
        <f t="shared" si="135"/>
        <v>26</v>
      </c>
      <c r="O1299" s="60">
        <f t="shared" si="134"/>
        <v>1299</v>
      </c>
      <c r="P1299" s="65"/>
    </row>
    <row r="1300" spans="3:16">
      <c r="C1300" s="83" t="s">
        <v>78</v>
      </c>
      <c r="D1300" s="75"/>
      <c r="E1300" s="75"/>
      <c r="F1300" s="81" t="s">
        <v>151</v>
      </c>
      <c r="G1300" s="55" t="s">
        <v>2268</v>
      </c>
      <c r="H1300" s="55" t="s">
        <v>124</v>
      </c>
      <c r="I1300" s="59">
        <v>3.3</v>
      </c>
      <c r="J1300" s="60" t="s">
        <v>2123</v>
      </c>
      <c r="K1300" s="63" t="str">
        <f t="shared" si="131"/>
        <v>XGF-TC4RTInput</v>
      </c>
      <c r="L1300" s="59">
        <f t="shared" si="132"/>
        <v>87</v>
      </c>
      <c r="M1300" s="59">
        <f t="shared" si="133"/>
        <v>61</v>
      </c>
      <c r="N1300" s="59">
        <f t="shared" si="135"/>
        <v>26</v>
      </c>
      <c r="O1300" s="60">
        <f t="shared" si="134"/>
        <v>1300</v>
      </c>
      <c r="P1300" s="65"/>
    </row>
    <row r="1301" spans="3:16">
      <c r="C1301" s="83" t="s">
        <v>78</v>
      </c>
      <c r="D1301" s="75"/>
      <c r="E1301" s="75"/>
      <c r="F1301" s="81" t="s">
        <v>151</v>
      </c>
      <c r="G1301" s="55" t="s">
        <v>2269</v>
      </c>
      <c r="H1301" s="55" t="s">
        <v>124</v>
      </c>
      <c r="I1301" s="59">
        <v>3.4</v>
      </c>
      <c r="J1301" s="60" t="s">
        <v>2125</v>
      </c>
      <c r="K1301" s="63" t="str">
        <f t="shared" ref="K1301:K1363" si="136">C1301&amp;F1301</f>
        <v>XGF-TC4RTInput</v>
      </c>
      <c r="L1301" s="59">
        <f t="shared" si="132"/>
        <v>87</v>
      </c>
      <c r="M1301" s="59">
        <f t="shared" si="133"/>
        <v>61</v>
      </c>
      <c r="N1301" s="59">
        <f t="shared" si="135"/>
        <v>26</v>
      </c>
      <c r="O1301" s="60">
        <f t="shared" si="134"/>
        <v>1301</v>
      </c>
      <c r="P1301" s="65"/>
    </row>
    <row r="1302" spans="3:16">
      <c r="C1302" s="83" t="s">
        <v>78</v>
      </c>
      <c r="D1302" s="75"/>
      <c r="E1302" s="75"/>
      <c r="F1302" s="81" t="s">
        <v>151</v>
      </c>
      <c r="G1302" s="55" t="s">
        <v>2270</v>
      </c>
      <c r="H1302" s="55" t="s">
        <v>124</v>
      </c>
      <c r="I1302" s="59">
        <v>3.5</v>
      </c>
      <c r="J1302" s="60" t="s">
        <v>2127</v>
      </c>
      <c r="K1302" s="63" t="str">
        <f t="shared" si="136"/>
        <v>XGF-TC4RTInput</v>
      </c>
      <c r="L1302" s="59">
        <f t="shared" si="132"/>
        <v>87</v>
      </c>
      <c r="M1302" s="59">
        <f t="shared" si="133"/>
        <v>61</v>
      </c>
      <c r="N1302" s="59">
        <f t="shared" si="135"/>
        <v>26</v>
      </c>
      <c r="O1302" s="60">
        <f t="shared" si="134"/>
        <v>1302</v>
      </c>
      <c r="P1302" s="65"/>
    </row>
    <row r="1303" spans="3:16">
      <c r="C1303" s="83" t="s">
        <v>78</v>
      </c>
      <c r="D1303" s="75"/>
      <c r="E1303" s="75"/>
      <c r="F1303" s="81" t="s">
        <v>151</v>
      </c>
      <c r="G1303" s="55" t="s">
        <v>2271</v>
      </c>
      <c r="H1303" s="55" t="s">
        <v>124</v>
      </c>
      <c r="I1303" s="59">
        <v>3.6</v>
      </c>
      <c r="J1303" s="60" t="s">
        <v>2129</v>
      </c>
      <c r="K1303" s="63" t="str">
        <f t="shared" si="136"/>
        <v>XGF-TC4RTInput</v>
      </c>
      <c r="L1303" s="59">
        <f t="shared" si="132"/>
        <v>87</v>
      </c>
      <c r="M1303" s="59">
        <f t="shared" si="133"/>
        <v>61</v>
      </c>
      <c r="N1303" s="59">
        <f t="shared" si="135"/>
        <v>26</v>
      </c>
      <c r="O1303" s="60">
        <f t="shared" si="134"/>
        <v>1303</v>
      </c>
      <c r="P1303" s="65"/>
    </row>
    <row r="1304" spans="3:16">
      <c r="C1304" s="83" t="s">
        <v>78</v>
      </c>
      <c r="D1304" s="75"/>
      <c r="E1304" s="75"/>
      <c r="F1304" s="81" t="s">
        <v>151</v>
      </c>
      <c r="G1304" s="55" t="s">
        <v>2272</v>
      </c>
      <c r="H1304" s="55" t="s">
        <v>124</v>
      </c>
      <c r="I1304" s="59">
        <v>3.7</v>
      </c>
      <c r="J1304" s="60" t="s">
        <v>2131</v>
      </c>
      <c r="K1304" s="63" t="str">
        <f t="shared" si="136"/>
        <v>XGF-TC4RTInput</v>
      </c>
      <c r="L1304" s="59">
        <f t="shared" ref="L1304:L1332" si="137">COUNTIF($C$2:$C$2062,C1304)</f>
        <v>87</v>
      </c>
      <c r="M1304" s="59">
        <f t="shared" ref="M1304:M1332" si="138">COUNTIF($K$2:$K$2062,K1304)</f>
        <v>61</v>
      </c>
      <c r="N1304" s="59">
        <f t="shared" si="135"/>
        <v>26</v>
      </c>
      <c r="O1304" s="60">
        <f t="shared" si="134"/>
        <v>1304</v>
      </c>
      <c r="P1304" s="65"/>
    </row>
    <row r="1305" spans="3:16">
      <c r="C1305" s="83" t="s">
        <v>78</v>
      </c>
      <c r="D1305" s="75"/>
      <c r="E1305" s="75"/>
      <c r="F1305" s="81" t="s">
        <v>151</v>
      </c>
      <c r="G1305" s="55" t="s">
        <v>2273</v>
      </c>
      <c r="H1305" s="55" t="s">
        <v>124</v>
      </c>
      <c r="I1305" s="59">
        <v>4</v>
      </c>
      <c r="J1305" s="60" t="s">
        <v>2133</v>
      </c>
      <c r="K1305" s="63" t="str">
        <f t="shared" si="136"/>
        <v>XGF-TC4RTInput</v>
      </c>
      <c r="L1305" s="59">
        <f t="shared" si="137"/>
        <v>87</v>
      </c>
      <c r="M1305" s="59">
        <f t="shared" si="138"/>
        <v>61</v>
      </c>
      <c r="N1305" s="59">
        <f t="shared" si="135"/>
        <v>26</v>
      </c>
      <c r="O1305" s="60">
        <f t="shared" si="134"/>
        <v>1305</v>
      </c>
      <c r="P1305" s="65"/>
    </row>
    <row r="1306" spans="3:16">
      <c r="C1306" s="83" t="s">
        <v>78</v>
      </c>
      <c r="D1306" s="75"/>
      <c r="E1306" s="75"/>
      <c r="F1306" s="81" t="s">
        <v>151</v>
      </c>
      <c r="G1306" s="55" t="s">
        <v>2274</v>
      </c>
      <c r="H1306" s="55" t="s">
        <v>124</v>
      </c>
      <c r="I1306" s="59">
        <v>4.0999999999999996</v>
      </c>
      <c r="J1306" s="60" t="s">
        <v>2135</v>
      </c>
      <c r="K1306" s="63" t="str">
        <f t="shared" si="136"/>
        <v>XGF-TC4RTInput</v>
      </c>
      <c r="L1306" s="59">
        <f t="shared" si="137"/>
        <v>87</v>
      </c>
      <c r="M1306" s="59">
        <f t="shared" si="138"/>
        <v>61</v>
      </c>
      <c r="N1306" s="59">
        <f t="shared" si="135"/>
        <v>26</v>
      </c>
      <c r="O1306" s="60">
        <f t="shared" si="134"/>
        <v>1306</v>
      </c>
      <c r="P1306" s="65"/>
    </row>
    <row r="1307" spans="3:16">
      <c r="C1307" s="83" t="s">
        <v>78</v>
      </c>
      <c r="D1307" s="75"/>
      <c r="E1307" s="75"/>
      <c r="F1307" s="81" t="s">
        <v>151</v>
      </c>
      <c r="G1307" s="55" t="s">
        <v>2275</v>
      </c>
      <c r="H1307" s="55" t="s">
        <v>124</v>
      </c>
      <c r="I1307" s="59">
        <v>4.2</v>
      </c>
      <c r="J1307" s="60" t="s">
        <v>2137</v>
      </c>
      <c r="K1307" s="63" t="str">
        <f t="shared" si="136"/>
        <v>XGF-TC4RTInput</v>
      </c>
      <c r="L1307" s="59">
        <f t="shared" si="137"/>
        <v>87</v>
      </c>
      <c r="M1307" s="59">
        <f t="shared" si="138"/>
        <v>61</v>
      </c>
      <c r="N1307" s="59">
        <f t="shared" si="135"/>
        <v>26</v>
      </c>
      <c r="O1307" s="60">
        <f t="shared" si="134"/>
        <v>1307</v>
      </c>
      <c r="P1307" s="65"/>
    </row>
    <row r="1308" spans="3:16">
      <c r="C1308" s="83" t="s">
        <v>78</v>
      </c>
      <c r="D1308" s="75"/>
      <c r="E1308" s="75"/>
      <c r="F1308" s="81" t="s">
        <v>151</v>
      </c>
      <c r="G1308" s="55" t="s">
        <v>2276</v>
      </c>
      <c r="H1308" s="55" t="s">
        <v>124</v>
      </c>
      <c r="I1308" s="59">
        <v>4.3</v>
      </c>
      <c r="J1308" s="60" t="s">
        <v>2139</v>
      </c>
      <c r="K1308" s="63" t="str">
        <f t="shared" si="136"/>
        <v>XGF-TC4RTInput</v>
      </c>
      <c r="L1308" s="59">
        <f t="shared" si="137"/>
        <v>87</v>
      </c>
      <c r="M1308" s="59">
        <f t="shared" si="138"/>
        <v>61</v>
      </c>
      <c r="N1308" s="59">
        <f t="shared" si="135"/>
        <v>26</v>
      </c>
      <c r="O1308" s="60">
        <f t="shared" si="134"/>
        <v>1308</v>
      </c>
      <c r="P1308" s="65"/>
    </row>
    <row r="1309" spans="3:16">
      <c r="C1309" s="83" t="s">
        <v>78</v>
      </c>
      <c r="D1309" s="75"/>
      <c r="E1309" s="75"/>
      <c r="F1309" s="81" t="s">
        <v>151</v>
      </c>
      <c r="G1309" s="55" t="s">
        <v>2277</v>
      </c>
      <c r="H1309" s="55" t="s">
        <v>124</v>
      </c>
      <c r="I1309" s="59">
        <v>4.4000000000000004</v>
      </c>
      <c r="J1309" s="60" t="s">
        <v>2141</v>
      </c>
      <c r="K1309" s="63" t="str">
        <f t="shared" si="136"/>
        <v>XGF-TC4RTInput</v>
      </c>
      <c r="L1309" s="59">
        <f t="shared" si="137"/>
        <v>87</v>
      </c>
      <c r="M1309" s="59">
        <f t="shared" si="138"/>
        <v>61</v>
      </c>
      <c r="N1309" s="59">
        <f t="shared" si="135"/>
        <v>26</v>
      </c>
      <c r="O1309" s="60">
        <f t="shared" si="134"/>
        <v>1309</v>
      </c>
      <c r="P1309" s="65"/>
    </row>
    <row r="1310" spans="3:16">
      <c r="C1310" s="83" t="s">
        <v>78</v>
      </c>
      <c r="D1310" s="75"/>
      <c r="E1310" s="75"/>
      <c r="F1310" s="81" t="s">
        <v>151</v>
      </c>
      <c r="G1310" s="55" t="s">
        <v>2278</v>
      </c>
      <c r="H1310" s="55" t="s">
        <v>124</v>
      </c>
      <c r="I1310" s="59">
        <v>4.5</v>
      </c>
      <c r="J1310" s="60" t="s">
        <v>2143</v>
      </c>
      <c r="K1310" s="63" t="str">
        <f t="shared" si="136"/>
        <v>XGF-TC4RTInput</v>
      </c>
      <c r="L1310" s="59">
        <f t="shared" si="137"/>
        <v>87</v>
      </c>
      <c r="M1310" s="59">
        <f t="shared" si="138"/>
        <v>61</v>
      </c>
      <c r="N1310" s="59">
        <f t="shared" si="135"/>
        <v>26</v>
      </c>
      <c r="O1310" s="60">
        <f t="shared" si="134"/>
        <v>1310</v>
      </c>
      <c r="P1310" s="65"/>
    </row>
    <row r="1311" spans="3:16">
      <c r="C1311" s="83" t="s">
        <v>78</v>
      </c>
      <c r="D1311" s="75"/>
      <c r="E1311" s="75"/>
      <c r="F1311" s="81" t="s">
        <v>151</v>
      </c>
      <c r="G1311" s="55" t="s">
        <v>2279</v>
      </c>
      <c r="H1311" s="55" t="s">
        <v>124</v>
      </c>
      <c r="I1311" s="59">
        <v>4.5999999999999996</v>
      </c>
      <c r="J1311" s="60" t="s">
        <v>2145</v>
      </c>
      <c r="K1311" s="63" t="str">
        <f t="shared" si="136"/>
        <v>XGF-TC4RTInput</v>
      </c>
      <c r="L1311" s="59">
        <f t="shared" si="137"/>
        <v>87</v>
      </c>
      <c r="M1311" s="59">
        <f t="shared" si="138"/>
        <v>61</v>
      </c>
      <c r="N1311" s="59">
        <f t="shared" si="135"/>
        <v>26</v>
      </c>
      <c r="O1311" s="60">
        <f t="shared" si="134"/>
        <v>1311</v>
      </c>
      <c r="P1311" s="65"/>
    </row>
    <row r="1312" spans="3:16">
      <c r="C1312" s="83" t="s">
        <v>78</v>
      </c>
      <c r="D1312" s="75"/>
      <c r="E1312" s="75"/>
      <c r="F1312" s="81" t="s">
        <v>151</v>
      </c>
      <c r="G1312" s="55" t="s">
        <v>2280</v>
      </c>
      <c r="H1312" s="55" t="s">
        <v>124</v>
      </c>
      <c r="I1312" s="59">
        <v>4.7</v>
      </c>
      <c r="J1312" s="60" t="s">
        <v>2147</v>
      </c>
      <c r="K1312" s="63" t="str">
        <f t="shared" si="136"/>
        <v>XGF-TC4RTInput</v>
      </c>
      <c r="L1312" s="59">
        <f t="shared" si="137"/>
        <v>87</v>
      </c>
      <c r="M1312" s="59">
        <f t="shared" si="138"/>
        <v>61</v>
      </c>
      <c r="N1312" s="59">
        <f t="shared" si="135"/>
        <v>26</v>
      </c>
      <c r="O1312" s="60">
        <f t="shared" si="134"/>
        <v>1312</v>
      </c>
      <c r="P1312" s="65"/>
    </row>
    <row r="1313" spans="3:16">
      <c r="C1313" s="83" t="s">
        <v>78</v>
      </c>
      <c r="D1313" s="75"/>
      <c r="E1313" s="75"/>
      <c r="F1313" s="81" t="s">
        <v>151</v>
      </c>
      <c r="G1313" s="55" t="s">
        <v>2281</v>
      </c>
      <c r="H1313" s="55" t="s">
        <v>124</v>
      </c>
      <c r="I1313" s="59">
        <v>5</v>
      </c>
      <c r="J1313" s="60" t="s">
        <v>2149</v>
      </c>
      <c r="K1313" s="63" t="str">
        <f t="shared" si="136"/>
        <v>XGF-TC4RTInput</v>
      </c>
      <c r="L1313" s="59">
        <f t="shared" si="137"/>
        <v>87</v>
      </c>
      <c r="M1313" s="59">
        <f t="shared" si="138"/>
        <v>61</v>
      </c>
      <c r="N1313" s="59">
        <f t="shared" si="135"/>
        <v>26</v>
      </c>
      <c r="O1313" s="60">
        <f t="shared" si="134"/>
        <v>1313</v>
      </c>
      <c r="P1313" s="65"/>
    </row>
    <row r="1314" spans="3:16">
      <c r="C1314" s="83" t="s">
        <v>78</v>
      </c>
      <c r="D1314" s="75"/>
      <c r="E1314" s="75"/>
      <c r="F1314" s="81" t="s">
        <v>151</v>
      </c>
      <c r="G1314" s="55" t="s">
        <v>2282</v>
      </c>
      <c r="H1314" s="55" t="s">
        <v>124</v>
      </c>
      <c r="I1314" s="59">
        <v>5.0999999999999996</v>
      </c>
      <c r="J1314" s="60" t="s">
        <v>2151</v>
      </c>
      <c r="K1314" s="63" t="str">
        <f t="shared" si="136"/>
        <v>XGF-TC4RTInput</v>
      </c>
      <c r="L1314" s="59">
        <f t="shared" si="137"/>
        <v>87</v>
      </c>
      <c r="M1314" s="59">
        <f t="shared" si="138"/>
        <v>61</v>
      </c>
      <c r="N1314" s="59">
        <f t="shared" si="135"/>
        <v>26</v>
      </c>
      <c r="O1314" s="60">
        <f t="shared" si="134"/>
        <v>1314</v>
      </c>
      <c r="P1314" s="65"/>
    </row>
    <row r="1315" spans="3:16">
      <c r="C1315" s="83" t="s">
        <v>78</v>
      </c>
      <c r="D1315" s="75"/>
      <c r="E1315" s="75"/>
      <c r="F1315" s="81" t="s">
        <v>151</v>
      </c>
      <c r="G1315" s="55" t="s">
        <v>2283</v>
      </c>
      <c r="H1315" s="55" t="s">
        <v>124</v>
      </c>
      <c r="I1315" s="59">
        <v>5.2</v>
      </c>
      <c r="J1315" s="60" t="s">
        <v>2153</v>
      </c>
      <c r="K1315" s="63" t="str">
        <f t="shared" si="136"/>
        <v>XGF-TC4RTInput</v>
      </c>
      <c r="L1315" s="59">
        <f t="shared" si="137"/>
        <v>87</v>
      </c>
      <c r="M1315" s="59">
        <f t="shared" si="138"/>
        <v>61</v>
      </c>
      <c r="N1315" s="59">
        <f t="shared" si="135"/>
        <v>26</v>
      </c>
      <c r="O1315" s="60">
        <f t="shared" si="134"/>
        <v>1315</v>
      </c>
      <c r="P1315" s="65"/>
    </row>
    <row r="1316" spans="3:16">
      <c r="C1316" s="83" t="s">
        <v>78</v>
      </c>
      <c r="D1316" s="75"/>
      <c r="E1316" s="75"/>
      <c r="F1316" s="81" t="s">
        <v>151</v>
      </c>
      <c r="G1316" s="55" t="s">
        <v>2284</v>
      </c>
      <c r="H1316" s="55" t="s">
        <v>124</v>
      </c>
      <c r="I1316" s="59">
        <v>5.3</v>
      </c>
      <c r="J1316" s="60" t="s">
        <v>2155</v>
      </c>
      <c r="K1316" s="63" t="str">
        <f t="shared" si="136"/>
        <v>XGF-TC4RTInput</v>
      </c>
      <c r="L1316" s="59">
        <f t="shared" si="137"/>
        <v>87</v>
      </c>
      <c r="M1316" s="59">
        <f t="shared" si="138"/>
        <v>61</v>
      </c>
      <c r="N1316" s="59">
        <f t="shared" si="135"/>
        <v>26</v>
      </c>
      <c r="O1316" s="60">
        <f t="shared" si="134"/>
        <v>1316</v>
      </c>
      <c r="P1316" s="65"/>
    </row>
    <row r="1317" spans="3:16">
      <c r="C1317" s="83" t="s">
        <v>78</v>
      </c>
      <c r="D1317" s="75"/>
      <c r="E1317" s="75"/>
      <c r="F1317" s="81" t="s">
        <v>151</v>
      </c>
      <c r="G1317" s="55" t="s">
        <v>2285</v>
      </c>
      <c r="H1317" s="55" t="s">
        <v>124</v>
      </c>
      <c r="I1317" s="59">
        <v>5.4</v>
      </c>
      <c r="J1317" s="60" t="s">
        <v>2157</v>
      </c>
      <c r="K1317" s="63" t="str">
        <f t="shared" si="136"/>
        <v>XGF-TC4RTInput</v>
      </c>
      <c r="L1317" s="59">
        <f t="shared" si="137"/>
        <v>87</v>
      </c>
      <c r="M1317" s="59">
        <f t="shared" si="138"/>
        <v>61</v>
      </c>
      <c r="N1317" s="59">
        <f t="shared" si="135"/>
        <v>26</v>
      </c>
      <c r="O1317" s="60">
        <f t="shared" si="134"/>
        <v>1317</v>
      </c>
      <c r="P1317" s="65"/>
    </row>
    <row r="1318" spans="3:16">
      <c r="C1318" s="83" t="s">
        <v>78</v>
      </c>
      <c r="D1318" s="75"/>
      <c r="E1318" s="75"/>
      <c r="F1318" s="81" t="s">
        <v>151</v>
      </c>
      <c r="G1318" s="55" t="s">
        <v>2286</v>
      </c>
      <c r="H1318" s="55" t="s">
        <v>124</v>
      </c>
      <c r="I1318" s="59">
        <v>5.5</v>
      </c>
      <c r="J1318" s="60" t="s">
        <v>2159</v>
      </c>
      <c r="K1318" s="63" t="str">
        <f t="shared" si="136"/>
        <v>XGF-TC4RTInput</v>
      </c>
      <c r="L1318" s="59">
        <f t="shared" si="137"/>
        <v>87</v>
      </c>
      <c r="M1318" s="59">
        <f t="shared" si="138"/>
        <v>61</v>
      </c>
      <c r="N1318" s="59">
        <f t="shared" si="135"/>
        <v>26</v>
      </c>
      <c r="O1318" s="60">
        <f t="shared" si="134"/>
        <v>1318</v>
      </c>
      <c r="P1318" s="65"/>
    </row>
    <row r="1319" spans="3:16">
      <c r="C1319" s="83" t="s">
        <v>78</v>
      </c>
      <c r="D1319" s="75"/>
      <c r="E1319" s="75"/>
      <c r="F1319" s="81" t="s">
        <v>151</v>
      </c>
      <c r="G1319" s="55" t="s">
        <v>2287</v>
      </c>
      <c r="H1319" s="55" t="s">
        <v>124</v>
      </c>
      <c r="I1319" s="59">
        <v>5.6</v>
      </c>
      <c r="J1319" s="60" t="s">
        <v>2161</v>
      </c>
      <c r="K1319" s="63" t="str">
        <f t="shared" si="136"/>
        <v>XGF-TC4RTInput</v>
      </c>
      <c r="L1319" s="59">
        <f t="shared" si="137"/>
        <v>87</v>
      </c>
      <c r="M1319" s="59">
        <f t="shared" si="138"/>
        <v>61</v>
      </c>
      <c r="N1319" s="59">
        <f t="shared" si="135"/>
        <v>26</v>
      </c>
      <c r="O1319" s="60">
        <f t="shared" si="134"/>
        <v>1319</v>
      </c>
      <c r="P1319" s="65"/>
    </row>
    <row r="1320" spans="3:16">
      <c r="C1320" s="83" t="s">
        <v>78</v>
      </c>
      <c r="D1320" s="75"/>
      <c r="E1320" s="75"/>
      <c r="F1320" s="81" t="s">
        <v>151</v>
      </c>
      <c r="G1320" s="55" t="s">
        <v>2288</v>
      </c>
      <c r="H1320" s="55" t="s">
        <v>124</v>
      </c>
      <c r="I1320" s="59">
        <v>5.7</v>
      </c>
      <c r="J1320" s="60" t="s">
        <v>2163</v>
      </c>
      <c r="K1320" s="63" t="str">
        <f t="shared" si="136"/>
        <v>XGF-TC4RTInput</v>
      </c>
      <c r="L1320" s="59">
        <f t="shared" si="137"/>
        <v>87</v>
      </c>
      <c r="M1320" s="59">
        <f t="shared" si="138"/>
        <v>61</v>
      </c>
      <c r="N1320" s="59">
        <f t="shared" si="135"/>
        <v>26</v>
      </c>
      <c r="O1320" s="60">
        <f t="shared" si="134"/>
        <v>1320</v>
      </c>
      <c r="P1320" s="65"/>
    </row>
    <row r="1321" spans="3:16">
      <c r="C1321" s="83" t="s">
        <v>78</v>
      </c>
      <c r="D1321" s="75"/>
      <c r="E1321" s="75"/>
      <c r="F1321" s="81" t="s">
        <v>151</v>
      </c>
      <c r="G1321" s="55" t="s">
        <v>2289</v>
      </c>
      <c r="H1321" s="55" t="s">
        <v>139</v>
      </c>
      <c r="I1321" s="59">
        <v>6</v>
      </c>
      <c r="J1321" s="60" t="s">
        <v>2165</v>
      </c>
      <c r="K1321" s="63" t="str">
        <f t="shared" si="136"/>
        <v>XGF-TC4RTInput</v>
      </c>
      <c r="L1321" s="59">
        <f t="shared" si="137"/>
        <v>87</v>
      </c>
      <c r="M1321" s="59">
        <f t="shared" si="138"/>
        <v>61</v>
      </c>
      <c r="N1321" s="59">
        <f t="shared" si="135"/>
        <v>26</v>
      </c>
      <c r="O1321" s="60">
        <f t="shared" si="134"/>
        <v>1321</v>
      </c>
      <c r="P1321" s="65"/>
    </row>
    <row r="1322" spans="3:16">
      <c r="C1322" s="83" t="s">
        <v>78</v>
      </c>
      <c r="D1322" s="75"/>
      <c r="E1322" s="75"/>
      <c r="F1322" s="81" t="s">
        <v>151</v>
      </c>
      <c r="G1322" s="55" t="s">
        <v>2290</v>
      </c>
      <c r="H1322" s="55" t="s">
        <v>139</v>
      </c>
      <c r="I1322" s="59">
        <v>7</v>
      </c>
      <c r="J1322" s="60" t="s">
        <v>2167</v>
      </c>
      <c r="K1322" s="63" t="str">
        <f t="shared" si="136"/>
        <v>XGF-TC4RTInput</v>
      </c>
      <c r="L1322" s="59">
        <f t="shared" si="137"/>
        <v>87</v>
      </c>
      <c r="M1322" s="59">
        <f t="shared" si="138"/>
        <v>61</v>
      </c>
      <c r="N1322" s="59">
        <f t="shared" si="135"/>
        <v>26</v>
      </c>
      <c r="O1322" s="60">
        <f t="shared" si="134"/>
        <v>1322</v>
      </c>
      <c r="P1322" s="65"/>
    </row>
    <row r="1323" spans="3:16">
      <c r="C1323" s="83" t="s">
        <v>78</v>
      </c>
      <c r="D1323" s="75"/>
      <c r="E1323" s="75"/>
      <c r="F1323" s="81" t="s">
        <v>151</v>
      </c>
      <c r="G1323" s="55" t="s">
        <v>2291</v>
      </c>
      <c r="H1323" s="55" t="s">
        <v>139</v>
      </c>
      <c r="I1323" s="59">
        <v>8</v>
      </c>
      <c r="J1323" s="60" t="s">
        <v>2169</v>
      </c>
      <c r="K1323" s="63" t="str">
        <f t="shared" si="136"/>
        <v>XGF-TC4RTInput</v>
      </c>
      <c r="L1323" s="59">
        <f t="shared" si="137"/>
        <v>87</v>
      </c>
      <c r="M1323" s="59">
        <f t="shared" si="138"/>
        <v>61</v>
      </c>
      <c r="N1323" s="59">
        <f t="shared" si="135"/>
        <v>26</v>
      </c>
      <c r="O1323" s="60">
        <f t="shared" si="134"/>
        <v>1323</v>
      </c>
      <c r="P1323" s="65"/>
    </row>
    <row r="1324" spans="3:16">
      <c r="C1324" s="83" t="s">
        <v>78</v>
      </c>
      <c r="D1324" s="75"/>
      <c r="E1324" s="75"/>
      <c r="F1324" s="81" t="s">
        <v>151</v>
      </c>
      <c r="G1324" s="55" t="s">
        <v>2292</v>
      </c>
      <c r="H1324" s="55" t="s">
        <v>139</v>
      </c>
      <c r="I1324" s="59">
        <v>9</v>
      </c>
      <c r="J1324" s="60" t="s">
        <v>2171</v>
      </c>
      <c r="K1324" s="63" t="str">
        <f t="shared" si="136"/>
        <v>XGF-TC4RTInput</v>
      </c>
      <c r="L1324" s="59">
        <f t="shared" si="137"/>
        <v>87</v>
      </c>
      <c r="M1324" s="59">
        <f t="shared" si="138"/>
        <v>61</v>
      </c>
      <c r="N1324" s="59">
        <f t="shared" si="135"/>
        <v>26</v>
      </c>
      <c r="O1324" s="60">
        <f t="shared" si="134"/>
        <v>1324</v>
      </c>
      <c r="P1324" s="65"/>
    </row>
    <row r="1325" spans="3:16">
      <c r="C1325" s="83" t="s">
        <v>78</v>
      </c>
      <c r="D1325" s="75"/>
      <c r="E1325" s="75"/>
      <c r="F1325" s="81" t="s">
        <v>151</v>
      </c>
      <c r="G1325" s="55" t="s">
        <v>2293</v>
      </c>
      <c r="H1325" s="55" t="s">
        <v>139</v>
      </c>
      <c r="I1325" s="59">
        <v>10</v>
      </c>
      <c r="J1325" s="60" t="s">
        <v>2173</v>
      </c>
      <c r="K1325" s="63" t="str">
        <f t="shared" si="136"/>
        <v>XGF-TC4RTInput</v>
      </c>
      <c r="L1325" s="59">
        <f t="shared" si="137"/>
        <v>87</v>
      </c>
      <c r="M1325" s="59">
        <f t="shared" si="138"/>
        <v>61</v>
      </c>
      <c r="N1325" s="59">
        <f t="shared" si="135"/>
        <v>26</v>
      </c>
      <c r="O1325" s="60">
        <f t="shared" si="134"/>
        <v>1325</v>
      </c>
      <c r="P1325" s="65"/>
    </row>
    <row r="1326" spans="3:16">
      <c r="C1326" s="83" t="s">
        <v>78</v>
      </c>
      <c r="D1326" s="75"/>
      <c r="E1326" s="75"/>
      <c r="F1326" s="81" t="s">
        <v>151</v>
      </c>
      <c r="G1326" s="55" t="s">
        <v>2294</v>
      </c>
      <c r="H1326" s="55" t="s">
        <v>139</v>
      </c>
      <c r="I1326" s="59">
        <v>11</v>
      </c>
      <c r="J1326" s="60" t="s">
        <v>2175</v>
      </c>
      <c r="K1326" s="63" t="str">
        <f t="shared" si="136"/>
        <v>XGF-TC4RTInput</v>
      </c>
      <c r="L1326" s="59">
        <f t="shared" si="137"/>
        <v>87</v>
      </c>
      <c r="M1326" s="59">
        <f t="shared" si="138"/>
        <v>61</v>
      </c>
      <c r="N1326" s="59">
        <f t="shared" si="135"/>
        <v>26</v>
      </c>
      <c r="O1326" s="60">
        <f t="shared" si="134"/>
        <v>1326</v>
      </c>
      <c r="P1326" s="65"/>
    </row>
    <row r="1327" spans="3:16">
      <c r="C1327" s="83" t="s">
        <v>78</v>
      </c>
      <c r="D1327" s="75"/>
      <c r="E1327" s="75"/>
      <c r="F1327" s="81" t="s">
        <v>151</v>
      </c>
      <c r="G1327" s="55" t="s">
        <v>2295</v>
      </c>
      <c r="H1327" s="55" t="s">
        <v>139</v>
      </c>
      <c r="I1327" s="59">
        <v>12</v>
      </c>
      <c r="J1327" s="60" t="s">
        <v>2177</v>
      </c>
      <c r="K1327" s="63" t="str">
        <f t="shared" si="136"/>
        <v>XGF-TC4RTInput</v>
      </c>
      <c r="L1327" s="59">
        <f t="shared" si="137"/>
        <v>87</v>
      </c>
      <c r="M1327" s="59">
        <f t="shared" si="138"/>
        <v>61</v>
      </c>
      <c r="N1327" s="59">
        <f t="shared" si="135"/>
        <v>26</v>
      </c>
      <c r="O1327" s="60">
        <f t="shared" si="134"/>
        <v>1327</v>
      </c>
      <c r="P1327" s="65"/>
    </row>
    <row r="1328" spans="3:16">
      <c r="C1328" s="83" t="s">
        <v>78</v>
      </c>
      <c r="D1328" s="75"/>
      <c r="E1328" s="75"/>
      <c r="F1328" s="81" t="s">
        <v>151</v>
      </c>
      <c r="G1328" s="55" t="s">
        <v>2296</v>
      </c>
      <c r="H1328" s="55" t="s">
        <v>139</v>
      </c>
      <c r="I1328" s="59">
        <v>13</v>
      </c>
      <c r="J1328" s="60" t="s">
        <v>2179</v>
      </c>
      <c r="K1328" s="63" t="str">
        <f t="shared" si="136"/>
        <v>XGF-TC4RTInput</v>
      </c>
      <c r="L1328" s="59">
        <f t="shared" si="137"/>
        <v>87</v>
      </c>
      <c r="M1328" s="59">
        <f t="shared" si="138"/>
        <v>61</v>
      </c>
      <c r="N1328" s="59">
        <f t="shared" si="135"/>
        <v>26</v>
      </c>
      <c r="O1328" s="60">
        <f t="shared" si="134"/>
        <v>1328</v>
      </c>
      <c r="P1328" s="65"/>
    </row>
    <row r="1329" spans="3:16">
      <c r="C1329" s="83" t="s">
        <v>78</v>
      </c>
      <c r="D1329" s="75"/>
      <c r="E1329" s="75"/>
      <c r="F1329" s="81" t="s">
        <v>151</v>
      </c>
      <c r="G1329" s="55" t="s">
        <v>2297</v>
      </c>
      <c r="H1329" s="55" t="s">
        <v>139</v>
      </c>
      <c r="I1329" s="59">
        <v>14</v>
      </c>
      <c r="J1329" s="60" t="s">
        <v>2181</v>
      </c>
      <c r="K1329" s="63" t="str">
        <f t="shared" si="136"/>
        <v>XGF-TC4RTInput</v>
      </c>
      <c r="L1329" s="59">
        <f t="shared" si="137"/>
        <v>87</v>
      </c>
      <c r="M1329" s="59">
        <f t="shared" si="138"/>
        <v>61</v>
      </c>
      <c r="N1329" s="59">
        <f t="shared" si="135"/>
        <v>26</v>
      </c>
      <c r="O1329" s="60">
        <f t="shared" si="134"/>
        <v>1329</v>
      </c>
      <c r="P1329" s="65"/>
    </row>
    <row r="1330" spans="3:16">
      <c r="C1330" s="83" t="s">
        <v>78</v>
      </c>
      <c r="D1330" s="75"/>
      <c r="E1330" s="75"/>
      <c r="F1330" s="81" t="s">
        <v>151</v>
      </c>
      <c r="G1330" s="55" t="s">
        <v>2298</v>
      </c>
      <c r="H1330" s="55" t="s">
        <v>139</v>
      </c>
      <c r="I1330" s="59">
        <v>15</v>
      </c>
      <c r="J1330" s="60" t="s">
        <v>2183</v>
      </c>
      <c r="K1330" s="63" t="str">
        <f t="shared" si="136"/>
        <v>XGF-TC4RTInput</v>
      </c>
      <c r="L1330" s="59">
        <f t="shared" si="137"/>
        <v>87</v>
      </c>
      <c r="M1330" s="59">
        <f t="shared" si="138"/>
        <v>61</v>
      </c>
      <c r="N1330" s="59">
        <f t="shared" si="135"/>
        <v>26</v>
      </c>
      <c r="O1330" s="60">
        <f t="shared" si="134"/>
        <v>1330</v>
      </c>
      <c r="P1330" s="65"/>
    </row>
    <row r="1331" spans="3:16">
      <c r="C1331" s="83" t="s">
        <v>78</v>
      </c>
      <c r="D1331" s="75"/>
      <c r="E1331" s="75"/>
      <c r="F1331" s="81" t="s">
        <v>151</v>
      </c>
      <c r="G1331" s="55" t="s">
        <v>2299</v>
      </c>
      <c r="H1331" s="55" t="s">
        <v>139</v>
      </c>
      <c r="I1331" s="59">
        <v>16</v>
      </c>
      <c r="J1331" s="60" t="s">
        <v>2185</v>
      </c>
      <c r="K1331" s="63" t="str">
        <f t="shared" si="136"/>
        <v>XGF-TC4RTInput</v>
      </c>
      <c r="L1331" s="59">
        <f t="shared" si="137"/>
        <v>87</v>
      </c>
      <c r="M1331" s="59">
        <f t="shared" si="138"/>
        <v>61</v>
      </c>
      <c r="N1331" s="59">
        <f t="shared" si="135"/>
        <v>26</v>
      </c>
      <c r="O1331" s="60">
        <f t="shared" si="134"/>
        <v>1331</v>
      </c>
      <c r="P1331" s="65"/>
    </row>
    <row r="1332" spans="3:16">
      <c r="C1332" s="83" t="s">
        <v>78</v>
      </c>
      <c r="D1332" s="75"/>
      <c r="E1332" s="75"/>
      <c r="F1332" s="81" t="s">
        <v>151</v>
      </c>
      <c r="G1332" s="55" t="s">
        <v>2300</v>
      </c>
      <c r="H1332" s="55" t="s">
        <v>139</v>
      </c>
      <c r="I1332" s="59">
        <v>17</v>
      </c>
      <c r="J1332" s="60" t="s">
        <v>2187</v>
      </c>
      <c r="K1332" s="63" t="str">
        <f t="shared" si="136"/>
        <v>XGF-TC4RTInput</v>
      </c>
      <c r="L1332" s="59">
        <f t="shared" si="137"/>
        <v>87</v>
      </c>
      <c r="M1332" s="59">
        <f t="shared" si="138"/>
        <v>61</v>
      </c>
      <c r="N1332" s="59">
        <f t="shared" si="135"/>
        <v>26</v>
      </c>
      <c r="O1332" s="60">
        <f t="shared" si="134"/>
        <v>1332</v>
      </c>
      <c r="P1332" s="65"/>
    </row>
    <row r="1333" spans="3:16">
      <c r="C1333" s="83" t="s">
        <v>78</v>
      </c>
      <c r="D1333" s="75"/>
      <c r="E1333" s="75"/>
      <c r="F1333" s="81" t="s">
        <v>166</v>
      </c>
      <c r="G1333" s="55" t="s">
        <v>2301</v>
      </c>
      <c r="H1333" s="55" t="s">
        <v>124</v>
      </c>
      <c r="I1333" s="59">
        <v>0</v>
      </c>
      <c r="J1333" s="60" t="s">
        <v>2189</v>
      </c>
      <c r="K1333" s="63"/>
      <c r="L1333" s="59"/>
      <c r="M1333" s="59"/>
      <c r="N1333" s="59"/>
      <c r="O1333" s="60">
        <f t="shared" si="134"/>
        <v>1333</v>
      </c>
      <c r="P1333" s="65"/>
    </row>
    <row r="1334" spans="3:16">
      <c r="C1334" s="83" t="s">
        <v>78</v>
      </c>
      <c r="D1334" s="75"/>
      <c r="E1334" s="75"/>
      <c r="F1334" s="81" t="s">
        <v>166</v>
      </c>
      <c r="G1334" s="55" t="s">
        <v>2302</v>
      </c>
      <c r="H1334" s="55" t="s">
        <v>124</v>
      </c>
      <c r="I1334" s="59">
        <v>0.1</v>
      </c>
      <c r="J1334" s="60" t="s">
        <v>2191</v>
      </c>
      <c r="K1334" s="63"/>
      <c r="L1334" s="59"/>
      <c r="M1334" s="59"/>
      <c r="N1334" s="59"/>
      <c r="O1334" s="60">
        <f t="shared" si="134"/>
        <v>1334</v>
      </c>
      <c r="P1334" s="65"/>
    </row>
    <row r="1335" spans="3:16">
      <c r="C1335" s="83" t="s">
        <v>78</v>
      </c>
      <c r="D1335" s="75"/>
      <c r="E1335" s="75"/>
      <c r="F1335" s="81" t="s">
        <v>166</v>
      </c>
      <c r="G1335" s="55" t="s">
        <v>2303</v>
      </c>
      <c r="H1335" s="55" t="s">
        <v>124</v>
      </c>
      <c r="I1335" s="59">
        <v>0.2</v>
      </c>
      <c r="J1335" s="60" t="s">
        <v>2193</v>
      </c>
      <c r="K1335" s="63"/>
      <c r="L1335" s="59"/>
      <c r="M1335" s="59"/>
      <c r="N1335" s="59"/>
      <c r="O1335" s="60">
        <f t="shared" si="134"/>
        <v>1335</v>
      </c>
      <c r="P1335" s="65"/>
    </row>
    <row r="1336" spans="3:16">
      <c r="C1336" s="83" t="s">
        <v>78</v>
      </c>
      <c r="D1336" s="75"/>
      <c r="E1336" s="75"/>
      <c r="F1336" s="81" t="s">
        <v>166</v>
      </c>
      <c r="G1336" s="55" t="s">
        <v>2304</v>
      </c>
      <c r="H1336" s="55" t="s">
        <v>124</v>
      </c>
      <c r="I1336" s="59">
        <v>0.3</v>
      </c>
      <c r="J1336" s="60" t="s">
        <v>2195</v>
      </c>
      <c r="K1336" s="63"/>
      <c r="L1336" s="59"/>
      <c r="M1336" s="59"/>
      <c r="N1336" s="59"/>
      <c r="O1336" s="60">
        <f t="shared" si="134"/>
        <v>1336</v>
      </c>
      <c r="P1336" s="65"/>
    </row>
    <row r="1337" spans="3:16">
      <c r="C1337" s="83" t="s">
        <v>78</v>
      </c>
      <c r="D1337" s="75"/>
      <c r="E1337" s="75"/>
      <c r="F1337" s="81" t="s">
        <v>166</v>
      </c>
      <c r="G1337" s="55" t="s">
        <v>2305</v>
      </c>
      <c r="H1337" s="55" t="s">
        <v>124</v>
      </c>
      <c r="I1337" s="59">
        <v>1</v>
      </c>
      <c r="J1337" s="60" t="s">
        <v>2197</v>
      </c>
      <c r="K1337" s="63"/>
      <c r="L1337" s="59"/>
      <c r="M1337" s="59"/>
      <c r="N1337" s="59"/>
      <c r="O1337" s="60">
        <f t="shared" si="134"/>
        <v>1337</v>
      </c>
      <c r="P1337" s="65"/>
    </row>
    <row r="1338" spans="3:16">
      <c r="C1338" s="83" t="s">
        <v>78</v>
      </c>
      <c r="D1338" s="75"/>
      <c r="E1338" s="75"/>
      <c r="F1338" s="81" t="s">
        <v>166</v>
      </c>
      <c r="G1338" s="55" t="s">
        <v>2306</v>
      </c>
      <c r="H1338" s="55" t="s">
        <v>124</v>
      </c>
      <c r="I1338" s="59">
        <v>1.1000000000000001</v>
      </c>
      <c r="J1338" s="60" t="s">
        <v>2199</v>
      </c>
      <c r="K1338" s="63"/>
      <c r="L1338" s="59"/>
      <c r="M1338" s="59"/>
      <c r="N1338" s="59"/>
      <c r="O1338" s="60">
        <f t="shared" si="134"/>
        <v>1338</v>
      </c>
      <c r="P1338" s="65"/>
    </row>
    <row r="1339" spans="3:16">
      <c r="C1339" s="83" t="s">
        <v>78</v>
      </c>
      <c r="D1339" s="75"/>
      <c r="E1339" s="75"/>
      <c r="F1339" s="81" t="s">
        <v>166</v>
      </c>
      <c r="G1339" s="55" t="s">
        <v>2307</v>
      </c>
      <c r="H1339" s="55" t="s">
        <v>124</v>
      </c>
      <c r="I1339" s="59">
        <v>1.2</v>
      </c>
      <c r="J1339" s="60" t="s">
        <v>2201</v>
      </c>
      <c r="K1339" s="63"/>
      <c r="L1339" s="59"/>
      <c r="M1339" s="59"/>
      <c r="N1339" s="59"/>
      <c r="O1339" s="60">
        <f t="shared" si="134"/>
        <v>1339</v>
      </c>
      <c r="P1339" s="65"/>
    </row>
    <row r="1340" spans="3:16">
      <c r="C1340" s="83" t="s">
        <v>78</v>
      </c>
      <c r="D1340" s="75"/>
      <c r="E1340" s="75"/>
      <c r="F1340" s="81" t="s">
        <v>166</v>
      </c>
      <c r="G1340" s="55" t="s">
        <v>2308</v>
      </c>
      <c r="H1340" s="55" t="s">
        <v>124</v>
      </c>
      <c r="I1340" s="59">
        <v>1.3</v>
      </c>
      <c r="J1340" s="60" t="s">
        <v>2203</v>
      </c>
      <c r="K1340" s="63"/>
      <c r="L1340" s="59"/>
      <c r="M1340" s="59"/>
      <c r="N1340" s="59"/>
      <c r="O1340" s="60">
        <f t="shared" si="134"/>
        <v>1340</v>
      </c>
      <c r="P1340" s="65"/>
    </row>
    <row r="1341" spans="3:16">
      <c r="C1341" s="83" t="s">
        <v>78</v>
      </c>
      <c r="D1341" s="75"/>
      <c r="E1341" s="75"/>
      <c r="F1341" s="81" t="s">
        <v>166</v>
      </c>
      <c r="G1341" s="55" t="s">
        <v>2309</v>
      </c>
      <c r="H1341" s="55" t="s">
        <v>124</v>
      </c>
      <c r="I1341" s="59">
        <v>2</v>
      </c>
      <c r="J1341" s="60" t="s">
        <v>2205</v>
      </c>
      <c r="K1341" s="63"/>
      <c r="L1341" s="59"/>
      <c r="M1341" s="59"/>
      <c r="N1341" s="59"/>
      <c r="O1341" s="60">
        <f t="shared" si="134"/>
        <v>1341</v>
      </c>
      <c r="P1341" s="65"/>
    </row>
    <row r="1342" spans="3:16">
      <c r="C1342" s="83" t="s">
        <v>78</v>
      </c>
      <c r="D1342" s="75"/>
      <c r="E1342" s="75"/>
      <c r="F1342" s="81" t="s">
        <v>166</v>
      </c>
      <c r="G1342" s="55" t="s">
        <v>2310</v>
      </c>
      <c r="H1342" s="55" t="s">
        <v>124</v>
      </c>
      <c r="I1342" s="59">
        <v>2.1</v>
      </c>
      <c r="J1342" s="60" t="s">
        <v>2207</v>
      </c>
      <c r="K1342" s="63"/>
      <c r="L1342" s="59"/>
      <c r="M1342" s="59"/>
      <c r="N1342" s="59"/>
      <c r="O1342" s="60">
        <f t="shared" si="134"/>
        <v>1342</v>
      </c>
      <c r="P1342" s="65"/>
    </row>
    <row r="1343" spans="3:16">
      <c r="C1343" s="83" t="s">
        <v>78</v>
      </c>
      <c r="D1343" s="75"/>
      <c r="E1343" s="75"/>
      <c r="F1343" s="81" t="s">
        <v>166</v>
      </c>
      <c r="G1343" s="55" t="s">
        <v>2311</v>
      </c>
      <c r="H1343" s="55" t="s">
        <v>124</v>
      </c>
      <c r="I1343" s="59">
        <v>2.2000000000000002</v>
      </c>
      <c r="J1343" s="60" t="s">
        <v>2209</v>
      </c>
      <c r="K1343" s="63"/>
      <c r="L1343" s="59"/>
      <c r="M1343" s="59"/>
      <c r="N1343" s="59"/>
      <c r="O1343" s="60">
        <f t="shared" si="134"/>
        <v>1343</v>
      </c>
      <c r="P1343" s="65"/>
    </row>
    <row r="1344" spans="3:16">
      <c r="C1344" s="83" t="s">
        <v>78</v>
      </c>
      <c r="D1344" s="75"/>
      <c r="E1344" s="75"/>
      <c r="F1344" s="81" t="s">
        <v>166</v>
      </c>
      <c r="G1344" s="55" t="s">
        <v>2312</v>
      </c>
      <c r="H1344" s="55" t="s">
        <v>124</v>
      </c>
      <c r="I1344" s="59">
        <v>2.2999999999999998</v>
      </c>
      <c r="J1344" s="60" t="s">
        <v>2211</v>
      </c>
      <c r="K1344" s="63"/>
      <c r="L1344" s="59"/>
      <c r="M1344" s="59"/>
      <c r="N1344" s="59"/>
      <c r="O1344" s="60">
        <f t="shared" si="134"/>
        <v>1344</v>
      </c>
      <c r="P1344" s="65"/>
    </row>
    <row r="1345" spans="2:22">
      <c r="C1345" s="83" t="s">
        <v>78</v>
      </c>
      <c r="D1345" s="75"/>
      <c r="E1345" s="75"/>
      <c r="F1345" s="81" t="s">
        <v>166</v>
      </c>
      <c r="G1345" s="55" t="s">
        <v>2313</v>
      </c>
      <c r="H1345" s="55" t="s">
        <v>124</v>
      </c>
      <c r="I1345" s="59">
        <v>3</v>
      </c>
      <c r="J1345" s="60" t="s">
        <v>2213</v>
      </c>
      <c r="K1345" s="63"/>
      <c r="L1345" s="59"/>
      <c r="M1345" s="59"/>
      <c r="N1345" s="59"/>
      <c r="O1345" s="60">
        <f t="shared" si="134"/>
        <v>1345</v>
      </c>
      <c r="P1345" s="65"/>
    </row>
    <row r="1346" spans="2:22">
      <c r="C1346" s="83" t="s">
        <v>78</v>
      </c>
      <c r="D1346" s="75"/>
      <c r="E1346" s="75"/>
      <c r="F1346" s="81" t="s">
        <v>166</v>
      </c>
      <c r="G1346" s="55" t="s">
        <v>2314</v>
      </c>
      <c r="H1346" s="55" t="s">
        <v>124</v>
      </c>
      <c r="I1346" s="59">
        <v>3.1</v>
      </c>
      <c r="J1346" s="60" t="s">
        <v>2215</v>
      </c>
      <c r="K1346" s="63"/>
      <c r="L1346" s="59"/>
      <c r="M1346" s="59"/>
      <c r="N1346" s="59"/>
      <c r="O1346" s="60">
        <f t="shared" ref="O1346:O1409" si="139">ROW(C1346)</f>
        <v>1346</v>
      </c>
      <c r="P1346" s="65"/>
    </row>
    <row r="1347" spans="2:22">
      <c r="C1347" s="83" t="s">
        <v>78</v>
      </c>
      <c r="D1347" s="75"/>
      <c r="E1347" s="75"/>
      <c r="F1347" s="81" t="s">
        <v>166</v>
      </c>
      <c r="G1347" s="55" t="s">
        <v>2315</v>
      </c>
      <c r="H1347" s="55" t="s">
        <v>124</v>
      </c>
      <c r="I1347" s="59">
        <v>3.2</v>
      </c>
      <c r="J1347" s="60" t="s">
        <v>2217</v>
      </c>
      <c r="K1347" s="63"/>
      <c r="L1347" s="59"/>
      <c r="M1347" s="59"/>
      <c r="N1347" s="59"/>
      <c r="O1347" s="60">
        <f t="shared" si="139"/>
        <v>1347</v>
      </c>
      <c r="P1347" s="65"/>
    </row>
    <row r="1348" spans="2:22">
      <c r="C1348" s="83" t="s">
        <v>78</v>
      </c>
      <c r="D1348" s="75"/>
      <c r="E1348" s="75"/>
      <c r="F1348" s="81" t="s">
        <v>166</v>
      </c>
      <c r="G1348" s="55" t="s">
        <v>2316</v>
      </c>
      <c r="H1348" s="55" t="s">
        <v>124</v>
      </c>
      <c r="I1348" s="59">
        <v>3.3</v>
      </c>
      <c r="J1348" s="60" t="s">
        <v>2219</v>
      </c>
      <c r="K1348" s="63"/>
      <c r="L1348" s="59"/>
      <c r="M1348" s="59"/>
      <c r="N1348" s="59"/>
      <c r="O1348" s="60">
        <f t="shared" si="139"/>
        <v>1348</v>
      </c>
      <c r="P1348" s="65"/>
    </row>
    <row r="1349" spans="2:22">
      <c r="C1349" s="83" t="s">
        <v>78</v>
      </c>
      <c r="D1349" s="75"/>
      <c r="E1349" s="75"/>
      <c r="F1349" s="81" t="s">
        <v>166</v>
      </c>
      <c r="G1349" s="55" t="s">
        <v>2317</v>
      </c>
      <c r="H1349" s="55" t="s">
        <v>139</v>
      </c>
      <c r="I1349" s="59">
        <v>4</v>
      </c>
      <c r="J1349" s="60" t="s">
        <v>2221</v>
      </c>
      <c r="K1349" s="63"/>
      <c r="L1349" s="59"/>
      <c r="M1349" s="59"/>
      <c r="N1349" s="59"/>
      <c r="O1349" s="60">
        <f t="shared" si="139"/>
        <v>1349</v>
      </c>
      <c r="P1349" s="65"/>
    </row>
    <row r="1350" spans="2:22">
      <c r="C1350" s="83" t="s">
        <v>78</v>
      </c>
      <c r="D1350" s="75"/>
      <c r="E1350" s="75"/>
      <c r="F1350" s="81" t="s">
        <v>166</v>
      </c>
      <c r="G1350" s="55" t="s">
        <v>2318</v>
      </c>
      <c r="H1350" s="55" t="s">
        <v>139</v>
      </c>
      <c r="I1350" s="59">
        <v>5</v>
      </c>
      <c r="J1350" s="60" t="s">
        <v>2223</v>
      </c>
      <c r="K1350" s="63"/>
      <c r="L1350" s="59"/>
      <c r="M1350" s="59"/>
      <c r="N1350" s="59"/>
      <c r="O1350" s="60">
        <f t="shared" si="139"/>
        <v>1350</v>
      </c>
      <c r="P1350" s="65"/>
    </row>
    <row r="1351" spans="2:22">
      <c r="C1351" s="83" t="s">
        <v>78</v>
      </c>
      <c r="D1351" s="75"/>
      <c r="E1351" s="75"/>
      <c r="F1351" s="81" t="s">
        <v>166</v>
      </c>
      <c r="G1351" s="55" t="s">
        <v>2319</v>
      </c>
      <c r="H1351" s="55" t="s">
        <v>139</v>
      </c>
      <c r="I1351" s="59">
        <v>6</v>
      </c>
      <c r="J1351" s="60" t="s">
        <v>2225</v>
      </c>
      <c r="K1351" s="63"/>
      <c r="L1351" s="59"/>
      <c r="M1351" s="59"/>
      <c r="N1351" s="59"/>
      <c r="O1351" s="60">
        <f t="shared" si="139"/>
        <v>1351</v>
      </c>
      <c r="P1351" s="65"/>
    </row>
    <row r="1352" spans="2:22">
      <c r="C1352" s="83" t="s">
        <v>78</v>
      </c>
      <c r="D1352" s="75"/>
      <c r="E1352" s="75"/>
      <c r="F1352" s="81" t="s">
        <v>166</v>
      </c>
      <c r="G1352" s="55" t="s">
        <v>2320</v>
      </c>
      <c r="H1352" s="55" t="s">
        <v>139</v>
      </c>
      <c r="I1352" s="59">
        <v>7</v>
      </c>
      <c r="J1352" s="60" t="s">
        <v>2227</v>
      </c>
      <c r="K1352" s="63"/>
      <c r="L1352" s="59"/>
      <c r="M1352" s="59"/>
      <c r="N1352" s="59"/>
      <c r="O1352" s="60">
        <f t="shared" si="139"/>
        <v>1352</v>
      </c>
      <c r="P1352" s="65"/>
    </row>
    <row r="1353" spans="2:22">
      <c r="C1353" s="83" t="s">
        <v>78</v>
      </c>
      <c r="D1353" s="75"/>
      <c r="E1353" s="75"/>
      <c r="F1353" s="81" t="s">
        <v>166</v>
      </c>
      <c r="G1353" s="55" t="s">
        <v>2321</v>
      </c>
      <c r="H1353" s="55" t="s">
        <v>139</v>
      </c>
      <c r="I1353" s="59">
        <v>8</v>
      </c>
      <c r="J1353" s="60" t="s">
        <v>2229</v>
      </c>
      <c r="K1353" s="63"/>
      <c r="L1353" s="59"/>
      <c r="M1353" s="59"/>
      <c r="N1353" s="59"/>
      <c r="O1353" s="60">
        <f t="shared" si="139"/>
        <v>1353</v>
      </c>
      <c r="P1353" s="65"/>
    </row>
    <row r="1354" spans="2:22">
      <c r="C1354" s="83" t="s">
        <v>78</v>
      </c>
      <c r="D1354" s="75"/>
      <c r="E1354" s="75"/>
      <c r="F1354" s="81" t="s">
        <v>166</v>
      </c>
      <c r="G1354" s="55" t="s">
        <v>2322</v>
      </c>
      <c r="H1354" s="55" t="s">
        <v>139</v>
      </c>
      <c r="I1354" s="59">
        <v>9</v>
      </c>
      <c r="J1354" s="60" t="s">
        <v>2231</v>
      </c>
      <c r="K1354" s="63"/>
      <c r="L1354" s="59"/>
      <c r="M1354" s="59"/>
      <c r="N1354" s="59"/>
      <c r="O1354" s="60">
        <f t="shared" si="139"/>
        <v>1354</v>
      </c>
      <c r="P1354" s="65"/>
    </row>
    <row r="1355" spans="2:22">
      <c r="C1355" s="83" t="s">
        <v>78</v>
      </c>
      <c r="D1355" s="75"/>
      <c r="E1355" s="75"/>
      <c r="F1355" s="81" t="s">
        <v>166</v>
      </c>
      <c r="G1355" s="55" t="s">
        <v>2323</v>
      </c>
      <c r="H1355" s="55" t="s">
        <v>139</v>
      </c>
      <c r="I1355" s="59">
        <v>10</v>
      </c>
      <c r="J1355" s="60" t="s">
        <v>2233</v>
      </c>
      <c r="K1355" s="63"/>
      <c r="L1355" s="59"/>
      <c r="M1355" s="59"/>
      <c r="N1355" s="59"/>
      <c r="O1355" s="60">
        <f t="shared" si="139"/>
        <v>1355</v>
      </c>
      <c r="P1355" s="65"/>
    </row>
    <row r="1356" spans="2:22">
      <c r="C1356" s="83" t="s">
        <v>78</v>
      </c>
      <c r="D1356" s="75"/>
      <c r="E1356" s="75"/>
      <c r="F1356" s="81" t="s">
        <v>166</v>
      </c>
      <c r="G1356" s="55" t="s">
        <v>2324</v>
      </c>
      <c r="H1356" s="55" t="s">
        <v>139</v>
      </c>
      <c r="I1356" s="59">
        <v>11</v>
      </c>
      <c r="J1356" s="60" t="s">
        <v>2235</v>
      </c>
      <c r="K1356" s="63"/>
      <c r="L1356" s="59"/>
      <c r="M1356" s="59"/>
      <c r="N1356" s="59"/>
      <c r="O1356" s="60">
        <f t="shared" si="139"/>
        <v>1356</v>
      </c>
      <c r="P1356" s="65"/>
    </row>
    <row r="1357" spans="2:22">
      <c r="C1357" s="83" t="s">
        <v>78</v>
      </c>
      <c r="D1357" s="75"/>
      <c r="E1357" s="75"/>
      <c r="F1357" s="81" t="s">
        <v>166</v>
      </c>
      <c r="G1357" s="55" t="s">
        <v>2325</v>
      </c>
      <c r="H1357" s="55" t="s">
        <v>124</v>
      </c>
      <c r="I1357" s="59">
        <v>12</v>
      </c>
      <c r="J1357" s="60" t="s">
        <v>2237</v>
      </c>
      <c r="K1357" s="63"/>
      <c r="L1357" s="59"/>
      <c r="M1357" s="59"/>
      <c r="N1357" s="59"/>
      <c r="O1357" s="60">
        <f t="shared" si="139"/>
        <v>1357</v>
      </c>
      <c r="P1357" s="65"/>
    </row>
    <row r="1358" spans="2:22">
      <c r="C1358" s="83" t="s">
        <v>78</v>
      </c>
      <c r="D1358" s="75"/>
      <c r="E1358" s="75"/>
      <c r="F1358" s="81" t="s">
        <v>166</v>
      </c>
      <c r="G1358" s="55" t="s">
        <v>2326</v>
      </c>
      <c r="H1358" s="55" t="s">
        <v>124</v>
      </c>
      <c r="I1358" s="59">
        <v>12.8</v>
      </c>
      <c r="J1358" s="60" t="s">
        <v>2239</v>
      </c>
      <c r="K1358" s="63"/>
      <c r="L1358" s="59"/>
      <c r="M1358" s="59"/>
      <c r="N1358" s="59"/>
      <c r="O1358" s="60">
        <f t="shared" si="139"/>
        <v>1358</v>
      </c>
      <c r="P1358" s="65" t="s">
        <v>3214</v>
      </c>
      <c r="Q1358">
        <f t="shared" ref="Q1358:Q1373" si="140">O1358</f>
        <v>1358</v>
      </c>
      <c r="R1358" t="s">
        <v>3215</v>
      </c>
      <c r="S1358">
        <v>1359</v>
      </c>
      <c r="T1358" t="str">
        <f t="shared" ref="T1358:T1377" si="141">P1358&amp;Q1358&amp;R1358&amp;S1358</f>
        <v>All data map'!$F$1358:$J$1359</v>
      </c>
      <c r="V1358" t="s">
        <v>3260</v>
      </c>
    </row>
    <row r="1359" spans="2:22">
      <c r="B1359" t="s">
        <v>117</v>
      </c>
      <c r="C1359" s="84" t="s">
        <v>80</v>
      </c>
      <c r="D1359" s="76">
        <v>2</v>
      </c>
      <c r="E1359" s="76">
        <v>0</v>
      </c>
      <c r="F1359" s="81" t="s">
        <v>14</v>
      </c>
      <c r="G1359" s="62" t="s">
        <v>3612</v>
      </c>
      <c r="H1359" s="55" t="s">
        <v>139</v>
      </c>
      <c r="I1359" s="59">
        <v>0</v>
      </c>
      <c r="J1359" s="60" t="s">
        <v>3204</v>
      </c>
      <c r="K1359" s="63" t="str">
        <f t="shared" si="136"/>
        <v>XBE-DC08AInput</v>
      </c>
      <c r="L1359" s="59">
        <f t="shared" ref="L1359:L1373" si="142">COUNTIF($C$2:$C$2062,C1359)</f>
        <v>1</v>
      </c>
      <c r="M1359" s="59">
        <f t="shared" ref="M1359:M1373" si="143">COUNTIF($K$2:$K$2062,K1359)</f>
        <v>1</v>
      </c>
      <c r="N1359" s="59">
        <f t="shared" ref="N1359:N1410" si="144">L1359-M1359</f>
        <v>0</v>
      </c>
      <c r="O1359" s="60">
        <f t="shared" si="139"/>
        <v>1359</v>
      </c>
      <c r="P1359" s="65" t="s">
        <v>3214</v>
      </c>
      <c r="Q1359">
        <f t="shared" si="140"/>
        <v>1359</v>
      </c>
      <c r="R1359" t="s">
        <v>3215</v>
      </c>
      <c r="S1359">
        <v>1360</v>
      </c>
      <c r="T1359" t="str">
        <f t="shared" si="141"/>
        <v>All data map'!$F$1359:$J$1360</v>
      </c>
      <c r="V1359" t="s">
        <v>3261</v>
      </c>
    </row>
    <row r="1360" spans="2:22">
      <c r="C1360" s="84" t="s">
        <v>81</v>
      </c>
      <c r="D1360" s="76">
        <v>2</v>
      </c>
      <c r="E1360" s="76">
        <v>0</v>
      </c>
      <c r="F1360" s="81" t="s">
        <v>14</v>
      </c>
      <c r="G1360" s="62" t="s">
        <v>3612</v>
      </c>
      <c r="H1360" s="55" t="s">
        <v>139</v>
      </c>
      <c r="I1360" s="59">
        <v>0</v>
      </c>
      <c r="J1360" s="60" t="s">
        <v>3204</v>
      </c>
      <c r="K1360" s="63" t="str">
        <f t="shared" si="136"/>
        <v>XBE-DC16AInput</v>
      </c>
      <c r="L1360" s="59">
        <f t="shared" si="142"/>
        <v>1</v>
      </c>
      <c r="M1360" s="59">
        <f t="shared" si="143"/>
        <v>1</v>
      </c>
      <c r="N1360" s="59">
        <f t="shared" si="144"/>
        <v>0</v>
      </c>
      <c r="O1360" s="60">
        <f t="shared" si="139"/>
        <v>1360</v>
      </c>
      <c r="P1360" s="65" t="s">
        <v>3214</v>
      </c>
      <c r="Q1360">
        <f t="shared" si="140"/>
        <v>1360</v>
      </c>
      <c r="R1360" t="s">
        <v>3215</v>
      </c>
      <c r="S1360">
        <v>1361</v>
      </c>
      <c r="T1360" t="str">
        <f t="shared" si="141"/>
        <v>All data map'!$F$1360:$J$1361</v>
      </c>
      <c r="V1360" t="s">
        <v>3262</v>
      </c>
    </row>
    <row r="1361" spans="3:22">
      <c r="C1361" s="84" t="s">
        <v>82</v>
      </c>
      <c r="D1361" s="76">
        <v>2</v>
      </c>
      <c r="E1361" s="76">
        <v>0</v>
      </c>
      <c r="F1361" s="81" t="s">
        <v>14</v>
      </c>
      <c r="G1361" s="62" t="s">
        <v>3612</v>
      </c>
      <c r="H1361" s="55" t="s">
        <v>139</v>
      </c>
      <c r="I1361" s="59">
        <v>0</v>
      </c>
      <c r="J1361" s="60" t="s">
        <v>3204</v>
      </c>
      <c r="K1361" s="63" t="str">
        <f t="shared" si="136"/>
        <v>XBE-DC16BInput</v>
      </c>
      <c r="L1361" s="59">
        <f t="shared" si="142"/>
        <v>1</v>
      </c>
      <c r="M1361" s="59">
        <f t="shared" si="143"/>
        <v>1</v>
      </c>
      <c r="N1361" s="59">
        <f t="shared" si="144"/>
        <v>0</v>
      </c>
      <c r="O1361" s="60">
        <f t="shared" si="139"/>
        <v>1361</v>
      </c>
      <c r="P1361" s="65" t="s">
        <v>3214</v>
      </c>
      <c r="Q1361">
        <f t="shared" si="140"/>
        <v>1361</v>
      </c>
      <c r="R1361" t="s">
        <v>3215</v>
      </c>
      <c r="S1361">
        <v>1362</v>
      </c>
      <c r="T1361" t="str">
        <f t="shared" si="141"/>
        <v>All data map'!$F$1361:$J$1362</v>
      </c>
      <c r="V1361" t="s">
        <v>3263</v>
      </c>
    </row>
    <row r="1362" spans="3:22">
      <c r="C1362" s="84" t="s">
        <v>83</v>
      </c>
      <c r="D1362" s="76">
        <v>4</v>
      </c>
      <c r="E1362" s="76">
        <v>0</v>
      </c>
      <c r="F1362" s="81" t="s">
        <v>14</v>
      </c>
      <c r="G1362" s="62" t="s">
        <v>3616</v>
      </c>
      <c r="H1362" s="55" t="s">
        <v>139</v>
      </c>
      <c r="I1362" s="59">
        <v>0</v>
      </c>
      <c r="J1362" s="60" t="s">
        <v>3204</v>
      </c>
      <c r="K1362" s="63" t="str">
        <f t="shared" si="136"/>
        <v>XBE-DC32AInput</v>
      </c>
      <c r="L1362" s="59">
        <f t="shared" si="142"/>
        <v>1</v>
      </c>
      <c r="M1362" s="59">
        <f t="shared" si="143"/>
        <v>1</v>
      </c>
      <c r="N1362" s="59">
        <f t="shared" si="144"/>
        <v>0</v>
      </c>
      <c r="O1362" s="60">
        <f t="shared" si="139"/>
        <v>1362</v>
      </c>
      <c r="P1362" s="65" t="s">
        <v>3214</v>
      </c>
      <c r="Q1362">
        <f t="shared" si="140"/>
        <v>1362</v>
      </c>
      <c r="R1362" t="s">
        <v>3215</v>
      </c>
      <c r="S1362">
        <v>1363</v>
      </c>
      <c r="T1362" t="str">
        <f t="shared" si="141"/>
        <v>All data map'!$F$1362:$J$1363</v>
      </c>
      <c r="V1362" t="s">
        <v>3264</v>
      </c>
    </row>
    <row r="1363" spans="3:22">
      <c r="C1363" s="84" t="s">
        <v>84</v>
      </c>
      <c r="D1363" s="76">
        <v>2</v>
      </c>
      <c r="E1363" s="76">
        <v>0</v>
      </c>
      <c r="F1363" s="81" t="s">
        <v>14</v>
      </c>
      <c r="G1363" s="62" t="s">
        <v>3612</v>
      </c>
      <c r="H1363" s="55" t="s">
        <v>139</v>
      </c>
      <c r="I1363" s="59">
        <v>0</v>
      </c>
      <c r="J1363" s="60" t="s">
        <v>3204</v>
      </c>
      <c r="K1363" s="63" t="str">
        <f t="shared" si="136"/>
        <v>XBE-AC08AInput</v>
      </c>
      <c r="L1363" s="59">
        <f t="shared" si="142"/>
        <v>1</v>
      </c>
      <c r="M1363" s="59">
        <f t="shared" si="143"/>
        <v>1</v>
      </c>
      <c r="N1363" s="59">
        <f t="shared" si="144"/>
        <v>0</v>
      </c>
      <c r="O1363" s="60">
        <f t="shared" si="139"/>
        <v>1363</v>
      </c>
      <c r="P1363" s="65" t="s">
        <v>3214</v>
      </c>
      <c r="Q1363">
        <f t="shared" si="140"/>
        <v>1363</v>
      </c>
      <c r="R1363" t="s">
        <v>3215</v>
      </c>
      <c r="S1363">
        <v>1364</v>
      </c>
      <c r="T1363" t="str">
        <f t="shared" si="141"/>
        <v>All data map'!$F$1363:$J$1364</v>
      </c>
      <c r="V1363" t="s">
        <v>3265</v>
      </c>
    </row>
    <row r="1364" spans="3:22">
      <c r="C1364" s="84" t="s">
        <v>85</v>
      </c>
      <c r="D1364" s="76">
        <v>0</v>
      </c>
      <c r="E1364" s="76">
        <v>2</v>
      </c>
      <c r="F1364" s="81" t="s">
        <v>15</v>
      </c>
      <c r="G1364" s="62" t="s">
        <v>3614</v>
      </c>
      <c r="H1364" s="55" t="s">
        <v>139</v>
      </c>
      <c r="I1364" s="59">
        <v>0</v>
      </c>
      <c r="J1364" s="60" t="s">
        <v>3205</v>
      </c>
      <c r="K1364" s="63"/>
      <c r="L1364" s="59">
        <f t="shared" si="142"/>
        <v>1</v>
      </c>
      <c r="M1364" s="59">
        <f t="shared" si="143"/>
        <v>0</v>
      </c>
      <c r="N1364" s="59">
        <f t="shared" si="144"/>
        <v>1</v>
      </c>
      <c r="O1364" s="60">
        <f t="shared" si="139"/>
        <v>1364</v>
      </c>
      <c r="P1364" s="65" t="s">
        <v>3214</v>
      </c>
      <c r="Q1364">
        <f t="shared" si="140"/>
        <v>1364</v>
      </c>
      <c r="R1364" t="s">
        <v>3215</v>
      </c>
      <c r="S1364">
        <v>1365</v>
      </c>
      <c r="T1364" t="str">
        <f t="shared" si="141"/>
        <v>All data map'!$F$1364:$J$1365</v>
      </c>
      <c r="V1364" t="s">
        <v>3266</v>
      </c>
    </row>
    <row r="1365" spans="3:22">
      <c r="C1365" s="84" t="s">
        <v>86</v>
      </c>
      <c r="D1365" s="76">
        <v>0</v>
      </c>
      <c r="E1365" s="76">
        <v>2</v>
      </c>
      <c r="F1365" s="81" t="s">
        <v>15</v>
      </c>
      <c r="G1365" s="62" t="s">
        <v>3614</v>
      </c>
      <c r="H1365" s="55" t="s">
        <v>139</v>
      </c>
      <c r="I1365" s="59">
        <v>0</v>
      </c>
      <c r="J1365" s="60" t="s">
        <v>3205</v>
      </c>
      <c r="K1365" s="63"/>
      <c r="L1365" s="59">
        <f t="shared" si="142"/>
        <v>1</v>
      </c>
      <c r="M1365" s="59">
        <f t="shared" si="143"/>
        <v>0</v>
      </c>
      <c r="N1365" s="59">
        <f t="shared" si="144"/>
        <v>1</v>
      </c>
      <c r="O1365" s="60">
        <f t="shared" si="139"/>
        <v>1365</v>
      </c>
      <c r="P1365" s="65" t="s">
        <v>3214</v>
      </c>
      <c r="Q1365">
        <f t="shared" si="140"/>
        <v>1365</v>
      </c>
      <c r="R1365" t="s">
        <v>3215</v>
      </c>
      <c r="S1365">
        <v>1366</v>
      </c>
      <c r="T1365" t="str">
        <f t="shared" si="141"/>
        <v>All data map'!$F$1365:$J$1366</v>
      </c>
      <c r="V1365" t="s">
        <v>3267</v>
      </c>
    </row>
    <row r="1366" spans="3:22">
      <c r="C1366" s="84" t="s">
        <v>87</v>
      </c>
      <c r="D1366" s="76">
        <v>0</v>
      </c>
      <c r="E1366" s="76">
        <v>2</v>
      </c>
      <c r="F1366" s="81" t="s">
        <v>15</v>
      </c>
      <c r="G1366" s="62" t="s">
        <v>3614</v>
      </c>
      <c r="H1366" s="55" t="s">
        <v>139</v>
      </c>
      <c r="I1366" s="59">
        <v>0</v>
      </c>
      <c r="J1366" s="60" t="s">
        <v>3205</v>
      </c>
      <c r="K1366" s="63"/>
      <c r="L1366" s="59">
        <f t="shared" si="142"/>
        <v>1</v>
      </c>
      <c r="M1366" s="59">
        <f t="shared" si="143"/>
        <v>0</v>
      </c>
      <c r="N1366" s="59">
        <f t="shared" si="144"/>
        <v>1</v>
      </c>
      <c r="O1366" s="60">
        <f t="shared" si="139"/>
        <v>1366</v>
      </c>
      <c r="P1366" s="65" t="s">
        <v>3214</v>
      </c>
      <c r="Q1366">
        <f t="shared" si="140"/>
        <v>1366</v>
      </c>
      <c r="R1366" t="s">
        <v>3215</v>
      </c>
      <c r="S1366">
        <v>1367</v>
      </c>
      <c r="T1366" t="str">
        <f t="shared" si="141"/>
        <v>All data map'!$F$1366:$J$1367</v>
      </c>
      <c r="V1366" t="s">
        <v>3268</v>
      </c>
    </row>
    <row r="1367" spans="3:22">
      <c r="C1367" s="84" t="s">
        <v>88</v>
      </c>
      <c r="D1367" s="76">
        <v>0</v>
      </c>
      <c r="E1367" s="76">
        <v>2</v>
      </c>
      <c r="F1367" s="81" t="s">
        <v>15</v>
      </c>
      <c r="G1367" s="62" t="s">
        <v>3614</v>
      </c>
      <c r="H1367" s="55" t="s">
        <v>139</v>
      </c>
      <c r="I1367" s="59">
        <v>0</v>
      </c>
      <c r="J1367" s="60" t="s">
        <v>3205</v>
      </c>
      <c r="K1367" s="63"/>
      <c r="L1367" s="59">
        <f t="shared" si="142"/>
        <v>1</v>
      </c>
      <c r="M1367" s="59">
        <f t="shared" si="143"/>
        <v>0</v>
      </c>
      <c r="N1367" s="59">
        <f t="shared" si="144"/>
        <v>1</v>
      </c>
      <c r="O1367" s="60">
        <f t="shared" si="139"/>
        <v>1367</v>
      </c>
      <c r="P1367" s="65" t="s">
        <v>3214</v>
      </c>
      <c r="Q1367">
        <f t="shared" si="140"/>
        <v>1367</v>
      </c>
      <c r="R1367" t="s">
        <v>3215</v>
      </c>
      <c r="S1367">
        <v>1368</v>
      </c>
      <c r="T1367" t="str">
        <f t="shared" si="141"/>
        <v>All data map'!$F$1367:$J$1368</v>
      </c>
      <c r="V1367" t="s">
        <v>3269</v>
      </c>
    </row>
    <row r="1368" spans="3:22">
      <c r="C1368" s="84" t="s">
        <v>89</v>
      </c>
      <c r="D1368" s="76">
        <v>0</v>
      </c>
      <c r="E1368" s="76">
        <v>4</v>
      </c>
      <c r="F1368" s="81" t="s">
        <v>15</v>
      </c>
      <c r="G1368" s="62" t="s">
        <v>3618</v>
      </c>
      <c r="H1368" s="55" t="s">
        <v>139</v>
      </c>
      <c r="I1368" s="59">
        <v>0</v>
      </c>
      <c r="J1368" s="60" t="s">
        <v>3205</v>
      </c>
      <c r="K1368" s="63"/>
      <c r="L1368" s="59">
        <f t="shared" si="142"/>
        <v>1</v>
      </c>
      <c r="M1368" s="59">
        <f t="shared" si="143"/>
        <v>0</v>
      </c>
      <c r="N1368" s="59">
        <f t="shared" si="144"/>
        <v>1</v>
      </c>
      <c r="O1368" s="60">
        <f t="shared" si="139"/>
        <v>1368</v>
      </c>
      <c r="P1368" s="65" t="s">
        <v>3214</v>
      </c>
      <c r="Q1368">
        <f t="shared" si="140"/>
        <v>1368</v>
      </c>
      <c r="R1368" t="s">
        <v>3215</v>
      </c>
      <c r="S1368">
        <v>1369</v>
      </c>
      <c r="T1368" t="str">
        <f t="shared" si="141"/>
        <v>All data map'!$F$1368:$J$1369</v>
      </c>
      <c r="V1368" t="s">
        <v>3270</v>
      </c>
    </row>
    <row r="1369" spans="3:22">
      <c r="C1369" s="84" t="s">
        <v>90</v>
      </c>
      <c r="D1369" s="76">
        <v>0</v>
      </c>
      <c r="E1369" s="76">
        <v>4</v>
      </c>
      <c r="F1369" s="81" t="s">
        <v>15</v>
      </c>
      <c r="G1369" s="62" t="s">
        <v>3618</v>
      </c>
      <c r="H1369" s="55" t="s">
        <v>139</v>
      </c>
      <c r="I1369" s="59">
        <v>0</v>
      </c>
      <c r="J1369" s="60" t="s">
        <v>3205</v>
      </c>
      <c r="K1369" s="63"/>
      <c r="L1369" s="59">
        <f t="shared" si="142"/>
        <v>1</v>
      </c>
      <c r="M1369" s="59">
        <f t="shared" si="143"/>
        <v>0</v>
      </c>
      <c r="N1369" s="59">
        <f t="shared" si="144"/>
        <v>1</v>
      </c>
      <c r="O1369" s="60">
        <f t="shared" si="139"/>
        <v>1369</v>
      </c>
      <c r="P1369" s="65" t="s">
        <v>3214</v>
      </c>
      <c r="Q1369">
        <f t="shared" si="140"/>
        <v>1369</v>
      </c>
      <c r="R1369" t="s">
        <v>3215</v>
      </c>
      <c r="S1369">
        <v>1370</v>
      </c>
      <c r="T1369" t="str">
        <f t="shared" si="141"/>
        <v>All data map'!$F$1369:$J$1370</v>
      </c>
      <c r="V1369" t="s">
        <v>3271</v>
      </c>
    </row>
    <row r="1370" spans="3:22">
      <c r="C1370" s="84" t="s">
        <v>91</v>
      </c>
      <c r="D1370" s="76">
        <v>0</v>
      </c>
      <c r="E1370" s="76">
        <v>2</v>
      </c>
      <c r="F1370" s="81" t="s">
        <v>15</v>
      </c>
      <c r="G1370" s="62" t="s">
        <v>3614</v>
      </c>
      <c r="H1370" s="55" t="s">
        <v>139</v>
      </c>
      <c r="I1370" s="59">
        <v>0</v>
      </c>
      <c r="J1370" s="60" t="s">
        <v>3205</v>
      </c>
      <c r="K1370" s="63"/>
      <c r="L1370" s="59">
        <f t="shared" si="142"/>
        <v>1</v>
      </c>
      <c r="M1370" s="59">
        <f t="shared" si="143"/>
        <v>0</v>
      </c>
      <c r="N1370" s="59">
        <f t="shared" si="144"/>
        <v>1</v>
      </c>
      <c r="O1370" s="60">
        <f t="shared" si="139"/>
        <v>1370</v>
      </c>
      <c r="P1370" s="65" t="s">
        <v>3214</v>
      </c>
      <c r="Q1370">
        <f t="shared" si="140"/>
        <v>1370</v>
      </c>
      <c r="R1370" t="s">
        <v>3215</v>
      </c>
      <c r="S1370">
        <v>1371</v>
      </c>
      <c r="T1370" t="str">
        <f t="shared" si="141"/>
        <v>All data map'!$F$1370:$J$1371</v>
      </c>
      <c r="V1370" t="s">
        <v>3272</v>
      </c>
    </row>
    <row r="1371" spans="3:22">
      <c r="C1371" s="84" t="s">
        <v>92</v>
      </c>
      <c r="D1371" s="76">
        <v>0</v>
      </c>
      <c r="E1371" s="76">
        <v>2</v>
      </c>
      <c r="F1371" s="81" t="s">
        <v>15</v>
      </c>
      <c r="G1371" s="62" t="s">
        <v>3614</v>
      </c>
      <c r="H1371" s="55" t="s">
        <v>139</v>
      </c>
      <c r="I1371" s="59">
        <v>0</v>
      </c>
      <c r="J1371" s="60" t="s">
        <v>3205</v>
      </c>
      <c r="K1371" s="63"/>
      <c r="L1371" s="59">
        <f t="shared" si="142"/>
        <v>1</v>
      </c>
      <c r="M1371" s="59">
        <f t="shared" si="143"/>
        <v>0</v>
      </c>
      <c r="N1371" s="59">
        <f t="shared" si="144"/>
        <v>1</v>
      </c>
      <c r="O1371" s="60">
        <f t="shared" si="139"/>
        <v>1371</v>
      </c>
      <c r="P1371" s="65" t="s">
        <v>3214</v>
      </c>
      <c r="Q1371">
        <f t="shared" si="140"/>
        <v>1371</v>
      </c>
      <c r="R1371" t="s">
        <v>3215</v>
      </c>
      <c r="S1371">
        <v>1372</v>
      </c>
      <c r="T1371" t="str">
        <f t="shared" si="141"/>
        <v>All data map'!$F$1371:$J$1372</v>
      </c>
      <c r="V1371" t="s">
        <v>3273</v>
      </c>
    </row>
    <row r="1372" spans="3:22">
      <c r="C1372" s="84" t="s">
        <v>93</v>
      </c>
      <c r="D1372" s="76">
        <v>0</v>
      </c>
      <c r="E1372" s="76">
        <v>2</v>
      </c>
      <c r="F1372" s="81" t="s">
        <v>15</v>
      </c>
      <c r="G1372" s="62" t="s">
        <v>3614</v>
      </c>
      <c r="H1372" s="55" t="s">
        <v>139</v>
      </c>
      <c r="I1372" s="59">
        <v>0</v>
      </c>
      <c r="J1372" s="60" t="s">
        <v>3205</v>
      </c>
      <c r="K1372" s="63"/>
      <c r="L1372" s="59">
        <f t="shared" si="142"/>
        <v>1</v>
      </c>
      <c r="M1372" s="59">
        <f t="shared" si="143"/>
        <v>0</v>
      </c>
      <c r="N1372" s="59">
        <f t="shared" si="144"/>
        <v>1</v>
      </c>
      <c r="O1372" s="60">
        <f t="shared" si="139"/>
        <v>1372</v>
      </c>
      <c r="P1372" s="65" t="s">
        <v>3214</v>
      </c>
      <c r="Q1372">
        <f t="shared" si="140"/>
        <v>1372</v>
      </c>
      <c r="R1372" t="s">
        <v>3215</v>
      </c>
      <c r="S1372">
        <v>1373</v>
      </c>
      <c r="T1372" t="str">
        <f t="shared" si="141"/>
        <v>All data map'!$F$1372:$J$1373</v>
      </c>
      <c r="V1372" t="s">
        <v>3274</v>
      </c>
    </row>
    <row r="1373" spans="3:22">
      <c r="C1373" s="84" t="s">
        <v>94</v>
      </c>
      <c r="D1373" s="76">
        <v>2</v>
      </c>
      <c r="E1373" s="76">
        <v>2</v>
      </c>
      <c r="F1373" s="81" t="s">
        <v>14</v>
      </c>
      <c r="G1373" s="62" t="s">
        <v>3612</v>
      </c>
      <c r="H1373" s="55" t="s">
        <v>139</v>
      </c>
      <c r="I1373" s="59">
        <v>0</v>
      </c>
      <c r="J1373" s="60" t="s">
        <v>3204</v>
      </c>
      <c r="K1373" s="63" t="str">
        <f t="shared" ref="K1373:K1428" si="145">C1373&amp;F1373</f>
        <v>XBE-DR16AInput</v>
      </c>
      <c r="L1373" s="59">
        <f t="shared" si="142"/>
        <v>2</v>
      </c>
      <c r="M1373" s="59">
        <f t="shared" si="143"/>
        <v>1</v>
      </c>
      <c r="N1373" s="59">
        <f t="shared" si="144"/>
        <v>1</v>
      </c>
      <c r="O1373" s="60">
        <f t="shared" si="139"/>
        <v>1373</v>
      </c>
      <c r="P1373" s="65" t="s">
        <v>3214</v>
      </c>
      <c r="Q1373">
        <f t="shared" si="140"/>
        <v>1373</v>
      </c>
      <c r="R1373" t="s">
        <v>3215</v>
      </c>
      <c r="S1373">
        <v>1375</v>
      </c>
      <c r="T1373" t="str">
        <f t="shared" si="141"/>
        <v>All data map'!$F$1373:$J$1375</v>
      </c>
      <c r="V1373" t="s">
        <v>3275</v>
      </c>
    </row>
    <row r="1374" spans="3:22">
      <c r="C1374" s="84" t="s">
        <v>94</v>
      </c>
      <c r="D1374" s="75"/>
      <c r="E1374" s="75"/>
      <c r="F1374" s="81" t="s">
        <v>15</v>
      </c>
      <c r="G1374" s="62" t="s">
        <v>3614</v>
      </c>
      <c r="H1374" s="55" t="s">
        <v>139</v>
      </c>
      <c r="I1374" s="59">
        <v>0</v>
      </c>
      <c r="J1374" s="60" t="s">
        <v>3205</v>
      </c>
      <c r="K1374" s="63"/>
      <c r="L1374" s="59"/>
      <c r="M1374" s="59"/>
      <c r="N1374" s="59"/>
      <c r="O1374" s="60">
        <f t="shared" si="139"/>
        <v>1374</v>
      </c>
      <c r="P1374" s="65"/>
    </row>
    <row r="1375" spans="3:22">
      <c r="C1375" s="84" t="s">
        <v>95</v>
      </c>
      <c r="D1375" s="76">
        <v>2</v>
      </c>
      <c r="E1375" s="76">
        <v>2</v>
      </c>
      <c r="F1375" s="81" t="s">
        <v>14</v>
      </c>
      <c r="G1375" s="62" t="s">
        <v>3612</v>
      </c>
      <c r="H1375" s="55" t="s">
        <v>139</v>
      </c>
      <c r="I1375" s="59">
        <v>0</v>
      </c>
      <c r="J1375" s="60" t="s">
        <v>3204</v>
      </c>
      <c r="K1375" s="63" t="str">
        <f t="shared" si="145"/>
        <v>XBE-DN32AInput</v>
      </c>
      <c r="L1375" s="59">
        <f>COUNTIF($C$2:$C$2062,C1375)</f>
        <v>2</v>
      </c>
      <c r="M1375" s="59">
        <f>COUNTIF($K$2:$K$2062,K1375)</f>
        <v>1</v>
      </c>
      <c r="N1375" s="59">
        <f t="shared" si="144"/>
        <v>1</v>
      </c>
      <c r="O1375" s="60">
        <f t="shared" si="139"/>
        <v>1375</v>
      </c>
      <c r="P1375" s="65" t="s">
        <v>3214</v>
      </c>
      <c r="Q1375">
        <f>O1375</f>
        <v>1375</v>
      </c>
      <c r="R1375" t="s">
        <v>3215</v>
      </c>
      <c r="S1375">
        <v>1377</v>
      </c>
      <c r="T1375" t="str">
        <f t="shared" si="141"/>
        <v>All data map'!$F$1375:$J$1377</v>
      </c>
      <c r="V1375" t="s">
        <v>3276</v>
      </c>
    </row>
    <row r="1376" spans="3:22">
      <c r="C1376" s="84" t="s">
        <v>95</v>
      </c>
      <c r="D1376" s="75"/>
      <c r="E1376" s="75"/>
      <c r="F1376" s="81" t="s">
        <v>15</v>
      </c>
      <c r="G1376" s="62" t="s">
        <v>3614</v>
      </c>
      <c r="H1376" s="55" t="s">
        <v>139</v>
      </c>
      <c r="I1376" s="59">
        <v>0</v>
      </c>
      <c r="J1376" s="60" t="s">
        <v>3205</v>
      </c>
      <c r="K1376" s="63"/>
      <c r="L1376" s="59"/>
      <c r="M1376" s="59"/>
      <c r="N1376" s="59"/>
      <c r="O1376" s="60">
        <f t="shared" si="139"/>
        <v>1376</v>
      </c>
      <c r="P1376" s="65"/>
    </row>
    <row r="1377" spans="3:22">
      <c r="C1377" s="84" t="s">
        <v>2327</v>
      </c>
      <c r="D1377" s="76">
        <v>12</v>
      </c>
      <c r="E1377" s="76">
        <v>2</v>
      </c>
      <c r="F1377" s="81" t="s">
        <v>151</v>
      </c>
      <c r="G1377" s="55" t="s">
        <v>2328</v>
      </c>
      <c r="H1377" s="55" t="s">
        <v>124</v>
      </c>
      <c r="I1377" s="59">
        <v>0</v>
      </c>
      <c r="J1377" s="60" t="s">
        <v>173</v>
      </c>
      <c r="K1377" s="63" t="str">
        <f t="shared" si="145"/>
        <v>XBF-AD04AInput</v>
      </c>
      <c r="L1377" s="59">
        <f t="shared" ref="L1377:L1386" si="146">COUNTIF($C$2:$C$2062,C1377)</f>
        <v>11</v>
      </c>
      <c r="M1377" s="59">
        <f t="shared" ref="M1377:M1386" si="147">COUNTIF($K$2:$K$2062,K1377)</f>
        <v>10</v>
      </c>
      <c r="N1377" s="59">
        <f t="shared" si="144"/>
        <v>1</v>
      </c>
      <c r="O1377" s="60">
        <f t="shared" si="139"/>
        <v>1377</v>
      </c>
      <c r="P1377" s="65" t="s">
        <v>3214</v>
      </c>
      <c r="Q1377">
        <f>O1377</f>
        <v>1377</v>
      </c>
      <c r="R1377" t="s">
        <v>3215</v>
      </c>
      <c r="S1377">
        <v>1388</v>
      </c>
      <c r="T1377" t="str">
        <f t="shared" si="141"/>
        <v>All data map'!$F$1377:$J$1388</v>
      </c>
      <c r="V1377" t="s">
        <v>3277</v>
      </c>
    </row>
    <row r="1378" spans="3:22">
      <c r="C1378" s="84" t="s">
        <v>2327</v>
      </c>
      <c r="D1378" s="75"/>
      <c r="E1378" s="75"/>
      <c r="F1378" s="81" t="s">
        <v>151</v>
      </c>
      <c r="G1378" s="55" t="s">
        <v>2329</v>
      </c>
      <c r="H1378" s="55" t="s">
        <v>124</v>
      </c>
      <c r="I1378" s="59" t="s">
        <v>126</v>
      </c>
      <c r="J1378" s="60" t="s">
        <v>175</v>
      </c>
      <c r="K1378" s="63" t="str">
        <f t="shared" si="145"/>
        <v>XBF-AD04AInput</v>
      </c>
      <c r="L1378" s="59">
        <f t="shared" si="146"/>
        <v>11</v>
      </c>
      <c r="M1378" s="59">
        <f t="shared" si="147"/>
        <v>10</v>
      </c>
      <c r="N1378" s="59">
        <f t="shared" si="144"/>
        <v>1</v>
      </c>
      <c r="O1378" s="60">
        <f t="shared" si="139"/>
        <v>1378</v>
      </c>
      <c r="P1378" s="65"/>
    </row>
    <row r="1379" spans="3:22">
      <c r="C1379" s="84" t="s">
        <v>2327</v>
      </c>
      <c r="D1379" s="75"/>
      <c r="E1379" s="75"/>
      <c r="F1379" s="81" t="s">
        <v>151</v>
      </c>
      <c r="G1379" s="55" t="s">
        <v>2330</v>
      </c>
      <c r="H1379" s="55" t="s">
        <v>124</v>
      </c>
      <c r="I1379" s="59">
        <v>1</v>
      </c>
      <c r="J1379" s="60" t="s">
        <v>177</v>
      </c>
      <c r="K1379" s="63" t="str">
        <f t="shared" si="145"/>
        <v>XBF-AD04AInput</v>
      </c>
      <c r="L1379" s="59">
        <f t="shared" si="146"/>
        <v>11</v>
      </c>
      <c r="M1379" s="59">
        <f t="shared" si="147"/>
        <v>10</v>
      </c>
      <c r="N1379" s="59">
        <f t="shared" si="144"/>
        <v>1</v>
      </c>
      <c r="O1379" s="60">
        <f t="shared" si="139"/>
        <v>1379</v>
      </c>
      <c r="P1379" s="65"/>
    </row>
    <row r="1380" spans="3:22">
      <c r="C1380" s="84" t="s">
        <v>2327</v>
      </c>
      <c r="D1380" s="75"/>
      <c r="E1380" s="75"/>
      <c r="F1380" s="81" t="s">
        <v>151</v>
      </c>
      <c r="G1380" s="55" t="s">
        <v>2331</v>
      </c>
      <c r="H1380" s="55" t="s">
        <v>124</v>
      </c>
      <c r="I1380" s="59">
        <v>1.1000000000000001</v>
      </c>
      <c r="J1380" s="60" t="s">
        <v>179</v>
      </c>
      <c r="K1380" s="63" t="str">
        <f t="shared" si="145"/>
        <v>XBF-AD04AInput</v>
      </c>
      <c r="L1380" s="59">
        <f t="shared" si="146"/>
        <v>11</v>
      </c>
      <c r="M1380" s="59">
        <f t="shared" si="147"/>
        <v>10</v>
      </c>
      <c r="N1380" s="59">
        <f t="shared" si="144"/>
        <v>1</v>
      </c>
      <c r="O1380" s="60">
        <f t="shared" si="139"/>
        <v>1380</v>
      </c>
      <c r="P1380" s="65"/>
    </row>
    <row r="1381" spans="3:22">
      <c r="C1381" s="84" t="s">
        <v>2327</v>
      </c>
      <c r="D1381" s="75"/>
      <c r="E1381" s="75"/>
      <c r="F1381" s="81" t="s">
        <v>151</v>
      </c>
      <c r="G1381" s="55" t="s">
        <v>2332</v>
      </c>
      <c r="H1381" s="55" t="s">
        <v>124</v>
      </c>
      <c r="I1381" s="59">
        <v>1.2</v>
      </c>
      <c r="J1381" s="60" t="s">
        <v>181</v>
      </c>
      <c r="K1381" s="63" t="str">
        <f t="shared" si="145"/>
        <v>XBF-AD04AInput</v>
      </c>
      <c r="L1381" s="59">
        <f t="shared" si="146"/>
        <v>11</v>
      </c>
      <c r="M1381" s="59">
        <f t="shared" si="147"/>
        <v>10</v>
      </c>
      <c r="N1381" s="59">
        <f t="shared" si="144"/>
        <v>1</v>
      </c>
      <c r="O1381" s="60">
        <f t="shared" si="139"/>
        <v>1381</v>
      </c>
      <c r="P1381" s="65"/>
    </row>
    <row r="1382" spans="3:22">
      <c r="C1382" s="84" t="s">
        <v>2327</v>
      </c>
      <c r="D1382" s="75"/>
      <c r="E1382" s="75"/>
      <c r="F1382" s="81" t="s">
        <v>151</v>
      </c>
      <c r="G1382" s="55" t="s">
        <v>2333</v>
      </c>
      <c r="H1382" s="55" t="s">
        <v>124</v>
      </c>
      <c r="I1382" s="59">
        <v>1.3</v>
      </c>
      <c r="J1382" s="60" t="s">
        <v>183</v>
      </c>
      <c r="K1382" s="63" t="str">
        <f t="shared" si="145"/>
        <v>XBF-AD04AInput</v>
      </c>
      <c r="L1382" s="59">
        <f t="shared" si="146"/>
        <v>11</v>
      </c>
      <c r="M1382" s="59">
        <f t="shared" si="147"/>
        <v>10</v>
      </c>
      <c r="N1382" s="59">
        <f t="shared" si="144"/>
        <v>1</v>
      </c>
      <c r="O1382" s="60">
        <f t="shared" si="139"/>
        <v>1382</v>
      </c>
      <c r="P1382" s="65"/>
    </row>
    <row r="1383" spans="3:22">
      <c r="C1383" s="84" t="s">
        <v>2327</v>
      </c>
      <c r="D1383" s="75"/>
      <c r="E1383" s="75"/>
      <c r="F1383" s="81" t="s">
        <v>151</v>
      </c>
      <c r="G1383" s="55" t="s">
        <v>2334</v>
      </c>
      <c r="H1383" s="55" t="s">
        <v>139</v>
      </c>
      <c r="I1383" s="59">
        <v>2</v>
      </c>
      <c r="J1383" s="60" t="s">
        <v>213</v>
      </c>
      <c r="K1383" s="63" t="str">
        <f t="shared" si="145"/>
        <v>XBF-AD04AInput</v>
      </c>
      <c r="L1383" s="59">
        <f t="shared" si="146"/>
        <v>11</v>
      </c>
      <c r="M1383" s="59">
        <f t="shared" si="147"/>
        <v>10</v>
      </c>
      <c r="N1383" s="59">
        <f t="shared" si="144"/>
        <v>1</v>
      </c>
      <c r="O1383" s="60">
        <f t="shared" si="139"/>
        <v>1383</v>
      </c>
      <c r="P1383" s="65"/>
    </row>
    <row r="1384" spans="3:22">
      <c r="C1384" s="84" t="s">
        <v>2327</v>
      </c>
      <c r="D1384" s="75"/>
      <c r="E1384" s="75"/>
      <c r="F1384" s="81" t="s">
        <v>151</v>
      </c>
      <c r="G1384" s="55" t="s">
        <v>2335</v>
      </c>
      <c r="H1384" s="55" t="s">
        <v>139</v>
      </c>
      <c r="I1384" s="59">
        <v>3</v>
      </c>
      <c r="J1384" s="60" t="s">
        <v>215</v>
      </c>
      <c r="K1384" s="63" t="str">
        <f t="shared" si="145"/>
        <v>XBF-AD04AInput</v>
      </c>
      <c r="L1384" s="59">
        <f t="shared" si="146"/>
        <v>11</v>
      </c>
      <c r="M1384" s="59">
        <f t="shared" si="147"/>
        <v>10</v>
      </c>
      <c r="N1384" s="59">
        <f t="shared" si="144"/>
        <v>1</v>
      </c>
      <c r="O1384" s="60">
        <f t="shared" si="139"/>
        <v>1384</v>
      </c>
      <c r="P1384" s="65"/>
    </row>
    <row r="1385" spans="3:22">
      <c r="C1385" s="84" t="s">
        <v>2327</v>
      </c>
      <c r="D1385" s="75"/>
      <c r="E1385" s="75"/>
      <c r="F1385" s="81" t="s">
        <v>151</v>
      </c>
      <c r="G1385" s="55" t="s">
        <v>2336</v>
      </c>
      <c r="H1385" s="55" t="s">
        <v>139</v>
      </c>
      <c r="I1385" s="59">
        <v>4</v>
      </c>
      <c r="J1385" s="60" t="s">
        <v>217</v>
      </c>
      <c r="K1385" s="63" t="str">
        <f t="shared" si="145"/>
        <v>XBF-AD04AInput</v>
      </c>
      <c r="L1385" s="59">
        <f t="shared" si="146"/>
        <v>11</v>
      </c>
      <c r="M1385" s="59">
        <f t="shared" si="147"/>
        <v>10</v>
      </c>
      <c r="N1385" s="59">
        <f t="shared" si="144"/>
        <v>1</v>
      </c>
      <c r="O1385" s="60">
        <f t="shared" si="139"/>
        <v>1385</v>
      </c>
      <c r="P1385" s="65"/>
    </row>
    <row r="1386" spans="3:22">
      <c r="C1386" s="84" t="s">
        <v>2327</v>
      </c>
      <c r="D1386" s="75"/>
      <c r="E1386" s="75"/>
      <c r="F1386" s="81" t="s">
        <v>151</v>
      </c>
      <c r="G1386" s="55" t="s">
        <v>2337</v>
      </c>
      <c r="H1386" s="55" t="s">
        <v>139</v>
      </c>
      <c r="I1386" s="59">
        <v>5</v>
      </c>
      <c r="J1386" s="60" t="s">
        <v>219</v>
      </c>
      <c r="K1386" s="63" t="str">
        <f t="shared" si="145"/>
        <v>XBF-AD04AInput</v>
      </c>
      <c r="L1386" s="59">
        <f t="shared" si="146"/>
        <v>11</v>
      </c>
      <c r="M1386" s="59">
        <f t="shared" si="147"/>
        <v>10</v>
      </c>
      <c r="N1386" s="59">
        <f t="shared" si="144"/>
        <v>1</v>
      </c>
      <c r="O1386" s="60">
        <f t="shared" si="139"/>
        <v>1386</v>
      </c>
      <c r="P1386" s="65"/>
    </row>
    <row r="1387" spans="3:22">
      <c r="C1387" s="84" t="s">
        <v>2327</v>
      </c>
      <c r="D1387" s="75"/>
      <c r="E1387" s="75"/>
      <c r="F1387" s="81" t="s">
        <v>166</v>
      </c>
      <c r="G1387" s="55" t="s">
        <v>2338</v>
      </c>
      <c r="H1387" s="55" t="s">
        <v>124</v>
      </c>
      <c r="I1387" s="59">
        <v>0</v>
      </c>
      <c r="J1387" s="60" t="s">
        <v>414</v>
      </c>
      <c r="K1387" s="63"/>
      <c r="L1387" s="59"/>
      <c r="M1387" s="59"/>
      <c r="N1387" s="59"/>
      <c r="O1387" s="60">
        <f t="shared" si="139"/>
        <v>1387</v>
      </c>
      <c r="P1387" s="65"/>
    </row>
    <row r="1388" spans="3:22">
      <c r="C1388" s="84" t="s">
        <v>97</v>
      </c>
      <c r="D1388" s="76">
        <v>22</v>
      </c>
      <c r="E1388" s="76">
        <v>2</v>
      </c>
      <c r="F1388" s="81" t="s">
        <v>151</v>
      </c>
      <c r="G1388" s="55" t="s">
        <v>2378</v>
      </c>
      <c r="H1388" s="55" t="s">
        <v>124</v>
      </c>
      <c r="I1388" s="59">
        <v>0</v>
      </c>
      <c r="J1388" s="60" t="s">
        <v>173</v>
      </c>
      <c r="K1388" s="63" t="str">
        <f t="shared" si="145"/>
        <v>XBF-AD08AInput</v>
      </c>
      <c r="L1388" s="59">
        <f t="shared" ref="L1388:L1421" si="148">COUNTIF($C$2:$C$2062,C1388)</f>
        <v>35</v>
      </c>
      <c r="M1388" s="59">
        <f t="shared" ref="M1388:M1421" si="149">COUNTIF($K$2:$K$2062,K1388)</f>
        <v>34</v>
      </c>
      <c r="N1388" s="59">
        <f t="shared" si="144"/>
        <v>1</v>
      </c>
      <c r="O1388" s="60">
        <f t="shared" si="139"/>
        <v>1388</v>
      </c>
      <c r="P1388" s="65" t="s">
        <v>3214</v>
      </c>
      <c r="Q1388">
        <f>O1388</f>
        <v>1388</v>
      </c>
      <c r="R1388" t="s">
        <v>3215</v>
      </c>
      <c r="S1388">
        <v>1423</v>
      </c>
      <c r="T1388" t="str">
        <f>P1388&amp;Q1388&amp;R1388&amp;S1388</f>
        <v>All data map'!$F$1388:$J$1423</v>
      </c>
      <c r="V1388" t="s">
        <v>3278</v>
      </c>
    </row>
    <row r="1389" spans="3:22">
      <c r="C1389" s="84" t="s">
        <v>97</v>
      </c>
      <c r="D1389" s="75"/>
      <c r="E1389" s="75"/>
      <c r="F1389" s="81" t="s">
        <v>151</v>
      </c>
      <c r="G1389" s="55" t="s">
        <v>2379</v>
      </c>
      <c r="H1389" s="55" t="s">
        <v>124</v>
      </c>
      <c r="I1389" s="59" t="s">
        <v>126</v>
      </c>
      <c r="J1389" s="60" t="s">
        <v>175</v>
      </c>
      <c r="K1389" s="63" t="str">
        <f t="shared" si="145"/>
        <v>XBF-AD08AInput</v>
      </c>
      <c r="L1389" s="59">
        <f t="shared" si="148"/>
        <v>35</v>
      </c>
      <c r="M1389" s="59">
        <f t="shared" si="149"/>
        <v>34</v>
      </c>
      <c r="N1389" s="59">
        <f t="shared" si="144"/>
        <v>1</v>
      </c>
      <c r="O1389" s="60">
        <f t="shared" si="139"/>
        <v>1389</v>
      </c>
      <c r="P1389" s="65"/>
    </row>
    <row r="1390" spans="3:22">
      <c r="C1390" s="84" t="s">
        <v>97</v>
      </c>
      <c r="D1390" s="75"/>
      <c r="E1390" s="75"/>
      <c r="F1390" s="81" t="s">
        <v>151</v>
      </c>
      <c r="G1390" s="55" t="s">
        <v>2380</v>
      </c>
      <c r="H1390" s="55" t="s">
        <v>124</v>
      </c>
      <c r="I1390" s="59">
        <v>1</v>
      </c>
      <c r="J1390" s="60" t="s">
        <v>177</v>
      </c>
      <c r="K1390" s="63" t="str">
        <f t="shared" si="145"/>
        <v>XBF-AD08AInput</v>
      </c>
      <c r="L1390" s="59">
        <f t="shared" si="148"/>
        <v>35</v>
      </c>
      <c r="M1390" s="59">
        <f t="shared" si="149"/>
        <v>34</v>
      </c>
      <c r="N1390" s="59">
        <f t="shared" si="144"/>
        <v>1</v>
      </c>
      <c r="O1390" s="60">
        <f t="shared" si="139"/>
        <v>1390</v>
      </c>
      <c r="P1390" s="65"/>
    </row>
    <row r="1391" spans="3:22">
      <c r="C1391" s="84" t="s">
        <v>97</v>
      </c>
      <c r="D1391" s="75"/>
      <c r="E1391" s="75"/>
      <c r="F1391" s="81" t="s">
        <v>151</v>
      </c>
      <c r="G1391" s="55" t="s">
        <v>2381</v>
      </c>
      <c r="H1391" s="55" t="s">
        <v>124</v>
      </c>
      <c r="I1391" s="59">
        <v>1.1000000000000001</v>
      </c>
      <c r="J1391" s="60" t="s">
        <v>179</v>
      </c>
      <c r="K1391" s="63" t="str">
        <f t="shared" si="145"/>
        <v>XBF-AD08AInput</v>
      </c>
      <c r="L1391" s="59">
        <f t="shared" si="148"/>
        <v>35</v>
      </c>
      <c r="M1391" s="59">
        <f t="shared" si="149"/>
        <v>34</v>
      </c>
      <c r="N1391" s="59">
        <f t="shared" si="144"/>
        <v>1</v>
      </c>
      <c r="O1391" s="60">
        <f t="shared" si="139"/>
        <v>1391</v>
      </c>
      <c r="P1391" s="65"/>
    </row>
    <row r="1392" spans="3:22">
      <c r="C1392" s="84" t="s">
        <v>97</v>
      </c>
      <c r="D1392" s="75"/>
      <c r="E1392" s="75"/>
      <c r="F1392" s="81" t="s">
        <v>151</v>
      </c>
      <c r="G1392" s="55" t="s">
        <v>2382</v>
      </c>
      <c r="H1392" s="55" t="s">
        <v>124</v>
      </c>
      <c r="I1392" s="59">
        <v>1.2</v>
      </c>
      <c r="J1392" s="60" t="s">
        <v>181</v>
      </c>
      <c r="K1392" s="63" t="str">
        <f t="shared" si="145"/>
        <v>XBF-AD08AInput</v>
      </c>
      <c r="L1392" s="59">
        <f t="shared" si="148"/>
        <v>35</v>
      </c>
      <c r="M1392" s="59">
        <f t="shared" si="149"/>
        <v>34</v>
      </c>
      <c r="N1392" s="59">
        <f t="shared" si="144"/>
        <v>1</v>
      </c>
      <c r="O1392" s="60">
        <f t="shared" si="139"/>
        <v>1392</v>
      </c>
      <c r="P1392" s="65"/>
    </row>
    <row r="1393" spans="3:16">
      <c r="C1393" s="84" t="s">
        <v>97</v>
      </c>
      <c r="D1393" s="75"/>
      <c r="E1393" s="75"/>
      <c r="F1393" s="81" t="s">
        <v>151</v>
      </c>
      <c r="G1393" s="55" t="s">
        <v>2383</v>
      </c>
      <c r="H1393" s="55" t="s">
        <v>124</v>
      </c>
      <c r="I1393" s="59">
        <v>1.3</v>
      </c>
      <c r="J1393" s="60" t="s">
        <v>183</v>
      </c>
      <c r="K1393" s="63" t="str">
        <f t="shared" si="145"/>
        <v>XBF-AD08AInput</v>
      </c>
      <c r="L1393" s="59">
        <f t="shared" si="148"/>
        <v>35</v>
      </c>
      <c r="M1393" s="59">
        <f t="shared" si="149"/>
        <v>34</v>
      </c>
      <c r="N1393" s="59">
        <f t="shared" si="144"/>
        <v>1</v>
      </c>
      <c r="O1393" s="60">
        <f t="shared" si="139"/>
        <v>1393</v>
      </c>
      <c r="P1393" s="65"/>
    </row>
    <row r="1394" spans="3:16">
      <c r="C1394" s="84" t="s">
        <v>97</v>
      </c>
      <c r="D1394" s="75"/>
      <c r="E1394" s="75"/>
      <c r="F1394" s="81" t="s">
        <v>151</v>
      </c>
      <c r="G1394" s="55" t="s">
        <v>2384</v>
      </c>
      <c r="H1394" s="55" t="s">
        <v>124</v>
      </c>
      <c r="I1394" s="59">
        <v>1.4</v>
      </c>
      <c r="J1394" s="60" t="s">
        <v>185</v>
      </c>
      <c r="K1394" s="63" t="str">
        <f t="shared" si="145"/>
        <v>XBF-AD08AInput</v>
      </c>
      <c r="L1394" s="59">
        <f t="shared" si="148"/>
        <v>35</v>
      </c>
      <c r="M1394" s="59">
        <f t="shared" si="149"/>
        <v>34</v>
      </c>
      <c r="N1394" s="59">
        <f t="shared" si="144"/>
        <v>1</v>
      </c>
      <c r="O1394" s="60">
        <f t="shared" si="139"/>
        <v>1394</v>
      </c>
      <c r="P1394" s="65"/>
    </row>
    <row r="1395" spans="3:16">
      <c r="C1395" s="84" t="s">
        <v>97</v>
      </c>
      <c r="D1395" s="75"/>
      <c r="E1395" s="75"/>
      <c r="F1395" s="81" t="s">
        <v>151</v>
      </c>
      <c r="G1395" s="55" t="s">
        <v>2385</v>
      </c>
      <c r="H1395" s="55" t="s">
        <v>124</v>
      </c>
      <c r="I1395" s="59">
        <v>1.5</v>
      </c>
      <c r="J1395" s="60" t="s">
        <v>187</v>
      </c>
      <c r="K1395" s="63" t="str">
        <f t="shared" si="145"/>
        <v>XBF-AD08AInput</v>
      </c>
      <c r="L1395" s="59">
        <f t="shared" si="148"/>
        <v>35</v>
      </c>
      <c r="M1395" s="59">
        <f t="shared" si="149"/>
        <v>34</v>
      </c>
      <c r="N1395" s="59">
        <f t="shared" si="144"/>
        <v>1</v>
      </c>
      <c r="O1395" s="60">
        <f t="shared" si="139"/>
        <v>1395</v>
      </c>
      <c r="P1395" s="65"/>
    </row>
    <row r="1396" spans="3:16">
      <c r="C1396" s="84" t="s">
        <v>97</v>
      </c>
      <c r="D1396" s="75"/>
      <c r="E1396" s="75"/>
      <c r="F1396" s="81" t="s">
        <v>151</v>
      </c>
      <c r="G1396" s="55" t="s">
        <v>2386</v>
      </c>
      <c r="H1396" s="55" t="s">
        <v>124</v>
      </c>
      <c r="I1396" s="59">
        <v>1.6</v>
      </c>
      <c r="J1396" s="60" t="s">
        <v>189</v>
      </c>
      <c r="K1396" s="63" t="str">
        <f t="shared" si="145"/>
        <v>XBF-AD08AInput</v>
      </c>
      <c r="L1396" s="59">
        <f t="shared" si="148"/>
        <v>35</v>
      </c>
      <c r="M1396" s="59">
        <f t="shared" si="149"/>
        <v>34</v>
      </c>
      <c r="N1396" s="59">
        <f t="shared" si="144"/>
        <v>1</v>
      </c>
      <c r="O1396" s="60">
        <f t="shared" si="139"/>
        <v>1396</v>
      </c>
      <c r="P1396" s="65"/>
    </row>
    <row r="1397" spans="3:16">
      <c r="C1397" s="84" t="s">
        <v>97</v>
      </c>
      <c r="D1397" s="75"/>
      <c r="E1397" s="75"/>
      <c r="F1397" s="81" t="s">
        <v>151</v>
      </c>
      <c r="G1397" s="55" t="s">
        <v>2387</v>
      </c>
      <c r="H1397" s="55" t="s">
        <v>124</v>
      </c>
      <c r="I1397" s="59">
        <v>1.7</v>
      </c>
      <c r="J1397" s="60" t="s">
        <v>191</v>
      </c>
      <c r="K1397" s="63" t="str">
        <f t="shared" si="145"/>
        <v>XBF-AD08AInput</v>
      </c>
      <c r="L1397" s="59">
        <f t="shared" si="148"/>
        <v>35</v>
      </c>
      <c r="M1397" s="59">
        <f t="shared" si="149"/>
        <v>34</v>
      </c>
      <c r="N1397" s="59">
        <f t="shared" si="144"/>
        <v>1</v>
      </c>
      <c r="O1397" s="60">
        <f t="shared" si="139"/>
        <v>1397</v>
      </c>
      <c r="P1397" s="65"/>
    </row>
    <row r="1398" spans="3:16">
      <c r="C1398" s="84" t="s">
        <v>97</v>
      </c>
      <c r="D1398" s="75"/>
      <c r="E1398" s="75"/>
      <c r="F1398" s="81" t="s">
        <v>151</v>
      </c>
      <c r="G1398" s="55" t="s">
        <v>2388</v>
      </c>
      <c r="H1398" s="55" t="s">
        <v>124</v>
      </c>
      <c r="I1398" s="59">
        <v>1.8</v>
      </c>
      <c r="J1398" s="60" t="s">
        <v>2346</v>
      </c>
      <c r="K1398" s="63" t="str">
        <f t="shared" si="145"/>
        <v>XBF-AD08AInput</v>
      </c>
      <c r="L1398" s="59">
        <f t="shared" si="148"/>
        <v>35</v>
      </c>
      <c r="M1398" s="59">
        <f t="shared" si="149"/>
        <v>34</v>
      </c>
      <c r="N1398" s="59">
        <f t="shared" si="144"/>
        <v>1</v>
      </c>
      <c r="O1398" s="60">
        <f t="shared" si="139"/>
        <v>1398</v>
      </c>
      <c r="P1398" s="65"/>
    </row>
    <row r="1399" spans="3:16">
      <c r="C1399" s="84" t="s">
        <v>97</v>
      </c>
      <c r="D1399" s="75"/>
      <c r="E1399" s="75"/>
      <c r="F1399" s="81" t="s">
        <v>151</v>
      </c>
      <c r="G1399" s="55" t="s">
        <v>2389</v>
      </c>
      <c r="H1399" s="55" t="s">
        <v>124</v>
      </c>
      <c r="I1399" s="59">
        <v>1.9</v>
      </c>
      <c r="J1399" s="60" t="s">
        <v>2348</v>
      </c>
      <c r="K1399" s="63" t="str">
        <f t="shared" si="145"/>
        <v>XBF-AD08AInput</v>
      </c>
      <c r="L1399" s="59">
        <f t="shared" si="148"/>
        <v>35</v>
      </c>
      <c r="M1399" s="59">
        <f t="shared" si="149"/>
        <v>34</v>
      </c>
      <c r="N1399" s="59">
        <f t="shared" si="144"/>
        <v>1</v>
      </c>
      <c r="O1399" s="60">
        <f t="shared" si="139"/>
        <v>1399</v>
      </c>
      <c r="P1399" s="65"/>
    </row>
    <row r="1400" spans="3:16">
      <c r="C1400" s="84" t="s">
        <v>97</v>
      </c>
      <c r="D1400" s="75"/>
      <c r="E1400" s="75"/>
      <c r="F1400" s="81" t="s">
        <v>151</v>
      </c>
      <c r="G1400" s="55" t="s">
        <v>2390</v>
      </c>
      <c r="H1400" s="55" t="s">
        <v>124</v>
      </c>
      <c r="I1400" s="59" t="s">
        <v>2391</v>
      </c>
      <c r="J1400" s="60" t="s">
        <v>2350</v>
      </c>
      <c r="K1400" s="63" t="str">
        <f t="shared" si="145"/>
        <v>XBF-AD08AInput</v>
      </c>
      <c r="L1400" s="59">
        <f t="shared" si="148"/>
        <v>35</v>
      </c>
      <c r="M1400" s="59">
        <f t="shared" si="149"/>
        <v>34</v>
      </c>
      <c r="N1400" s="59">
        <f t="shared" si="144"/>
        <v>1</v>
      </c>
      <c r="O1400" s="60">
        <f t="shared" si="139"/>
        <v>1400</v>
      </c>
      <c r="P1400" s="65"/>
    </row>
    <row r="1401" spans="3:16">
      <c r="C1401" s="84" t="s">
        <v>97</v>
      </c>
      <c r="D1401" s="75"/>
      <c r="E1401" s="75"/>
      <c r="F1401" s="81" t="s">
        <v>151</v>
      </c>
      <c r="G1401" s="55" t="s">
        <v>2392</v>
      </c>
      <c r="H1401" s="55" t="s">
        <v>124</v>
      </c>
      <c r="I1401" s="59" t="s">
        <v>2393</v>
      </c>
      <c r="J1401" s="60" t="s">
        <v>2352</v>
      </c>
      <c r="K1401" s="63" t="str">
        <f t="shared" si="145"/>
        <v>XBF-AD08AInput</v>
      </c>
      <c r="L1401" s="59">
        <f t="shared" si="148"/>
        <v>35</v>
      </c>
      <c r="M1401" s="59">
        <f t="shared" si="149"/>
        <v>34</v>
      </c>
      <c r="N1401" s="59">
        <f t="shared" si="144"/>
        <v>1</v>
      </c>
      <c r="O1401" s="60">
        <f t="shared" si="139"/>
        <v>1401</v>
      </c>
      <c r="P1401" s="65"/>
    </row>
    <row r="1402" spans="3:16">
      <c r="C1402" s="84" t="s">
        <v>97</v>
      </c>
      <c r="D1402" s="75"/>
      <c r="E1402" s="75"/>
      <c r="F1402" s="81" t="s">
        <v>151</v>
      </c>
      <c r="G1402" s="55" t="s">
        <v>2394</v>
      </c>
      <c r="H1402" s="55" t="s">
        <v>124</v>
      </c>
      <c r="I1402" s="59" t="s">
        <v>2395</v>
      </c>
      <c r="J1402" s="60" t="s">
        <v>2396</v>
      </c>
      <c r="K1402" s="63" t="str">
        <f t="shared" si="145"/>
        <v>XBF-AD08AInput</v>
      </c>
      <c r="L1402" s="59">
        <f t="shared" si="148"/>
        <v>35</v>
      </c>
      <c r="M1402" s="59">
        <f t="shared" si="149"/>
        <v>34</v>
      </c>
      <c r="N1402" s="59">
        <f t="shared" si="144"/>
        <v>1</v>
      </c>
      <c r="O1402" s="60">
        <f t="shared" si="139"/>
        <v>1402</v>
      </c>
      <c r="P1402" s="65"/>
    </row>
    <row r="1403" spans="3:16">
      <c r="C1403" s="84" t="s">
        <v>97</v>
      </c>
      <c r="D1403" s="75"/>
      <c r="E1403" s="75"/>
      <c r="F1403" s="81" t="s">
        <v>151</v>
      </c>
      <c r="G1403" s="55" t="s">
        <v>2397</v>
      </c>
      <c r="H1403" s="55" t="s">
        <v>124</v>
      </c>
      <c r="I1403" s="59" t="s">
        <v>2398</v>
      </c>
      <c r="J1403" s="60" t="s">
        <v>2399</v>
      </c>
      <c r="K1403" s="63" t="str">
        <f t="shared" si="145"/>
        <v>XBF-AD08AInput</v>
      </c>
      <c r="L1403" s="59">
        <f t="shared" si="148"/>
        <v>35</v>
      </c>
      <c r="M1403" s="59">
        <f t="shared" si="149"/>
        <v>34</v>
      </c>
      <c r="N1403" s="59">
        <f t="shared" si="144"/>
        <v>1</v>
      </c>
      <c r="O1403" s="60">
        <f t="shared" si="139"/>
        <v>1403</v>
      </c>
      <c r="P1403" s="65"/>
    </row>
    <row r="1404" spans="3:16">
      <c r="C1404" s="84" t="s">
        <v>97</v>
      </c>
      <c r="D1404" s="75"/>
      <c r="E1404" s="75"/>
      <c r="F1404" s="81" t="s">
        <v>151</v>
      </c>
      <c r="G1404" s="55" t="s">
        <v>2400</v>
      </c>
      <c r="H1404" s="55" t="s">
        <v>124</v>
      </c>
      <c r="I1404" s="59" t="s">
        <v>2401</v>
      </c>
      <c r="J1404" s="60" t="s">
        <v>2402</v>
      </c>
      <c r="K1404" s="63" t="str">
        <f t="shared" si="145"/>
        <v>XBF-AD08AInput</v>
      </c>
      <c r="L1404" s="59">
        <f t="shared" si="148"/>
        <v>35</v>
      </c>
      <c r="M1404" s="59">
        <f t="shared" si="149"/>
        <v>34</v>
      </c>
      <c r="N1404" s="59">
        <f t="shared" si="144"/>
        <v>1</v>
      </c>
      <c r="O1404" s="60">
        <f t="shared" si="139"/>
        <v>1404</v>
      </c>
      <c r="P1404" s="65"/>
    </row>
    <row r="1405" spans="3:16">
      <c r="C1405" s="84" t="s">
        <v>97</v>
      </c>
      <c r="D1405" s="75"/>
      <c r="E1405" s="75"/>
      <c r="F1405" s="81" t="s">
        <v>151</v>
      </c>
      <c r="G1405" s="55" t="s">
        <v>2403</v>
      </c>
      <c r="H1405" s="55" t="s">
        <v>124</v>
      </c>
      <c r="I1405" s="59" t="s">
        <v>2404</v>
      </c>
      <c r="J1405" s="60" t="s">
        <v>2405</v>
      </c>
      <c r="K1405" s="63" t="str">
        <f t="shared" si="145"/>
        <v>XBF-AD08AInput</v>
      </c>
      <c r="L1405" s="59">
        <f t="shared" si="148"/>
        <v>35</v>
      </c>
      <c r="M1405" s="59">
        <f t="shared" si="149"/>
        <v>34</v>
      </c>
      <c r="N1405" s="59">
        <f t="shared" si="144"/>
        <v>1</v>
      </c>
      <c r="O1405" s="60">
        <f t="shared" si="139"/>
        <v>1405</v>
      </c>
      <c r="P1405" s="65"/>
    </row>
    <row r="1406" spans="3:16">
      <c r="C1406" s="84" t="s">
        <v>97</v>
      </c>
      <c r="D1406" s="75"/>
      <c r="E1406" s="75"/>
      <c r="F1406" s="81" t="s">
        <v>151</v>
      </c>
      <c r="G1406" s="55" t="s">
        <v>2406</v>
      </c>
      <c r="H1406" s="55" t="s">
        <v>139</v>
      </c>
      <c r="I1406" s="59">
        <v>2</v>
      </c>
      <c r="J1406" s="60" t="s">
        <v>2407</v>
      </c>
      <c r="K1406" s="63" t="str">
        <f t="shared" si="145"/>
        <v>XBF-AD08AInput</v>
      </c>
      <c r="L1406" s="59">
        <f t="shared" si="148"/>
        <v>35</v>
      </c>
      <c r="M1406" s="59">
        <f t="shared" si="149"/>
        <v>34</v>
      </c>
      <c r="N1406" s="59">
        <f t="shared" si="144"/>
        <v>1</v>
      </c>
      <c r="O1406" s="60">
        <f t="shared" si="139"/>
        <v>1406</v>
      </c>
      <c r="P1406" s="65"/>
    </row>
    <row r="1407" spans="3:16">
      <c r="C1407" s="84" t="s">
        <v>97</v>
      </c>
      <c r="D1407" s="75"/>
      <c r="E1407" s="75"/>
      <c r="F1407" s="81" t="s">
        <v>151</v>
      </c>
      <c r="G1407" s="55" t="s">
        <v>2408</v>
      </c>
      <c r="H1407" s="55" t="s">
        <v>139</v>
      </c>
      <c r="I1407" s="59">
        <v>3</v>
      </c>
      <c r="J1407" s="60" t="s">
        <v>2409</v>
      </c>
      <c r="K1407" s="63" t="str">
        <f t="shared" si="145"/>
        <v>XBF-AD08AInput</v>
      </c>
      <c r="L1407" s="59">
        <f t="shared" si="148"/>
        <v>35</v>
      </c>
      <c r="M1407" s="59">
        <f t="shared" si="149"/>
        <v>34</v>
      </c>
      <c r="N1407" s="59">
        <f t="shared" si="144"/>
        <v>1</v>
      </c>
      <c r="O1407" s="60">
        <f t="shared" si="139"/>
        <v>1407</v>
      </c>
      <c r="P1407" s="65"/>
    </row>
    <row r="1408" spans="3:16">
      <c r="C1408" s="84" t="s">
        <v>97</v>
      </c>
      <c r="D1408" s="75"/>
      <c r="E1408" s="75"/>
      <c r="F1408" s="81" t="s">
        <v>151</v>
      </c>
      <c r="G1408" s="55" t="s">
        <v>2410</v>
      </c>
      <c r="H1408" s="55" t="s">
        <v>139</v>
      </c>
      <c r="I1408" s="59">
        <v>4</v>
      </c>
      <c r="J1408" s="60" t="s">
        <v>2411</v>
      </c>
      <c r="K1408" s="63" t="str">
        <f t="shared" si="145"/>
        <v>XBF-AD08AInput</v>
      </c>
      <c r="L1408" s="59">
        <f t="shared" si="148"/>
        <v>35</v>
      </c>
      <c r="M1408" s="59">
        <f t="shared" si="149"/>
        <v>34</v>
      </c>
      <c r="N1408" s="59">
        <f t="shared" si="144"/>
        <v>1</v>
      </c>
      <c r="O1408" s="60">
        <f t="shared" si="139"/>
        <v>1408</v>
      </c>
      <c r="P1408" s="65"/>
    </row>
    <row r="1409" spans="3:22">
      <c r="C1409" s="84" t="s">
        <v>97</v>
      </c>
      <c r="D1409" s="75"/>
      <c r="E1409" s="75"/>
      <c r="F1409" s="81" t="s">
        <v>151</v>
      </c>
      <c r="G1409" s="55" t="s">
        <v>2412</v>
      </c>
      <c r="H1409" s="55" t="s">
        <v>139</v>
      </c>
      <c r="I1409" s="59">
        <v>5</v>
      </c>
      <c r="J1409" s="60" t="s">
        <v>2413</v>
      </c>
      <c r="K1409" s="63" t="str">
        <f t="shared" si="145"/>
        <v>XBF-AD08AInput</v>
      </c>
      <c r="L1409" s="59">
        <f t="shared" si="148"/>
        <v>35</v>
      </c>
      <c r="M1409" s="59">
        <f t="shared" si="149"/>
        <v>34</v>
      </c>
      <c r="N1409" s="59">
        <f t="shared" si="144"/>
        <v>1</v>
      </c>
      <c r="O1409" s="60">
        <f t="shared" si="139"/>
        <v>1409</v>
      </c>
      <c r="P1409" s="65"/>
    </row>
    <row r="1410" spans="3:22">
      <c r="C1410" s="84" t="s">
        <v>97</v>
      </c>
      <c r="D1410" s="75"/>
      <c r="E1410" s="75"/>
      <c r="F1410" s="81" t="s">
        <v>151</v>
      </c>
      <c r="G1410" s="55" t="s">
        <v>2414</v>
      </c>
      <c r="H1410" s="55" t="s">
        <v>139</v>
      </c>
      <c r="I1410" s="59">
        <v>6</v>
      </c>
      <c r="J1410" s="60" t="s">
        <v>2415</v>
      </c>
      <c r="K1410" s="63" t="str">
        <f t="shared" si="145"/>
        <v>XBF-AD08AInput</v>
      </c>
      <c r="L1410" s="59">
        <f t="shared" si="148"/>
        <v>35</v>
      </c>
      <c r="M1410" s="59">
        <f t="shared" si="149"/>
        <v>34</v>
      </c>
      <c r="N1410" s="59">
        <f t="shared" si="144"/>
        <v>1</v>
      </c>
      <c r="O1410" s="60">
        <f t="shared" ref="O1410:O1473" si="150">ROW(C1410)</f>
        <v>1410</v>
      </c>
      <c r="P1410" s="65"/>
    </row>
    <row r="1411" spans="3:22">
      <c r="C1411" s="84" t="s">
        <v>97</v>
      </c>
      <c r="D1411" s="75"/>
      <c r="E1411" s="75"/>
      <c r="F1411" s="81" t="s">
        <v>151</v>
      </c>
      <c r="G1411" s="55" t="s">
        <v>2416</v>
      </c>
      <c r="H1411" s="55" t="s">
        <v>139</v>
      </c>
      <c r="I1411" s="59">
        <v>7</v>
      </c>
      <c r="J1411" s="60" t="s">
        <v>2417</v>
      </c>
      <c r="K1411" s="63" t="str">
        <f t="shared" si="145"/>
        <v>XBF-AD08AInput</v>
      </c>
      <c r="L1411" s="59">
        <f t="shared" si="148"/>
        <v>35</v>
      </c>
      <c r="M1411" s="59">
        <f t="shared" si="149"/>
        <v>34</v>
      </c>
      <c r="N1411" s="59">
        <f t="shared" ref="N1411:N1474" si="151">L1411-M1411</f>
        <v>1</v>
      </c>
      <c r="O1411" s="60">
        <f t="shared" si="150"/>
        <v>1411</v>
      </c>
      <c r="P1411" s="65"/>
    </row>
    <row r="1412" spans="3:22">
      <c r="C1412" s="84" t="s">
        <v>97</v>
      </c>
      <c r="D1412" s="75"/>
      <c r="E1412" s="75"/>
      <c r="F1412" s="81" t="s">
        <v>151</v>
      </c>
      <c r="G1412" s="55" t="s">
        <v>2418</v>
      </c>
      <c r="H1412" s="55" t="s">
        <v>139</v>
      </c>
      <c r="I1412" s="59">
        <v>8</v>
      </c>
      <c r="J1412" s="60" t="s">
        <v>2419</v>
      </c>
      <c r="K1412" s="63" t="str">
        <f t="shared" si="145"/>
        <v>XBF-AD08AInput</v>
      </c>
      <c r="L1412" s="59">
        <f t="shared" si="148"/>
        <v>35</v>
      </c>
      <c r="M1412" s="59">
        <f t="shared" si="149"/>
        <v>34</v>
      </c>
      <c r="N1412" s="59">
        <f t="shared" si="151"/>
        <v>1</v>
      </c>
      <c r="O1412" s="60">
        <f t="shared" si="150"/>
        <v>1412</v>
      </c>
      <c r="P1412" s="65"/>
    </row>
    <row r="1413" spans="3:22">
      <c r="C1413" s="84" t="s">
        <v>97</v>
      </c>
      <c r="D1413" s="75"/>
      <c r="E1413" s="75"/>
      <c r="F1413" s="81" t="s">
        <v>151</v>
      </c>
      <c r="G1413" s="55" t="s">
        <v>2420</v>
      </c>
      <c r="H1413" s="55" t="s">
        <v>139</v>
      </c>
      <c r="I1413" s="59">
        <v>9</v>
      </c>
      <c r="J1413" s="60" t="s">
        <v>2421</v>
      </c>
      <c r="K1413" s="63" t="str">
        <f t="shared" si="145"/>
        <v>XBF-AD08AInput</v>
      </c>
      <c r="L1413" s="59">
        <f t="shared" si="148"/>
        <v>35</v>
      </c>
      <c r="M1413" s="59">
        <f t="shared" si="149"/>
        <v>34</v>
      </c>
      <c r="N1413" s="59">
        <f t="shared" si="151"/>
        <v>1</v>
      </c>
      <c r="O1413" s="60">
        <f t="shared" si="150"/>
        <v>1413</v>
      </c>
      <c r="P1413" s="65"/>
    </row>
    <row r="1414" spans="3:22">
      <c r="C1414" s="84" t="s">
        <v>97</v>
      </c>
      <c r="D1414" s="75"/>
      <c r="E1414" s="75"/>
      <c r="F1414" s="81" t="s">
        <v>151</v>
      </c>
      <c r="G1414" s="55" t="s">
        <v>2422</v>
      </c>
      <c r="H1414" s="55" t="s">
        <v>124</v>
      </c>
      <c r="I1414" s="59">
        <v>10</v>
      </c>
      <c r="J1414" s="60" t="s">
        <v>2423</v>
      </c>
      <c r="K1414" s="63" t="str">
        <f t="shared" si="145"/>
        <v>XBF-AD08AInput</v>
      </c>
      <c r="L1414" s="59">
        <f t="shared" si="148"/>
        <v>35</v>
      </c>
      <c r="M1414" s="59">
        <f t="shared" si="149"/>
        <v>34</v>
      </c>
      <c r="N1414" s="59">
        <f t="shared" si="151"/>
        <v>1</v>
      </c>
      <c r="O1414" s="60">
        <f t="shared" si="150"/>
        <v>1414</v>
      </c>
      <c r="P1414" s="65"/>
    </row>
    <row r="1415" spans="3:22">
      <c r="C1415" s="84" t="s">
        <v>97</v>
      </c>
      <c r="D1415" s="75"/>
      <c r="E1415" s="75"/>
      <c r="F1415" s="81" t="s">
        <v>151</v>
      </c>
      <c r="G1415" s="55" t="s">
        <v>2424</v>
      </c>
      <c r="H1415" s="55" t="s">
        <v>124</v>
      </c>
      <c r="I1415" s="59">
        <v>10.1</v>
      </c>
      <c r="J1415" s="60" t="s">
        <v>2425</v>
      </c>
      <c r="K1415" s="63" t="str">
        <f t="shared" si="145"/>
        <v>XBF-AD08AInput</v>
      </c>
      <c r="L1415" s="59">
        <f t="shared" si="148"/>
        <v>35</v>
      </c>
      <c r="M1415" s="59">
        <f t="shared" si="149"/>
        <v>34</v>
      </c>
      <c r="N1415" s="59">
        <f t="shared" si="151"/>
        <v>1</v>
      </c>
      <c r="O1415" s="60">
        <f t="shared" si="150"/>
        <v>1415</v>
      </c>
      <c r="P1415" s="65"/>
    </row>
    <row r="1416" spans="3:22">
      <c r="C1416" s="84" t="s">
        <v>97</v>
      </c>
      <c r="D1416" s="75"/>
      <c r="E1416" s="75"/>
      <c r="F1416" s="81" t="s">
        <v>151</v>
      </c>
      <c r="G1416" s="55" t="s">
        <v>2426</v>
      </c>
      <c r="H1416" s="55" t="s">
        <v>124</v>
      </c>
      <c r="I1416" s="59">
        <v>10.199999999999999</v>
      </c>
      <c r="J1416" s="60" t="s">
        <v>2427</v>
      </c>
      <c r="K1416" s="63" t="str">
        <f t="shared" si="145"/>
        <v>XBF-AD08AInput</v>
      </c>
      <c r="L1416" s="59">
        <f t="shared" si="148"/>
        <v>35</v>
      </c>
      <c r="M1416" s="59">
        <f t="shared" si="149"/>
        <v>34</v>
      </c>
      <c r="N1416" s="59">
        <f t="shared" si="151"/>
        <v>1</v>
      </c>
      <c r="O1416" s="60">
        <f t="shared" si="150"/>
        <v>1416</v>
      </c>
      <c r="P1416" s="65"/>
    </row>
    <row r="1417" spans="3:22">
      <c r="C1417" s="84" t="s">
        <v>97</v>
      </c>
      <c r="D1417" s="75"/>
      <c r="E1417" s="75"/>
      <c r="F1417" s="81" t="s">
        <v>151</v>
      </c>
      <c r="G1417" s="55" t="s">
        <v>2428</v>
      </c>
      <c r="H1417" s="55" t="s">
        <v>124</v>
      </c>
      <c r="I1417" s="59">
        <v>10.3</v>
      </c>
      <c r="J1417" s="60" t="s">
        <v>2429</v>
      </c>
      <c r="K1417" s="63" t="str">
        <f t="shared" si="145"/>
        <v>XBF-AD08AInput</v>
      </c>
      <c r="L1417" s="59">
        <f t="shared" si="148"/>
        <v>35</v>
      </c>
      <c r="M1417" s="59">
        <f t="shared" si="149"/>
        <v>34</v>
      </c>
      <c r="N1417" s="59">
        <f t="shared" si="151"/>
        <v>1</v>
      </c>
      <c r="O1417" s="60">
        <f t="shared" si="150"/>
        <v>1417</v>
      </c>
      <c r="P1417" s="65"/>
    </row>
    <row r="1418" spans="3:22">
      <c r="C1418" s="84" t="s">
        <v>97</v>
      </c>
      <c r="D1418" s="75"/>
      <c r="E1418" s="75"/>
      <c r="F1418" s="81" t="s">
        <v>151</v>
      </c>
      <c r="G1418" s="55" t="s">
        <v>2430</v>
      </c>
      <c r="H1418" s="55" t="s">
        <v>124</v>
      </c>
      <c r="I1418" s="59">
        <v>10.4</v>
      </c>
      <c r="J1418" s="60" t="s">
        <v>2431</v>
      </c>
      <c r="K1418" s="63" t="str">
        <f t="shared" si="145"/>
        <v>XBF-AD08AInput</v>
      </c>
      <c r="L1418" s="59">
        <f t="shared" si="148"/>
        <v>35</v>
      </c>
      <c r="M1418" s="59">
        <f t="shared" si="149"/>
        <v>34</v>
      </c>
      <c r="N1418" s="59">
        <f t="shared" si="151"/>
        <v>1</v>
      </c>
      <c r="O1418" s="60">
        <f t="shared" si="150"/>
        <v>1418</v>
      </c>
      <c r="P1418" s="65"/>
    </row>
    <row r="1419" spans="3:22">
      <c r="C1419" s="84" t="s">
        <v>97</v>
      </c>
      <c r="D1419" s="75"/>
      <c r="E1419" s="75"/>
      <c r="F1419" s="81" t="s">
        <v>151</v>
      </c>
      <c r="G1419" s="55" t="s">
        <v>2432</v>
      </c>
      <c r="H1419" s="55" t="s">
        <v>124</v>
      </c>
      <c r="I1419" s="59">
        <v>10.5</v>
      </c>
      <c r="J1419" s="60" t="s">
        <v>2433</v>
      </c>
      <c r="K1419" s="63" t="str">
        <f t="shared" si="145"/>
        <v>XBF-AD08AInput</v>
      </c>
      <c r="L1419" s="59">
        <f t="shared" si="148"/>
        <v>35</v>
      </c>
      <c r="M1419" s="59">
        <f t="shared" si="149"/>
        <v>34</v>
      </c>
      <c r="N1419" s="59">
        <f t="shared" si="151"/>
        <v>1</v>
      </c>
      <c r="O1419" s="60">
        <f t="shared" si="150"/>
        <v>1419</v>
      </c>
      <c r="P1419" s="65"/>
    </row>
    <row r="1420" spans="3:22">
      <c r="C1420" s="84" t="s">
        <v>97</v>
      </c>
      <c r="D1420" s="75"/>
      <c r="E1420" s="75"/>
      <c r="F1420" s="81" t="s">
        <v>151</v>
      </c>
      <c r="G1420" s="55" t="s">
        <v>2434</v>
      </c>
      <c r="H1420" s="55" t="s">
        <v>124</v>
      </c>
      <c r="I1420" s="59">
        <v>10.6</v>
      </c>
      <c r="J1420" s="60" t="s">
        <v>2435</v>
      </c>
      <c r="K1420" s="63" t="str">
        <f t="shared" si="145"/>
        <v>XBF-AD08AInput</v>
      </c>
      <c r="L1420" s="59">
        <f t="shared" si="148"/>
        <v>35</v>
      </c>
      <c r="M1420" s="59">
        <f t="shared" si="149"/>
        <v>34</v>
      </c>
      <c r="N1420" s="59">
        <f t="shared" si="151"/>
        <v>1</v>
      </c>
      <c r="O1420" s="60">
        <f t="shared" si="150"/>
        <v>1420</v>
      </c>
      <c r="P1420" s="65"/>
    </row>
    <row r="1421" spans="3:22">
      <c r="C1421" s="84" t="s">
        <v>97</v>
      </c>
      <c r="D1421" s="75"/>
      <c r="E1421" s="75"/>
      <c r="F1421" s="81" t="s">
        <v>151</v>
      </c>
      <c r="G1421" s="55" t="s">
        <v>2436</v>
      </c>
      <c r="H1421" s="55" t="s">
        <v>124</v>
      </c>
      <c r="I1421" s="59">
        <v>10.7</v>
      </c>
      <c r="J1421" s="60" t="s">
        <v>2437</v>
      </c>
      <c r="K1421" s="63" t="str">
        <f t="shared" si="145"/>
        <v>XBF-AD08AInput</v>
      </c>
      <c r="L1421" s="59">
        <f t="shared" si="148"/>
        <v>35</v>
      </c>
      <c r="M1421" s="59">
        <f t="shared" si="149"/>
        <v>34</v>
      </c>
      <c r="N1421" s="59">
        <f t="shared" si="151"/>
        <v>1</v>
      </c>
      <c r="O1421" s="60">
        <f t="shared" si="150"/>
        <v>1421</v>
      </c>
      <c r="P1421" s="65"/>
    </row>
    <row r="1422" spans="3:22">
      <c r="C1422" s="84" t="s">
        <v>97</v>
      </c>
      <c r="D1422" s="75"/>
      <c r="E1422" s="75"/>
      <c r="F1422" s="81" t="s">
        <v>166</v>
      </c>
      <c r="G1422" s="55" t="s">
        <v>2438</v>
      </c>
      <c r="H1422" s="55" t="s">
        <v>124</v>
      </c>
      <c r="I1422" s="59">
        <v>0</v>
      </c>
      <c r="J1422" s="60" t="s">
        <v>414</v>
      </c>
      <c r="K1422" s="63"/>
      <c r="L1422" s="59"/>
      <c r="M1422" s="59"/>
      <c r="N1422" s="59"/>
      <c r="O1422" s="60">
        <f t="shared" si="150"/>
        <v>1422</v>
      </c>
      <c r="P1422" s="65"/>
    </row>
    <row r="1423" spans="3:22">
      <c r="C1423" s="84" t="s">
        <v>98</v>
      </c>
      <c r="D1423" s="76">
        <v>26</v>
      </c>
      <c r="E1423" s="76">
        <v>2</v>
      </c>
      <c r="F1423" s="81" t="s">
        <v>151</v>
      </c>
      <c r="G1423" s="55" t="s">
        <v>2339</v>
      </c>
      <c r="H1423" s="55" t="s">
        <v>124</v>
      </c>
      <c r="I1423" s="59">
        <v>0</v>
      </c>
      <c r="J1423" s="60" t="s">
        <v>173</v>
      </c>
      <c r="K1423" s="63" t="str">
        <f t="shared" si="145"/>
        <v>XBF-AD04CInput</v>
      </c>
      <c r="L1423" s="59">
        <f t="shared" ref="L1423:L1452" si="152">COUNTIF($C$2:$C$2062,C1423)</f>
        <v>31</v>
      </c>
      <c r="M1423" s="59">
        <f t="shared" ref="M1423:M1452" si="153">COUNTIF($K$2:$K$2062,K1423)</f>
        <v>30</v>
      </c>
      <c r="N1423" s="59">
        <f t="shared" si="151"/>
        <v>1</v>
      </c>
      <c r="O1423" s="60">
        <f t="shared" si="150"/>
        <v>1423</v>
      </c>
      <c r="P1423" s="65" t="s">
        <v>3214</v>
      </c>
      <c r="Q1423">
        <f>O1423</f>
        <v>1423</v>
      </c>
      <c r="R1423" t="s">
        <v>3215</v>
      </c>
      <c r="S1423">
        <v>1454</v>
      </c>
      <c r="T1423" t="str">
        <f>P1423&amp;Q1423&amp;R1423&amp;S1423</f>
        <v>All data map'!$F$1423:$J$1454</v>
      </c>
      <c r="V1423" t="s">
        <v>3279</v>
      </c>
    </row>
    <row r="1424" spans="3:22">
      <c r="C1424" s="84" t="s">
        <v>98</v>
      </c>
      <c r="D1424" s="75"/>
      <c r="E1424" s="75"/>
      <c r="F1424" s="81" t="s">
        <v>151</v>
      </c>
      <c r="G1424" s="55" t="s">
        <v>2340</v>
      </c>
      <c r="H1424" s="55" t="s">
        <v>124</v>
      </c>
      <c r="I1424" s="59" t="s">
        <v>126</v>
      </c>
      <c r="J1424" s="60" t="s">
        <v>175</v>
      </c>
      <c r="K1424" s="63" t="str">
        <f t="shared" si="145"/>
        <v>XBF-AD04CInput</v>
      </c>
      <c r="L1424" s="59">
        <f t="shared" si="152"/>
        <v>31</v>
      </c>
      <c r="M1424" s="59">
        <f t="shared" si="153"/>
        <v>30</v>
      </c>
      <c r="N1424" s="59">
        <f t="shared" si="151"/>
        <v>1</v>
      </c>
      <c r="O1424" s="60">
        <f t="shared" si="150"/>
        <v>1424</v>
      </c>
      <c r="P1424" s="65"/>
    </row>
    <row r="1425" spans="3:16">
      <c r="C1425" s="84" t="s">
        <v>98</v>
      </c>
      <c r="D1425" s="75"/>
      <c r="E1425" s="75"/>
      <c r="F1425" s="81" t="s">
        <v>151</v>
      </c>
      <c r="G1425" s="55" t="s">
        <v>2341</v>
      </c>
      <c r="H1425" s="55" t="s">
        <v>124</v>
      </c>
      <c r="I1425" s="59">
        <v>1</v>
      </c>
      <c r="J1425" s="60" t="s">
        <v>177</v>
      </c>
      <c r="K1425" s="63" t="str">
        <f t="shared" si="145"/>
        <v>XBF-AD04CInput</v>
      </c>
      <c r="L1425" s="59">
        <f t="shared" si="152"/>
        <v>31</v>
      </c>
      <c r="M1425" s="59">
        <f t="shared" si="153"/>
        <v>30</v>
      </c>
      <c r="N1425" s="59">
        <f t="shared" si="151"/>
        <v>1</v>
      </c>
      <c r="O1425" s="60">
        <f t="shared" si="150"/>
        <v>1425</v>
      </c>
      <c r="P1425" s="65"/>
    </row>
    <row r="1426" spans="3:16">
      <c r="C1426" s="84" t="s">
        <v>98</v>
      </c>
      <c r="D1426" s="75"/>
      <c r="E1426" s="75"/>
      <c r="F1426" s="81" t="s">
        <v>151</v>
      </c>
      <c r="G1426" s="55" t="s">
        <v>2342</v>
      </c>
      <c r="H1426" s="55" t="s">
        <v>124</v>
      </c>
      <c r="I1426" s="59">
        <v>1.1000000000000001</v>
      </c>
      <c r="J1426" s="60" t="s">
        <v>179</v>
      </c>
      <c r="K1426" s="63" t="str">
        <f t="shared" si="145"/>
        <v>XBF-AD04CInput</v>
      </c>
      <c r="L1426" s="59">
        <f t="shared" si="152"/>
        <v>31</v>
      </c>
      <c r="M1426" s="59">
        <f t="shared" si="153"/>
        <v>30</v>
      </c>
      <c r="N1426" s="59">
        <f t="shared" si="151"/>
        <v>1</v>
      </c>
      <c r="O1426" s="60">
        <f t="shared" si="150"/>
        <v>1426</v>
      </c>
      <c r="P1426" s="65"/>
    </row>
    <row r="1427" spans="3:16">
      <c r="C1427" s="84" t="s">
        <v>98</v>
      </c>
      <c r="D1427" s="75"/>
      <c r="E1427" s="75"/>
      <c r="F1427" s="81" t="s">
        <v>151</v>
      </c>
      <c r="G1427" s="55" t="s">
        <v>2343</v>
      </c>
      <c r="H1427" s="55" t="s">
        <v>124</v>
      </c>
      <c r="I1427" s="59">
        <v>1.2</v>
      </c>
      <c r="J1427" s="60" t="s">
        <v>181</v>
      </c>
      <c r="K1427" s="63" t="str">
        <f t="shared" si="145"/>
        <v>XBF-AD04CInput</v>
      </c>
      <c r="L1427" s="59">
        <f t="shared" si="152"/>
        <v>31</v>
      </c>
      <c r="M1427" s="59">
        <f t="shared" si="153"/>
        <v>30</v>
      </c>
      <c r="N1427" s="59">
        <f t="shared" si="151"/>
        <v>1</v>
      </c>
      <c r="O1427" s="60">
        <f t="shared" si="150"/>
        <v>1427</v>
      </c>
      <c r="P1427" s="65"/>
    </row>
    <row r="1428" spans="3:16">
      <c r="C1428" s="84" t="s">
        <v>98</v>
      </c>
      <c r="D1428" s="75"/>
      <c r="E1428" s="75"/>
      <c r="F1428" s="81" t="s">
        <v>151</v>
      </c>
      <c r="G1428" s="55" t="s">
        <v>2344</v>
      </c>
      <c r="H1428" s="55" t="s">
        <v>124</v>
      </c>
      <c r="I1428" s="59">
        <v>1.3</v>
      </c>
      <c r="J1428" s="60" t="s">
        <v>183</v>
      </c>
      <c r="K1428" s="63" t="str">
        <f t="shared" si="145"/>
        <v>XBF-AD04CInput</v>
      </c>
      <c r="L1428" s="59">
        <f t="shared" si="152"/>
        <v>31</v>
      </c>
      <c r="M1428" s="59">
        <f t="shared" si="153"/>
        <v>30</v>
      </c>
      <c r="N1428" s="59">
        <f t="shared" si="151"/>
        <v>1</v>
      </c>
      <c r="O1428" s="60">
        <f t="shared" si="150"/>
        <v>1428</v>
      </c>
      <c r="P1428" s="65"/>
    </row>
    <row r="1429" spans="3:16">
      <c r="C1429" s="84" t="s">
        <v>98</v>
      </c>
      <c r="D1429" s="75"/>
      <c r="E1429" s="75"/>
      <c r="F1429" s="81" t="s">
        <v>151</v>
      </c>
      <c r="G1429" s="55" t="s">
        <v>2345</v>
      </c>
      <c r="H1429" s="55" t="s">
        <v>124</v>
      </c>
      <c r="I1429" s="59">
        <v>1.8</v>
      </c>
      <c r="J1429" s="60" t="s">
        <v>2346</v>
      </c>
      <c r="K1429" s="63" t="str">
        <f t="shared" ref="K1429:K1492" si="154">C1429&amp;F1429</f>
        <v>XBF-AD04CInput</v>
      </c>
      <c r="L1429" s="59">
        <f t="shared" si="152"/>
        <v>31</v>
      </c>
      <c r="M1429" s="59">
        <f t="shared" si="153"/>
        <v>30</v>
      </c>
      <c r="N1429" s="59">
        <f t="shared" si="151"/>
        <v>1</v>
      </c>
      <c r="O1429" s="60">
        <f t="shared" si="150"/>
        <v>1429</v>
      </c>
      <c r="P1429" s="65"/>
    </row>
    <row r="1430" spans="3:16">
      <c r="C1430" s="84" t="s">
        <v>98</v>
      </c>
      <c r="D1430" s="75"/>
      <c r="E1430" s="75"/>
      <c r="F1430" s="81" t="s">
        <v>151</v>
      </c>
      <c r="G1430" s="55" t="s">
        <v>2347</v>
      </c>
      <c r="H1430" s="55" t="s">
        <v>124</v>
      </c>
      <c r="I1430" s="59">
        <v>1.9</v>
      </c>
      <c r="J1430" s="60" t="s">
        <v>2348</v>
      </c>
      <c r="K1430" s="63" t="str">
        <f t="shared" si="154"/>
        <v>XBF-AD04CInput</v>
      </c>
      <c r="L1430" s="59">
        <f t="shared" si="152"/>
        <v>31</v>
      </c>
      <c r="M1430" s="59">
        <f t="shared" si="153"/>
        <v>30</v>
      </c>
      <c r="N1430" s="59">
        <f t="shared" si="151"/>
        <v>1</v>
      </c>
      <c r="O1430" s="60">
        <f t="shared" si="150"/>
        <v>1430</v>
      </c>
      <c r="P1430" s="65"/>
    </row>
    <row r="1431" spans="3:16">
      <c r="C1431" s="84" t="s">
        <v>98</v>
      </c>
      <c r="D1431" s="75"/>
      <c r="E1431" s="75"/>
      <c r="F1431" s="81" t="s">
        <v>151</v>
      </c>
      <c r="G1431" s="55" t="s">
        <v>2349</v>
      </c>
      <c r="H1431" s="55" t="s">
        <v>124</v>
      </c>
      <c r="I1431" s="59" t="s">
        <v>136</v>
      </c>
      <c r="J1431" s="60" t="s">
        <v>2350</v>
      </c>
      <c r="K1431" s="63" t="str">
        <f t="shared" si="154"/>
        <v>XBF-AD04CInput</v>
      </c>
      <c r="L1431" s="59">
        <f t="shared" si="152"/>
        <v>31</v>
      </c>
      <c r="M1431" s="59">
        <f t="shared" si="153"/>
        <v>30</v>
      </c>
      <c r="N1431" s="59">
        <f t="shared" si="151"/>
        <v>1</v>
      </c>
      <c r="O1431" s="60">
        <f t="shared" si="150"/>
        <v>1431</v>
      </c>
      <c r="P1431" s="65"/>
    </row>
    <row r="1432" spans="3:16">
      <c r="C1432" s="84" t="s">
        <v>98</v>
      </c>
      <c r="D1432" s="75"/>
      <c r="E1432" s="75"/>
      <c r="F1432" s="81" t="s">
        <v>151</v>
      </c>
      <c r="G1432" s="55" t="s">
        <v>2351</v>
      </c>
      <c r="H1432" s="55" t="s">
        <v>124</v>
      </c>
      <c r="I1432" s="59" t="s">
        <v>138</v>
      </c>
      <c r="J1432" s="60" t="s">
        <v>2352</v>
      </c>
      <c r="K1432" s="63" t="str">
        <f t="shared" si="154"/>
        <v>XBF-AD04CInput</v>
      </c>
      <c r="L1432" s="59">
        <f t="shared" si="152"/>
        <v>31</v>
      </c>
      <c r="M1432" s="59">
        <f t="shared" si="153"/>
        <v>30</v>
      </c>
      <c r="N1432" s="59">
        <f t="shared" si="151"/>
        <v>1</v>
      </c>
      <c r="O1432" s="60">
        <f t="shared" si="150"/>
        <v>1432</v>
      </c>
      <c r="P1432" s="65"/>
    </row>
    <row r="1433" spans="3:16">
      <c r="C1433" s="84" t="s">
        <v>98</v>
      </c>
      <c r="D1433" s="75"/>
      <c r="E1433" s="75"/>
      <c r="F1433" s="81" t="s">
        <v>151</v>
      </c>
      <c r="G1433" s="55" t="s">
        <v>2353</v>
      </c>
      <c r="H1433" s="55" t="s">
        <v>139</v>
      </c>
      <c r="I1433" s="59">
        <v>2</v>
      </c>
      <c r="J1433" s="60" t="s">
        <v>213</v>
      </c>
      <c r="K1433" s="63" t="str">
        <f t="shared" si="154"/>
        <v>XBF-AD04CInput</v>
      </c>
      <c r="L1433" s="59">
        <f t="shared" si="152"/>
        <v>31</v>
      </c>
      <c r="M1433" s="59">
        <f t="shared" si="153"/>
        <v>30</v>
      </c>
      <c r="N1433" s="59">
        <f t="shared" si="151"/>
        <v>1</v>
      </c>
      <c r="O1433" s="60">
        <f t="shared" si="150"/>
        <v>1433</v>
      </c>
      <c r="P1433" s="65"/>
    </row>
    <row r="1434" spans="3:16">
      <c r="C1434" s="84" t="s">
        <v>98</v>
      </c>
      <c r="D1434" s="75"/>
      <c r="E1434" s="75"/>
      <c r="F1434" s="81" t="s">
        <v>151</v>
      </c>
      <c r="G1434" s="55" t="s">
        <v>2354</v>
      </c>
      <c r="H1434" s="55" t="s">
        <v>139</v>
      </c>
      <c r="I1434" s="59">
        <v>3</v>
      </c>
      <c r="J1434" s="60" t="s">
        <v>215</v>
      </c>
      <c r="K1434" s="63" t="str">
        <f t="shared" si="154"/>
        <v>XBF-AD04CInput</v>
      </c>
      <c r="L1434" s="59">
        <f t="shared" si="152"/>
        <v>31</v>
      </c>
      <c r="M1434" s="59">
        <f t="shared" si="153"/>
        <v>30</v>
      </c>
      <c r="N1434" s="59">
        <f t="shared" si="151"/>
        <v>1</v>
      </c>
      <c r="O1434" s="60">
        <f t="shared" si="150"/>
        <v>1434</v>
      </c>
      <c r="P1434" s="65"/>
    </row>
    <row r="1435" spans="3:16">
      <c r="C1435" s="84" t="s">
        <v>98</v>
      </c>
      <c r="D1435" s="75"/>
      <c r="E1435" s="75"/>
      <c r="F1435" s="81" t="s">
        <v>151</v>
      </c>
      <c r="G1435" s="55" t="s">
        <v>2355</v>
      </c>
      <c r="H1435" s="55" t="s">
        <v>139</v>
      </c>
      <c r="I1435" s="59">
        <v>4</v>
      </c>
      <c r="J1435" s="60" t="s">
        <v>217</v>
      </c>
      <c r="K1435" s="63" t="str">
        <f t="shared" si="154"/>
        <v>XBF-AD04CInput</v>
      </c>
      <c r="L1435" s="59">
        <f t="shared" si="152"/>
        <v>31</v>
      </c>
      <c r="M1435" s="59">
        <f t="shared" si="153"/>
        <v>30</v>
      </c>
      <c r="N1435" s="59">
        <f t="shared" si="151"/>
        <v>1</v>
      </c>
      <c r="O1435" s="60">
        <f t="shared" si="150"/>
        <v>1435</v>
      </c>
      <c r="P1435" s="65"/>
    </row>
    <row r="1436" spans="3:16">
      <c r="C1436" s="84" t="s">
        <v>98</v>
      </c>
      <c r="D1436" s="75"/>
      <c r="E1436" s="75"/>
      <c r="F1436" s="81" t="s">
        <v>151</v>
      </c>
      <c r="G1436" s="55" t="s">
        <v>2356</v>
      </c>
      <c r="H1436" s="55" t="s">
        <v>139</v>
      </c>
      <c r="I1436" s="59">
        <v>5</v>
      </c>
      <c r="J1436" s="60" t="s">
        <v>219</v>
      </c>
      <c r="K1436" s="63" t="str">
        <f t="shared" si="154"/>
        <v>XBF-AD04CInput</v>
      </c>
      <c r="L1436" s="59">
        <f t="shared" si="152"/>
        <v>31</v>
      </c>
      <c r="M1436" s="59">
        <f t="shared" si="153"/>
        <v>30</v>
      </c>
      <c r="N1436" s="59">
        <f t="shared" si="151"/>
        <v>1</v>
      </c>
      <c r="O1436" s="60">
        <f t="shared" si="150"/>
        <v>1436</v>
      </c>
      <c r="P1436" s="65"/>
    </row>
    <row r="1437" spans="3:16">
      <c r="C1437" s="84" t="s">
        <v>98</v>
      </c>
      <c r="D1437" s="75"/>
      <c r="E1437" s="75"/>
      <c r="F1437" s="81" t="s">
        <v>151</v>
      </c>
      <c r="G1437" s="62" t="s">
        <v>6</v>
      </c>
      <c r="H1437" s="55" t="s">
        <v>139</v>
      </c>
      <c r="I1437" s="59">
        <v>6</v>
      </c>
      <c r="J1437" s="60" t="s">
        <v>140</v>
      </c>
      <c r="K1437" s="63" t="str">
        <f t="shared" si="154"/>
        <v>XBF-AD04CInput</v>
      </c>
      <c r="L1437" s="59">
        <f t="shared" si="152"/>
        <v>31</v>
      </c>
      <c r="M1437" s="59">
        <f t="shared" si="153"/>
        <v>30</v>
      </c>
      <c r="N1437" s="59">
        <f t="shared" si="151"/>
        <v>1</v>
      </c>
      <c r="O1437" s="60">
        <f t="shared" si="150"/>
        <v>1437</v>
      </c>
      <c r="P1437" s="65"/>
    </row>
    <row r="1438" spans="3:16">
      <c r="C1438" s="84" t="s">
        <v>98</v>
      </c>
      <c r="D1438" s="75"/>
      <c r="E1438" s="75"/>
      <c r="F1438" s="81" t="s">
        <v>151</v>
      </c>
      <c r="G1438" s="62" t="s">
        <v>6</v>
      </c>
      <c r="H1438" s="55" t="s">
        <v>139</v>
      </c>
      <c r="I1438" s="59">
        <v>7</v>
      </c>
      <c r="J1438" s="60" t="s">
        <v>140</v>
      </c>
      <c r="K1438" s="63" t="str">
        <f t="shared" si="154"/>
        <v>XBF-AD04CInput</v>
      </c>
      <c r="L1438" s="59">
        <f t="shared" si="152"/>
        <v>31</v>
      </c>
      <c r="M1438" s="59">
        <f t="shared" si="153"/>
        <v>30</v>
      </c>
      <c r="N1438" s="59">
        <f t="shared" si="151"/>
        <v>1</v>
      </c>
      <c r="O1438" s="60">
        <f t="shared" si="150"/>
        <v>1438</v>
      </c>
      <c r="P1438" s="65"/>
    </row>
    <row r="1439" spans="3:16">
      <c r="C1439" s="84" t="s">
        <v>98</v>
      </c>
      <c r="D1439" s="75"/>
      <c r="E1439" s="75"/>
      <c r="F1439" s="81" t="s">
        <v>151</v>
      </c>
      <c r="G1439" s="62" t="s">
        <v>6</v>
      </c>
      <c r="H1439" s="55" t="s">
        <v>139</v>
      </c>
      <c r="I1439" s="59">
        <v>8</v>
      </c>
      <c r="J1439" s="60" t="s">
        <v>140</v>
      </c>
      <c r="K1439" s="63" t="str">
        <f t="shared" si="154"/>
        <v>XBF-AD04CInput</v>
      </c>
      <c r="L1439" s="59">
        <f t="shared" si="152"/>
        <v>31</v>
      </c>
      <c r="M1439" s="59">
        <f t="shared" si="153"/>
        <v>30</v>
      </c>
      <c r="N1439" s="59">
        <f t="shared" si="151"/>
        <v>1</v>
      </c>
      <c r="O1439" s="60">
        <f t="shared" si="150"/>
        <v>1439</v>
      </c>
      <c r="P1439" s="65"/>
    </row>
    <row r="1440" spans="3:16">
      <c r="C1440" s="84" t="s">
        <v>98</v>
      </c>
      <c r="D1440" s="75"/>
      <c r="E1440" s="75"/>
      <c r="F1440" s="81" t="s">
        <v>151</v>
      </c>
      <c r="G1440" s="62" t="s">
        <v>6</v>
      </c>
      <c r="H1440" s="55" t="s">
        <v>139</v>
      </c>
      <c r="I1440" s="59">
        <v>9</v>
      </c>
      <c r="J1440" s="60" t="s">
        <v>140</v>
      </c>
      <c r="K1440" s="63" t="str">
        <f t="shared" si="154"/>
        <v>XBF-AD04CInput</v>
      </c>
      <c r="L1440" s="59">
        <f t="shared" si="152"/>
        <v>31</v>
      </c>
      <c r="M1440" s="59">
        <f t="shared" si="153"/>
        <v>30</v>
      </c>
      <c r="N1440" s="59">
        <f t="shared" si="151"/>
        <v>1</v>
      </c>
      <c r="O1440" s="60">
        <f t="shared" si="150"/>
        <v>1440</v>
      </c>
      <c r="P1440" s="65"/>
    </row>
    <row r="1441" spans="3:22">
      <c r="C1441" s="84" t="s">
        <v>98</v>
      </c>
      <c r="D1441" s="75"/>
      <c r="E1441" s="75"/>
      <c r="F1441" s="81" t="s">
        <v>151</v>
      </c>
      <c r="G1441" s="55" t="s">
        <v>2357</v>
      </c>
      <c r="H1441" s="55" t="s">
        <v>124</v>
      </c>
      <c r="I1441" s="59">
        <v>10</v>
      </c>
      <c r="J1441" s="60" t="s">
        <v>245</v>
      </c>
      <c r="K1441" s="63" t="str">
        <f t="shared" si="154"/>
        <v>XBF-AD04CInput</v>
      </c>
      <c r="L1441" s="59">
        <f t="shared" si="152"/>
        <v>31</v>
      </c>
      <c r="M1441" s="59">
        <f t="shared" si="153"/>
        <v>30</v>
      </c>
      <c r="N1441" s="59">
        <f t="shared" si="151"/>
        <v>1</v>
      </c>
      <c r="O1441" s="60">
        <f t="shared" si="150"/>
        <v>1441</v>
      </c>
      <c r="P1441" s="65"/>
    </row>
    <row r="1442" spans="3:22">
      <c r="C1442" s="84" t="s">
        <v>98</v>
      </c>
      <c r="D1442" s="75"/>
      <c r="E1442" s="75"/>
      <c r="F1442" s="81" t="s">
        <v>151</v>
      </c>
      <c r="G1442" s="55" t="s">
        <v>2358</v>
      </c>
      <c r="H1442" s="55" t="s">
        <v>124</v>
      </c>
      <c r="I1442" s="59">
        <v>10.1</v>
      </c>
      <c r="J1442" s="60" t="s">
        <v>247</v>
      </c>
      <c r="K1442" s="63" t="str">
        <f t="shared" si="154"/>
        <v>XBF-AD04CInput</v>
      </c>
      <c r="L1442" s="59">
        <f t="shared" si="152"/>
        <v>31</v>
      </c>
      <c r="M1442" s="59">
        <f t="shared" si="153"/>
        <v>30</v>
      </c>
      <c r="N1442" s="59">
        <f t="shared" si="151"/>
        <v>1</v>
      </c>
      <c r="O1442" s="60">
        <f t="shared" si="150"/>
        <v>1442</v>
      </c>
      <c r="P1442" s="65"/>
    </row>
    <row r="1443" spans="3:22">
      <c r="C1443" s="84" t="s">
        <v>98</v>
      </c>
      <c r="D1443" s="75"/>
      <c r="E1443" s="75"/>
      <c r="F1443" s="81" t="s">
        <v>151</v>
      </c>
      <c r="G1443" s="55" t="s">
        <v>2359</v>
      </c>
      <c r="H1443" s="55" t="s">
        <v>124</v>
      </c>
      <c r="I1443" s="59">
        <v>10.199999999999999</v>
      </c>
      <c r="J1443" s="60" t="s">
        <v>249</v>
      </c>
      <c r="K1443" s="63" t="str">
        <f t="shared" si="154"/>
        <v>XBF-AD04CInput</v>
      </c>
      <c r="L1443" s="59">
        <f t="shared" si="152"/>
        <v>31</v>
      </c>
      <c r="M1443" s="59">
        <f t="shared" si="153"/>
        <v>30</v>
      </c>
      <c r="N1443" s="59">
        <f t="shared" si="151"/>
        <v>1</v>
      </c>
      <c r="O1443" s="60">
        <f t="shared" si="150"/>
        <v>1443</v>
      </c>
      <c r="P1443" s="65"/>
    </row>
    <row r="1444" spans="3:22">
      <c r="C1444" s="84" t="s">
        <v>98</v>
      </c>
      <c r="D1444" s="75"/>
      <c r="E1444" s="75"/>
      <c r="F1444" s="81" t="s">
        <v>151</v>
      </c>
      <c r="G1444" s="55" t="s">
        <v>2360</v>
      </c>
      <c r="H1444" s="55" t="s">
        <v>124</v>
      </c>
      <c r="I1444" s="59">
        <v>10.3</v>
      </c>
      <c r="J1444" s="60" t="s">
        <v>251</v>
      </c>
      <c r="K1444" s="63" t="str">
        <f t="shared" si="154"/>
        <v>XBF-AD04CInput</v>
      </c>
      <c r="L1444" s="59">
        <f t="shared" si="152"/>
        <v>31</v>
      </c>
      <c r="M1444" s="59">
        <f t="shared" si="153"/>
        <v>30</v>
      </c>
      <c r="N1444" s="59">
        <f t="shared" si="151"/>
        <v>1</v>
      </c>
      <c r="O1444" s="60">
        <f t="shared" si="150"/>
        <v>1444</v>
      </c>
      <c r="P1444" s="65"/>
    </row>
    <row r="1445" spans="3:22">
      <c r="C1445" s="84" t="s">
        <v>98</v>
      </c>
      <c r="D1445" s="75"/>
      <c r="E1445" s="75"/>
      <c r="F1445" s="81" t="s">
        <v>151</v>
      </c>
      <c r="G1445" s="55" t="s">
        <v>2361</v>
      </c>
      <c r="H1445" s="55" t="s">
        <v>124</v>
      </c>
      <c r="I1445" s="59">
        <v>11</v>
      </c>
      <c r="J1445" s="60" t="s">
        <v>2362</v>
      </c>
      <c r="K1445" s="63" t="str">
        <f t="shared" si="154"/>
        <v>XBF-AD04CInput</v>
      </c>
      <c r="L1445" s="59">
        <f t="shared" si="152"/>
        <v>31</v>
      </c>
      <c r="M1445" s="59">
        <f t="shared" si="153"/>
        <v>30</v>
      </c>
      <c r="N1445" s="59">
        <f t="shared" si="151"/>
        <v>1</v>
      </c>
      <c r="O1445" s="60">
        <f t="shared" si="150"/>
        <v>1445</v>
      </c>
      <c r="P1445" s="65"/>
    </row>
    <row r="1446" spans="3:22">
      <c r="C1446" s="84" t="s">
        <v>98</v>
      </c>
      <c r="D1446" s="75"/>
      <c r="E1446" s="75"/>
      <c r="F1446" s="81" t="s">
        <v>151</v>
      </c>
      <c r="G1446" s="55" t="s">
        <v>2363</v>
      </c>
      <c r="H1446" s="55" t="s">
        <v>124</v>
      </c>
      <c r="I1446" s="59">
        <v>11.1</v>
      </c>
      <c r="J1446" s="60" t="s">
        <v>2364</v>
      </c>
      <c r="K1446" s="63" t="str">
        <f t="shared" si="154"/>
        <v>XBF-AD04CInput</v>
      </c>
      <c r="L1446" s="59">
        <f t="shared" si="152"/>
        <v>31</v>
      </c>
      <c r="M1446" s="59">
        <f t="shared" si="153"/>
        <v>30</v>
      </c>
      <c r="N1446" s="59">
        <f t="shared" si="151"/>
        <v>1</v>
      </c>
      <c r="O1446" s="60">
        <f t="shared" si="150"/>
        <v>1446</v>
      </c>
      <c r="P1446" s="65"/>
    </row>
    <row r="1447" spans="3:22">
      <c r="C1447" s="84" t="s">
        <v>98</v>
      </c>
      <c r="D1447" s="75"/>
      <c r="E1447" s="75"/>
      <c r="F1447" s="81" t="s">
        <v>151</v>
      </c>
      <c r="G1447" s="55" t="s">
        <v>2365</v>
      </c>
      <c r="H1447" s="55" t="s">
        <v>124</v>
      </c>
      <c r="I1447" s="59">
        <v>11.2</v>
      </c>
      <c r="J1447" s="60" t="s">
        <v>2366</v>
      </c>
      <c r="K1447" s="63" t="str">
        <f t="shared" si="154"/>
        <v>XBF-AD04CInput</v>
      </c>
      <c r="L1447" s="59">
        <f t="shared" si="152"/>
        <v>31</v>
      </c>
      <c r="M1447" s="59">
        <f t="shared" si="153"/>
        <v>30</v>
      </c>
      <c r="N1447" s="59">
        <f t="shared" si="151"/>
        <v>1</v>
      </c>
      <c r="O1447" s="60">
        <f t="shared" si="150"/>
        <v>1447</v>
      </c>
      <c r="P1447" s="65"/>
    </row>
    <row r="1448" spans="3:22">
      <c r="C1448" s="84" t="s">
        <v>98</v>
      </c>
      <c r="D1448" s="75"/>
      <c r="E1448" s="75"/>
      <c r="F1448" s="81" t="s">
        <v>151</v>
      </c>
      <c r="G1448" s="55" t="s">
        <v>2367</v>
      </c>
      <c r="H1448" s="55" t="s">
        <v>124</v>
      </c>
      <c r="I1448" s="59">
        <v>11.3</v>
      </c>
      <c r="J1448" s="60" t="s">
        <v>2368</v>
      </c>
      <c r="K1448" s="63" t="str">
        <f t="shared" si="154"/>
        <v>XBF-AD04CInput</v>
      </c>
      <c r="L1448" s="59">
        <f t="shared" si="152"/>
        <v>31</v>
      </c>
      <c r="M1448" s="59">
        <f t="shared" si="153"/>
        <v>30</v>
      </c>
      <c r="N1448" s="59">
        <f t="shared" si="151"/>
        <v>1</v>
      </c>
      <c r="O1448" s="60">
        <f t="shared" si="150"/>
        <v>1448</v>
      </c>
      <c r="P1448" s="65"/>
    </row>
    <row r="1449" spans="3:22">
      <c r="C1449" s="84" t="s">
        <v>98</v>
      </c>
      <c r="D1449" s="75"/>
      <c r="E1449" s="75"/>
      <c r="F1449" s="81" t="s">
        <v>151</v>
      </c>
      <c r="G1449" s="55" t="s">
        <v>2369</v>
      </c>
      <c r="H1449" s="55" t="s">
        <v>124</v>
      </c>
      <c r="I1449" s="59">
        <v>12</v>
      </c>
      <c r="J1449" s="60" t="s">
        <v>2370</v>
      </c>
      <c r="K1449" s="63" t="str">
        <f t="shared" si="154"/>
        <v>XBF-AD04CInput</v>
      </c>
      <c r="L1449" s="59">
        <f t="shared" si="152"/>
        <v>31</v>
      </c>
      <c r="M1449" s="59">
        <f t="shared" si="153"/>
        <v>30</v>
      </c>
      <c r="N1449" s="59">
        <f t="shared" si="151"/>
        <v>1</v>
      </c>
      <c r="O1449" s="60">
        <f t="shared" si="150"/>
        <v>1449</v>
      </c>
      <c r="P1449" s="65"/>
    </row>
    <row r="1450" spans="3:22">
      <c r="C1450" s="84" t="s">
        <v>98</v>
      </c>
      <c r="D1450" s="75"/>
      <c r="E1450" s="75"/>
      <c r="F1450" s="81" t="s">
        <v>151</v>
      </c>
      <c r="G1450" s="55" t="s">
        <v>2371</v>
      </c>
      <c r="H1450" s="55" t="s">
        <v>124</v>
      </c>
      <c r="I1450" s="59">
        <v>12.1</v>
      </c>
      <c r="J1450" s="60" t="s">
        <v>2372</v>
      </c>
      <c r="K1450" s="63" t="str">
        <f t="shared" si="154"/>
        <v>XBF-AD04CInput</v>
      </c>
      <c r="L1450" s="59">
        <f t="shared" si="152"/>
        <v>31</v>
      </c>
      <c r="M1450" s="59">
        <f t="shared" si="153"/>
        <v>30</v>
      </c>
      <c r="N1450" s="59">
        <f t="shared" si="151"/>
        <v>1</v>
      </c>
      <c r="O1450" s="60">
        <f t="shared" si="150"/>
        <v>1450</v>
      </c>
      <c r="P1450" s="65"/>
    </row>
    <row r="1451" spans="3:22">
      <c r="C1451" s="84" t="s">
        <v>98</v>
      </c>
      <c r="D1451" s="75"/>
      <c r="E1451" s="75"/>
      <c r="F1451" s="81" t="s">
        <v>151</v>
      </c>
      <c r="G1451" s="55" t="s">
        <v>2373</v>
      </c>
      <c r="H1451" s="55" t="s">
        <v>124</v>
      </c>
      <c r="I1451" s="59">
        <v>12.2</v>
      </c>
      <c r="J1451" s="60" t="s">
        <v>2374</v>
      </c>
      <c r="K1451" s="63" t="str">
        <f t="shared" si="154"/>
        <v>XBF-AD04CInput</v>
      </c>
      <c r="L1451" s="59">
        <f t="shared" si="152"/>
        <v>31</v>
      </c>
      <c r="M1451" s="59">
        <f t="shared" si="153"/>
        <v>30</v>
      </c>
      <c r="N1451" s="59">
        <f t="shared" si="151"/>
        <v>1</v>
      </c>
      <c r="O1451" s="60">
        <f t="shared" si="150"/>
        <v>1451</v>
      </c>
      <c r="P1451" s="65"/>
    </row>
    <row r="1452" spans="3:22">
      <c r="C1452" s="84" t="s">
        <v>98</v>
      </c>
      <c r="D1452" s="75"/>
      <c r="E1452" s="75"/>
      <c r="F1452" s="81" t="s">
        <v>151</v>
      </c>
      <c r="G1452" s="55" t="s">
        <v>2375</v>
      </c>
      <c r="H1452" s="55" t="s">
        <v>124</v>
      </c>
      <c r="I1452" s="59">
        <v>12.3</v>
      </c>
      <c r="J1452" s="60" t="s">
        <v>2376</v>
      </c>
      <c r="K1452" s="63" t="str">
        <f t="shared" si="154"/>
        <v>XBF-AD04CInput</v>
      </c>
      <c r="L1452" s="59">
        <f t="shared" si="152"/>
        <v>31</v>
      </c>
      <c r="M1452" s="59">
        <f t="shared" si="153"/>
        <v>30</v>
      </c>
      <c r="N1452" s="59">
        <f t="shared" si="151"/>
        <v>1</v>
      </c>
      <c r="O1452" s="60">
        <f t="shared" si="150"/>
        <v>1452</v>
      </c>
      <c r="P1452" s="65"/>
    </row>
    <row r="1453" spans="3:22">
      <c r="C1453" s="84" t="s">
        <v>98</v>
      </c>
      <c r="D1453" s="75"/>
      <c r="E1453" s="75"/>
      <c r="F1453" s="81" t="s">
        <v>166</v>
      </c>
      <c r="G1453" s="55" t="s">
        <v>2377</v>
      </c>
      <c r="H1453" s="55" t="s">
        <v>124</v>
      </c>
      <c r="I1453" s="59">
        <v>0</v>
      </c>
      <c r="J1453" s="60" t="s">
        <v>414</v>
      </c>
      <c r="K1453" s="63"/>
      <c r="L1453" s="59"/>
      <c r="M1453" s="59"/>
      <c r="N1453" s="59"/>
      <c r="O1453" s="60">
        <f t="shared" si="150"/>
        <v>1453</v>
      </c>
      <c r="P1453" s="65"/>
    </row>
    <row r="1454" spans="3:22">
      <c r="C1454" s="84" t="s">
        <v>99</v>
      </c>
      <c r="D1454" s="76">
        <v>4</v>
      </c>
      <c r="E1454" s="76">
        <v>10</v>
      </c>
      <c r="F1454" s="81" t="s">
        <v>151</v>
      </c>
      <c r="G1454" s="55" t="s">
        <v>2507</v>
      </c>
      <c r="H1454" s="55" t="s">
        <v>124</v>
      </c>
      <c r="I1454" s="59">
        <v>0</v>
      </c>
      <c r="J1454" s="60" t="s">
        <v>667</v>
      </c>
      <c r="K1454" s="63" t="str">
        <f t="shared" si="154"/>
        <v>XBF-DV04AInput</v>
      </c>
      <c r="L1454" s="59">
        <f t="shared" ref="L1454:L1462" si="155">COUNTIF($C$2:$C$2062,C1454)</f>
        <v>17</v>
      </c>
      <c r="M1454" s="59">
        <f t="shared" ref="M1454:M1462" si="156">COUNTIF($K$2:$K$2062,K1454)</f>
        <v>9</v>
      </c>
      <c r="N1454" s="59">
        <f t="shared" si="151"/>
        <v>8</v>
      </c>
      <c r="O1454" s="60">
        <f t="shared" si="150"/>
        <v>1454</v>
      </c>
      <c r="P1454" s="65" t="s">
        <v>3214</v>
      </c>
      <c r="Q1454">
        <f>O1454</f>
        <v>1454</v>
      </c>
      <c r="R1454" t="s">
        <v>3215</v>
      </c>
      <c r="S1454">
        <v>1471</v>
      </c>
      <c r="T1454" t="str">
        <f>P1454&amp;Q1454&amp;R1454&amp;S1454</f>
        <v>All data map'!$F$1454:$J$1471</v>
      </c>
      <c r="V1454" t="s">
        <v>3280</v>
      </c>
    </row>
    <row r="1455" spans="3:22">
      <c r="C1455" s="84" t="s">
        <v>99</v>
      </c>
      <c r="D1455" s="75"/>
      <c r="E1455" s="75"/>
      <c r="F1455" s="81" t="s">
        <v>151</v>
      </c>
      <c r="G1455" s="55" t="s">
        <v>2508</v>
      </c>
      <c r="H1455" s="55" t="s">
        <v>124</v>
      </c>
      <c r="I1455" s="59">
        <v>0.1</v>
      </c>
      <c r="J1455" s="60" t="s">
        <v>669</v>
      </c>
      <c r="K1455" s="63" t="str">
        <f t="shared" si="154"/>
        <v>XBF-DV04AInput</v>
      </c>
      <c r="L1455" s="59">
        <f t="shared" si="155"/>
        <v>17</v>
      </c>
      <c r="M1455" s="59">
        <f t="shared" si="156"/>
        <v>9</v>
      </c>
      <c r="N1455" s="59">
        <f t="shared" si="151"/>
        <v>8</v>
      </c>
      <c r="O1455" s="60">
        <f t="shared" si="150"/>
        <v>1455</v>
      </c>
      <c r="P1455" s="65"/>
    </row>
    <row r="1456" spans="3:22">
      <c r="C1456" s="84" t="s">
        <v>99</v>
      </c>
      <c r="D1456" s="75"/>
      <c r="E1456" s="75"/>
      <c r="F1456" s="81" t="s">
        <v>151</v>
      </c>
      <c r="G1456" s="55" t="s">
        <v>2509</v>
      </c>
      <c r="H1456" s="55" t="s">
        <v>124</v>
      </c>
      <c r="I1456" s="59">
        <v>0.2</v>
      </c>
      <c r="J1456" s="60" t="s">
        <v>671</v>
      </c>
      <c r="K1456" s="63" t="str">
        <f t="shared" si="154"/>
        <v>XBF-DV04AInput</v>
      </c>
      <c r="L1456" s="59">
        <f t="shared" si="155"/>
        <v>17</v>
      </c>
      <c r="M1456" s="59">
        <f t="shared" si="156"/>
        <v>9</v>
      </c>
      <c r="N1456" s="59">
        <f t="shared" si="151"/>
        <v>8</v>
      </c>
      <c r="O1456" s="60">
        <f t="shared" si="150"/>
        <v>1456</v>
      </c>
      <c r="P1456" s="65"/>
    </row>
    <row r="1457" spans="3:22">
      <c r="C1457" s="84" t="s">
        <v>99</v>
      </c>
      <c r="D1457" s="75"/>
      <c r="E1457" s="75"/>
      <c r="F1457" s="81" t="s">
        <v>151</v>
      </c>
      <c r="G1457" s="55" t="s">
        <v>2510</v>
      </c>
      <c r="H1457" s="55" t="s">
        <v>124</v>
      </c>
      <c r="I1457" s="59">
        <v>0.3</v>
      </c>
      <c r="J1457" s="60" t="s">
        <v>673</v>
      </c>
      <c r="K1457" s="63" t="str">
        <f t="shared" si="154"/>
        <v>XBF-DV04AInput</v>
      </c>
      <c r="L1457" s="59">
        <f t="shared" si="155"/>
        <v>17</v>
      </c>
      <c r="M1457" s="59">
        <f t="shared" si="156"/>
        <v>9</v>
      </c>
      <c r="N1457" s="59">
        <f t="shared" si="151"/>
        <v>8</v>
      </c>
      <c r="O1457" s="60">
        <f t="shared" si="150"/>
        <v>1457</v>
      </c>
      <c r="P1457" s="65"/>
    </row>
    <row r="1458" spans="3:22">
      <c r="C1458" s="84" t="s">
        <v>99</v>
      </c>
      <c r="D1458" s="75"/>
      <c r="E1458" s="75"/>
      <c r="F1458" s="81" t="s">
        <v>151</v>
      </c>
      <c r="G1458" s="55" t="s">
        <v>2511</v>
      </c>
      <c r="H1458" s="55" t="s">
        <v>124</v>
      </c>
      <c r="I1458" s="59" t="s">
        <v>126</v>
      </c>
      <c r="J1458" s="60" t="s">
        <v>2478</v>
      </c>
      <c r="K1458" s="63" t="str">
        <f t="shared" si="154"/>
        <v>XBF-DV04AInput</v>
      </c>
      <c r="L1458" s="59">
        <f t="shared" si="155"/>
        <v>17</v>
      </c>
      <c r="M1458" s="59">
        <f t="shared" si="156"/>
        <v>9</v>
      </c>
      <c r="N1458" s="59">
        <f t="shared" si="151"/>
        <v>8</v>
      </c>
      <c r="O1458" s="60">
        <f t="shared" si="150"/>
        <v>1458</v>
      </c>
      <c r="P1458" s="65"/>
    </row>
    <row r="1459" spans="3:22">
      <c r="C1459" s="84" t="s">
        <v>99</v>
      </c>
      <c r="D1459" s="75"/>
      <c r="E1459" s="75"/>
      <c r="F1459" s="81" t="s">
        <v>151</v>
      </c>
      <c r="G1459" s="55" t="s">
        <v>2512</v>
      </c>
      <c r="H1459" s="55" t="s">
        <v>124</v>
      </c>
      <c r="I1459" s="59">
        <v>1</v>
      </c>
      <c r="J1459" s="60" t="s">
        <v>677</v>
      </c>
      <c r="K1459" s="63" t="str">
        <f t="shared" si="154"/>
        <v>XBF-DV04AInput</v>
      </c>
      <c r="L1459" s="59">
        <f t="shared" si="155"/>
        <v>17</v>
      </c>
      <c r="M1459" s="59">
        <f t="shared" si="156"/>
        <v>9</v>
      </c>
      <c r="N1459" s="59">
        <f t="shared" si="151"/>
        <v>8</v>
      </c>
      <c r="O1459" s="60">
        <f t="shared" si="150"/>
        <v>1459</v>
      </c>
      <c r="P1459" s="65"/>
    </row>
    <row r="1460" spans="3:22">
      <c r="C1460" s="84" t="s">
        <v>99</v>
      </c>
      <c r="D1460" s="75"/>
      <c r="E1460" s="75"/>
      <c r="F1460" s="81" t="s">
        <v>151</v>
      </c>
      <c r="G1460" s="55" t="s">
        <v>2513</v>
      </c>
      <c r="H1460" s="55" t="s">
        <v>124</v>
      </c>
      <c r="I1460" s="59">
        <v>1.1000000000000001</v>
      </c>
      <c r="J1460" s="60" t="s">
        <v>679</v>
      </c>
      <c r="K1460" s="63" t="str">
        <f t="shared" si="154"/>
        <v>XBF-DV04AInput</v>
      </c>
      <c r="L1460" s="59">
        <f t="shared" si="155"/>
        <v>17</v>
      </c>
      <c r="M1460" s="59">
        <f t="shared" si="156"/>
        <v>9</v>
      </c>
      <c r="N1460" s="59">
        <f t="shared" si="151"/>
        <v>8</v>
      </c>
      <c r="O1460" s="60">
        <f t="shared" si="150"/>
        <v>1460</v>
      </c>
      <c r="P1460" s="65"/>
    </row>
    <row r="1461" spans="3:22">
      <c r="C1461" s="84" t="s">
        <v>99</v>
      </c>
      <c r="D1461" s="75"/>
      <c r="E1461" s="75"/>
      <c r="F1461" s="81" t="s">
        <v>151</v>
      </c>
      <c r="G1461" s="55" t="s">
        <v>2514</v>
      </c>
      <c r="H1461" s="55" t="s">
        <v>124</v>
      </c>
      <c r="I1461" s="59">
        <v>1.2</v>
      </c>
      <c r="J1461" s="60" t="s">
        <v>681</v>
      </c>
      <c r="K1461" s="63" t="str">
        <f t="shared" si="154"/>
        <v>XBF-DV04AInput</v>
      </c>
      <c r="L1461" s="59">
        <f t="shared" si="155"/>
        <v>17</v>
      </c>
      <c r="M1461" s="59">
        <f t="shared" si="156"/>
        <v>9</v>
      </c>
      <c r="N1461" s="59">
        <f t="shared" si="151"/>
        <v>8</v>
      </c>
      <c r="O1461" s="60">
        <f t="shared" si="150"/>
        <v>1461</v>
      </c>
      <c r="P1461" s="65"/>
    </row>
    <row r="1462" spans="3:22">
      <c r="C1462" s="84" t="s">
        <v>99</v>
      </c>
      <c r="D1462" s="75"/>
      <c r="E1462" s="75"/>
      <c r="F1462" s="81" t="s">
        <v>151</v>
      </c>
      <c r="G1462" s="55" t="s">
        <v>2515</v>
      </c>
      <c r="H1462" s="55" t="s">
        <v>124</v>
      </c>
      <c r="I1462" s="59">
        <v>1.3</v>
      </c>
      <c r="J1462" s="60" t="s">
        <v>683</v>
      </c>
      <c r="K1462" s="63" t="str">
        <f t="shared" si="154"/>
        <v>XBF-DV04AInput</v>
      </c>
      <c r="L1462" s="59">
        <f t="shared" si="155"/>
        <v>17</v>
      </c>
      <c r="M1462" s="59">
        <f t="shared" si="156"/>
        <v>9</v>
      </c>
      <c r="N1462" s="59">
        <f t="shared" si="151"/>
        <v>8</v>
      </c>
      <c r="O1462" s="60">
        <f t="shared" si="150"/>
        <v>1462</v>
      </c>
      <c r="P1462" s="65"/>
    </row>
    <row r="1463" spans="3:22">
      <c r="C1463" s="84" t="s">
        <v>99</v>
      </c>
      <c r="D1463" s="75"/>
      <c r="E1463" s="75"/>
      <c r="F1463" s="81" t="s">
        <v>166</v>
      </c>
      <c r="G1463" s="55" t="s">
        <v>2516</v>
      </c>
      <c r="H1463" s="55" t="s">
        <v>124</v>
      </c>
      <c r="I1463" s="59">
        <v>0</v>
      </c>
      <c r="J1463" s="60" t="s">
        <v>685</v>
      </c>
      <c r="K1463" s="63"/>
      <c r="L1463" s="59"/>
      <c r="M1463" s="59"/>
      <c r="N1463" s="59"/>
      <c r="O1463" s="60">
        <f t="shared" si="150"/>
        <v>1463</v>
      </c>
      <c r="P1463" s="65"/>
    </row>
    <row r="1464" spans="3:22">
      <c r="C1464" s="84" t="s">
        <v>99</v>
      </c>
      <c r="D1464" s="75"/>
      <c r="E1464" s="75"/>
      <c r="F1464" s="81" t="s">
        <v>166</v>
      </c>
      <c r="G1464" s="55" t="s">
        <v>2517</v>
      </c>
      <c r="H1464" s="55" t="s">
        <v>124</v>
      </c>
      <c r="I1464" s="59">
        <v>0.1</v>
      </c>
      <c r="J1464" s="60" t="s">
        <v>687</v>
      </c>
      <c r="K1464" s="63"/>
      <c r="L1464" s="59"/>
      <c r="M1464" s="59"/>
      <c r="N1464" s="59"/>
      <c r="O1464" s="60">
        <f t="shared" si="150"/>
        <v>1464</v>
      </c>
      <c r="P1464" s="65"/>
    </row>
    <row r="1465" spans="3:22">
      <c r="C1465" s="84" t="s">
        <v>99</v>
      </c>
      <c r="D1465" s="75"/>
      <c r="E1465" s="75"/>
      <c r="F1465" s="81" t="s">
        <v>166</v>
      </c>
      <c r="G1465" s="55" t="s">
        <v>2518</v>
      </c>
      <c r="H1465" s="55" t="s">
        <v>124</v>
      </c>
      <c r="I1465" s="59">
        <v>0.2</v>
      </c>
      <c r="J1465" s="60" t="s">
        <v>689</v>
      </c>
      <c r="K1465" s="63"/>
      <c r="L1465" s="59"/>
      <c r="M1465" s="59"/>
      <c r="N1465" s="59"/>
      <c r="O1465" s="60">
        <f t="shared" si="150"/>
        <v>1465</v>
      </c>
      <c r="P1465" s="65"/>
    </row>
    <row r="1466" spans="3:22">
      <c r="C1466" s="84" t="s">
        <v>99</v>
      </c>
      <c r="D1466" s="75"/>
      <c r="E1466" s="75"/>
      <c r="F1466" s="81" t="s">
        <v>166</v>
      </c>
      <c r="G1466" s="55" t="s">
        <v>2519</v>
      </c>
      <c r="H1466" s="55" t="s">
        <v>124</v>
      </c>
      <c r="I1466" s="59">
        <v>0.3</v>
      </c>
      <c r="J1466" s="60" t="s">
        <v>691</v>
      </c>
      <c r="K1466" s="63"/>
      <c r="L1466" s="59"/>
      <c r="M1466" s="59"/>
      <c r="N1466" s="59"/>
      <c r="O1466" s="60">
        <f t="shared" si="150"/>
        <v>1466</v>
      </c>
      <c r="P1466" s="65"/>
    </row>
    <row r="1467" spans="3:22">
      <c r="C1467" s="84" t="s">
        <v>99</v>
      </c>
      <c r="D1467" s="75"/>
      <c r="E1467" s="75"/>
      <c r="F1467" s="81" t="s">
        <v>166</v>
      </c>
      <c r="G1467" s="55" t="s">
        <v>2520</v>
      </c>
      <c r="H1467" s="55" t="s">
        <v>139</v>
      </c>
      <c r="I1467" s="59">
        <v>1</v>
      </c>
      <c r="J1467" s="60" t="s">
        <v>693</v>
      </c>
      <c r="K1467" s="63"/>
      <c r="L1467" s="59"/>
      <c r="M1467" s="59"/>
      <c r="N1467" s="59"/>
      <c r="O1467" s="60">
        <f t="shared" si="150"/>
        <v>1467</v>
      </c>
      <c r="P1467" s="65"/>
    </row>
    <row r="1468" spans="3:22">
      <c r="C1468" s="84" t="s">
        <v>99</v>
      </c>
      <c r="D1468" s="75"/>
      <c r="E1468" s="75"/>
      <c r="F1468" s="81" t="s">
        <v>166</v>
      </c>
      <c r="G1468" s="55" t="s">
        <v>2521</v>
      </c>
      <c r="H1468" s="55" t="s">
        <v>139</v>
      </c>
      <c r="I1468" s="59">
        <v>2</v>
      </c>
      <c r="J1468" s="60" t="s">
        <v>695</v>
      </c>
      <c r="K1468" s="63"/>
      <c r="L1468" s="59"/>
      <c r="M1468" s="59"/>
      <c r="N1468" s="59"/>
      <c r="O1468" s="60">
        <f t="shared" si="150"/>
        <v>1468</v>
      </c>
      <c r="P1468" s="65"/>
    </row>
    <row r="1469" spans="3:22">
      <c r="C1469" s="84" t="s">
        <v>99</v>
      </c>
      <c r="D1469" s="75"/>
      <c r="E1469" s="75"/>
      <c r="F1469" s="81" t="s">
        <v>166</v>
      </c>
      <c r="G1469" s="55" t="s">
        <v>2522</v>
      </c>
      <c r="H1469" s="55" t="s">
        <v>139</v>
      </c>
      <c r="I1469" s="59">
        <v>3</v>
      </c>
      <c r="J1469" s="60" t="s">
        <v>697</v>
      </c>
      <c r="K1469" s="63"/>
      <c r="L1469" s="59"/>
      <c r="M1469" s="59"/>
      <c r="N1469" s="59"/>
      <c r="O1469" s="60">
        <f t="shared" si="150"/>
        <v>1469</v>
      </c>
      <c r="P1469" s="65"/>
    </row>
    <row r="1470" spans="3:22">
      <c r="C1470" s="84" t="s">
        <v>99</v>
      </c>
      <c r="D1470" s="75"/>
      <c r="E1470" s="75"/>
      <c r="F1470" s="81" t="s">
        <v>166</v>
      </c>
      <c r="G1470" s="55" t="s">
        <v>2523</v>
      </c>
      <c r="H1470" s="55" t="s">
        <v>139</v>
      </c>
      <c r="I1470" s="59">
        <v>4</v>
      </c>
      <c r="J1470" s="60" t="s">
        <v>699</v>
      </c>
      <c r="K1470" s="63"/>
      <c r="L1470" s="59"/>
      <c r="M1470" s="59"/>
      <c r="N1470" s="59"/>
      <c r="O1470" s="60">
        <f t="shared" si="150"/>
        <v>1470</v>
      </c>
      <c r="P1470" s="65"/>
    </row>
    <row r="1471" spans="3:22">
      <c r="C1471" s="84" t="s">
        <v>100</v>
      </c>
      <c r="D1471" s="76">
        <v>4</v>
      </c>
      <c r="E1471" s="76">
        <v>10</v>
      </c>
      <c r="F1471" s="81" t="s">
        <v>151</v>
      </c>
      <c r="G1471" s="55" t="s">
        <v>2439</v>
      </c>
      <c r="H1471" s="55" t="s">
        <v>124</v>
      </c>
      <c r="I1471" s="59">
        <v>0</v>
      </c>
      <c r="J1471" s="60" t="s">
        <v>667</v>
      </c>
      <c r="K1471" s="63" t="str">
        <f t="shared" si="154"/>
        <v>XBF-DC04AInput</v>
      </c>
      <c r="L1471" s="59">
        <f t="shared" ref="L1471:L1479" si="157">COUNTIF($C$2:$C$2062,C1471)</f>
        <v>17</v>
      </c>
      <c r="M1471" s="59">
        <f t="shared" ref="M1471:M1479" si="158">COUNTIF($K$2:$K$2062,K1471)</f>
        <v>9</v>
      </c>
      <c r="N1471" s="59">
        <f t="shared" si="151"/>
        <v>8</v>
      </c>
      <c r="O1471" s="60">
        <f t="shared" si="150"/>
        <v>1471</v>
      </c>
      <c r="P1471" s="65" t="s">
        <v>3214</v>
      </c>
      <c r="Q1471">
        <f>O1471</f>
        <v>1471</v>
      </c>
      <c r="R1471" t="s">
        <v>3215</v>
      </c>
      <c r="S1471">
        <v>1488</v>
      </c>
      <c r="T1471" t="str">
        <f>P1471&amp;Q1471&amp;R1471&amp;S1471</f>
        <v>All data map'!$F$1471:$J$1488</v>
      </c>
      <c r="V1471" t="s">
        <v>3281</v>
      </c>
    </row>
    <row r="1472" spans="3:22">
      <c r="C1472" s="84" t="s">
        <v>100</v>
      </c>
      <c r="D1472" s="75"/>
      <c r="E1472" s="75"/>
      <c r="F1472" s="81" t="s">
        <v>151</v>
      </c>
      <c r="G1472" s="55" t="s">
        <v>2440</v>
      </c>
      <c r="H1472" s="55" t="s">
        <v>124</v>
      </c>
      <c r="I1472" s="59">
        <v>0.1</v>
      </c>
      <c r="J1472" s="60" t="s">
        <v>669</v>
      </c>
      <c r="K1472" s="63" t="str">
        <f t="shared" si="154"/>
        <v>XBF-DC04AInput</v>
      </c>
      <c r="L1472" s="59">
        <f t="shared" si="157"/>
        <v>17</v>
      </c>
      <c r="M1472" s="59">
        <f t="shared" si="158"/>
        <v>9</v>
      </c>
      <c r="N1472" s="59">
        <f t="shared" si="151"/>
        <v>8</v>
      </c>
      <c r="O1472" s="60">
        <f t="shared" si="150"/>
        <v>1472</v>
      </c>
      <c r="P1472" s="65"/>
    </row>
    <row r="1473" spans="3:22">
      <c r="C1473" s="84" t="s">
        <v>100</v>
      </c>
      <c r="D1473" s="75"/>
      <c r="E1473" s="75"/>
      <c r="F1473" s="81" t="s">
        <v>151</v>
      </c>
      <c r="G1473" s="55" t="s">
        <v>2441</v>
      </c>
      <c r="H1473" s="55" t="s">
        <v>124</v>
      </c>
      <c r="I1473" s="59">
        <v>0.2</v>
      </c>
      <c r="J1473" s="60" t="s">
        <v>671</v>
      </c>
      <c r="K1473" s="63" t="str">
        <f t="shared" si="154"/>
        <v>XBF-DC04AInput</v>
      </c>
      <c r="L1473" s="59">
        <f t="shared" si="157"/>
        <v>17</v>
      </c>
      <c r="M1473" s="59">
        <f t="shared" si="158"/>
        <v>9</v>
      </c>
      <c r="N1473" s="59">
        <f t="shared" si="151"/>
        <v>8</v>
      </c>
      <c r="O1473" s="60">
        <f t="shared" si="150"/>
        <v>1473</v>
      </c>
      <c r="P1473" s="65"/>
    </row>
    <row r="1474" spans="3:22">
      <c r="C1474" s="84" t="s">
        <v>100</v>
      </c>
      <c r="D1474" s="75"/>
      <c r="E1474" s="75"/>
      <c r="F1474" s="81" t="s">
        <v>151</v>
      </c>
      <c r="G1474" s="55" t="s">
        <v>2442</v>
      </c>
      <c r="H1474" s="55" t="s">
        <v>124</v>
      </c>
      <c r="I1474" s="59">
        <v>0.3</v>
      </c>
      <c r="J1474" s="60" t="s">
        <v>673</v>
      </c>
      <c r="K1474" s="63" t="str">
        <f t="shared" si="154"/>
        <v>XBF-DC04AInput</v>
      </c>
      <c r="L1474" s="59">
        <f t="shared" si="157"/>
        <v>17</v>
      </c>
      <c r="M1474" s="59">
        <f t="shared" si="158"/>
        <v>9</v>
      </c>
      <c r="N1474" s="59">
        <f t="shared" si="151"/>
        <v>8</v>
      </c>
      <c r="O1474" s="60">
        <f t="shared" ref="O1474:O1537" si="159">ROW(C1474)</f>
        <v>1474</v>
      </c>
      <c r="P1474" s="65"/>
    </row>
    <row r="1475" spans="3:22">
      <c r="C1475" s="84" t="s">
        <v>100</v>
      </c>
      <c r="D1475" s="75"/>
      <c r="E1475" s="75"/>
      <c r="F1475" s="81" t="s">
        <v>151</v>
      </c>
      <c r="G1475" s="55" t="s">
        <v>2443</v>
      </c>
      <c r="H1475" s="55" t="s">
        <v>124</v>
      </c>
      <c r="I1475" s="59" t="s">
        <v>126</v>
      </c>
      <c r="J1475" s="60" t="s">
        <v>675</v>
      </c>
      <c r="K1475" s="63" t="str">
        <f t="shared" si="154"/>
        <v>XBF-DC04AInput</v>
      </c>
      <c r="L1475" s="59">
        <f t="shared" si="157"/>
        <v>17</v>
      </c>
      <c r="M1475" s="59">
        <f t="shared" si="158"/>
        <v>9</v>
      </c>
      <c r="N1475" s="59">
        <f t="shared" ref="N1475:N1538" si="160">L1475-M1475</f>
        <v>8</v>
      </c>
      <c r="O1475" s="60">
        <f t="shared" si="159"/>
        <v>1475</v>
      </c>
      <c r="P1475" s="65"/>
    </row>
    <row r="1476" spans="3:22">
      <c r="C1476" s="84" t="s">
        <v>100</v>
      </c>
      <c r="D1476" s="75"/>
      <c r="E1476" s="75"/>
      <c r="F1476" s="81" t="s">
        <v>151</v>
      </c>
      <c r="G1476" s="55" t="s">
        <v>2444</v>
      </c>
      <c r="H1476" s="55" t="s">
        <v>124</v>
      </c>
      <c r="I1476" s="59">
        <v>1</v>
      </c>
      <c r="J1476" s="60" t="s">
        <v>677</v>
      </c>
      <c r="K1476" s="63" t="str">
        <f t="shared" si="154"/>
        <v>XBF-DC04AInput</v>
      </c>
      <c r="L1476" s="59">
        <f t="shared" si="157"/>
        <v>17</v>
      </c>
      <c r="M1476" s="59">
        <f t="shared" si="158"/>
        <v>9</v>
      </c>
      <c r="N1476" s="59">
        <f t="shared" si="160"/>
        <v>8</v>
      </c>
      <c r="O1476" s="60">
        <f t="shared" si="159"/>
        <v>1476</v>
      </c>
      <c r="P1476" s="65"/>
    </row>
    <row r="1477" spans="3:22">
      <c r="C1477" s="84" t="s">
        <v>100</v>
      </c>
      <c r="D1477" s="75"/>
      <c r="E1477" s="75"/>
      <c r="F1477" s="81" t="s">
        <v>151</v>
      </c>
      <c r="G1477" s="55" t="s">
        <v>2445</v>
      </c>
      <c r="H1477" s="55" t="s">
        <v>124</v>
      </c>
      <c r="I1477" s="59">
        <v>1.1000000000000001</v>
      </c>
      <c r="J1477" s="60" t="s">
        <v>679</v>
      </c>
      <c r="K1477" s="63" t="str">
        <f t="shared" si="154"/>
        <v>XBF-DC04AInput</v>
      </c>
      <c r="L1477" s="59">
        <f t="shared" si="157"/>
        <v>17</v>
      </c>
      <c r="M1477" s="59">
        <f t="shared" si="158"/>
        <v>9</v>
      </c>
      <c r="N1477" s="59">
        <f t="shared" si="160"/>
        <v>8</v>
      </c>
      <c r="O1477" s="60">
        <f t="shared" si="159"/>
        <v>1477</v>
      </c>
      <c r="P1477" s="65"/>
    </row>
    <row r="1478" spans="3:22">
      <c r="C1478" s="84" t="s">
        <v>100</v>
      </c>
      <c r="D1478" s="75"/>
      <c r="E1478" s="75"/>
      <c r="F1478" s="81" t="s">
        <v>151</v>
      </c>
      <c r="G1478" s="55" t="s">
        <v>2446</v>
      </c>
      <c r="H1478" s="55" t="s">
        <v>124</v>
      </c>
      <c r="I1478" s="59">
        <v>1.2</v>
      </c>
      <c r="J1478" s="60" t="s">
        <v>681</v>
      </c>
      <c r="K1478" s="63" t="str">
        <f t="shared" si="154"/>
        <v>XBF-DC04AInput</v>
      </c>
      <c r="L1478" s="59">
        <f t="shared" si="157"/>
        <v>17</v>
      </c>
      <c r="M1478" s="59">
        <f t="shared" si="158"/>
        <v>9</v>
      </c>
      <c r="N1478" s="59">
        <f t="shared" si="160"/>
        <v>8</v>
      </c>
      <c r="O1478" s="60">
        <f t="shared" si="159"/>
        <v>1478</v>
      </c>
      <c r="P1478" s="65"/>
    </row>
    <row r="1479" spans="3:22">
      <c r="C1479" s="84" t="s">
        <v>100</v>
      </c>
      <c r="D1479" s="75"/>
      <c r="E1479" s="75"/>
      <c r="F1479" s="81" t="s">
        <v>151</v>
      </c>
      <c r="G1479" s="55" t="s">
        <v>2447</v>
      </c>
      <c r="H1479" s="55" t="s">
        <v>124</v>
      </c>
      <c r="I1479" s="59">
        <v>1.3</v>
      </c>
      <c r="J1479" s="60" t="s">
        <v>683</v>
      </c>
      <c r="K1479" s="63" t="str">
        <f t="shared" si="154"/>
        <v>XBF-DC04AInput</v>
      </c>
      <c r="L1479" s="59">
        <f t="shared" si="157"/>
        <v>17</v>
      </c>
      <c r="M1479" s="59">
        <f t="shared" si="158"/>
        <v>9</v>
      </c>
      <c r="N1479" s="59">
        <f t="shared" si="160"/>
        <v>8</v>
      </c>
      <c r="O1479" s="60">
        <f t="shared" si="159"/>
        <v>1479</v>
      </c>
      <c r="P1479" s="65"/>
    </row>
    <row r="1480" spans="3:22">
      <c r="C1480" s="84" t="s">
        <v>100</v>
      </c>
      <c r="D1480" s="75"/>
      <c r="E1480" s="75"/>
      <c r="F1480" s="81" t="s">
        <v>166</v>
      </c>
      <c r="G1480" s="55" t="s">
        <v>2448</v>
      </c>
      <c r="H1480" s="55" t="s">
        <v>124</v>
      </c>
      <c r="I1480" s="59">
        <v>0</v>
      </c>
      <c r="J1480" s="60" t="s">
        <v>685</v>
      </c>
      <c r="K1480" s="63"/>
      <c r="L1480" s="59"/>
      <c r="M1480" s="59"/>
      <c r="N1480" s="59"/>
      <c r="O1480" s="60">
        <f t="shared" si="159"/>
        <v>1480</v>
      </c>
      <c r="P1480" s="65"/>
    </row>
    <row r="1481" spans="3:22">
      <c r="C1481" s="84" t="s">
        <v>100</v>
      </c>
      <c r="D1481" s="75"/>
      <c r="E1481" s="75"/>
      <c r="F1481" s="81" t="s">
        <v>166</v>
      </c>
      <c r="G1481" s="55" t="s">
        <v>2449</v>
      </c>
      <c r="H1481" s="55" t="s">
        <v>124</v>
      </c>
      <c r="I1481" s="59">
        <v>0.1</v>
      </c>
      <c r="J1481" s="60" t="s">
        <v>687</v>
      </c>
      <c r="K1481" s="63"/>
      <c r="L1481" s="59"/>
      <c r="M1481" s="59"/>
      <c r="N1481" s="59"/>
      <c r="O1481" s="60">
        <f t="shared" si="159"/>
        <v>1481</v>
      </c>
      <c r="P1481" s="65"/>
    </row>
    <row r="1482" spans="3:22">
      <c r="C1482" s="84" t="s">
        <v>100</v>
      </c>
      <c r="D1482" s="75"/>
      <c r="E1482" s="75"/>
      <c r="F1482" s="81" t="s">
        <v>166</v>
      </c>
      <c r="G1482" s="55" t="s">
        <v>2450</v>
      </c>
      <c r="H1482" s="55" t="s">
        <v>124</v>
      </c>
      <c r="I1482" s="59">
        <v>0.2</v>
      </c>
      <c r="J1482" s="60" t="s">
        <v>689</v>
      </c>
      <c r="K1482" s="63"/>
      <c r="L1482" s="59"/>
      <c r="M1482" s="59"/>
      <c r="N1482" s="59"/>
      <c r="O1482" s="60">
        <f t="shared" si="159"/>
        <v>1482</v>
      </c>
      <c r="P1482" s="65"/>
    </row>
    <row r="1483" spans="3:22">
      <c r="C1483" s="84" t="s">
        <v>100</v>
      </c>
      <c r="D1483" s="75"/>
      <c r="E1483" s="75"/>
      <c r="F1483" s="81" t="s">
        <v>166</v>
      </c>
      <c r="G1483" s="55" t="s">
        <v>2451</v>
      </c>
      <c r="H1483" s="55" t="s">
        <v>124</v>
      </c>
      <c r="I1483" s="59">
        <v>0.3</v>
      </c>
      <c r="J1483" s="60" t="s">
        <v>691</v>
      </c>
      <c r="K1483" s="63"/>
      <c r="L1483" s="59"/>
      <c r="M1483" s="59"/>
      <c r="N1483" s="59"/>
      <c r="O1483" s="60">
        <f t="shared" si="159"/>
        <v>1483</v>
      </c>
      <c r="P1483" s="65"/>
    </row>
    <row r="1484" spans="3:22">
      <c r="C1484" s="84" t="s">
        <v>100</v>
      </c>
      <c r="D1484" s="75"/>
      <c r="E1484" s="75"/>
      <c r="F1484" s="81" t="s">
        <v>166</v>
      </c>
      <c r="G1484" s="55" t="s">
        <v>2452</v>
      </c>
      <c r="H1484" s="55" t="s">
        <v>139</v>
      </c>
      <c r="I1484" s="59">
        <v>1</v>
      </c>
      <c r="J1484" s="60" t="s">
        <v>693</v>
      </c>
      <c r="K1484" s="63"/>
      <c r="L1484" s="59"/>
      <c r="M1484" s="59"/>
      <c r="N1484" s="59"/>
      <c r="O1484" s="60">
        <f t="shared" si="159"/>
        <v>1484</v>
      </c>
      <c r="P1484" s="65"/>
    </row>
    <row r="1485" spans="3:22">
      <c r="C1485" s="84" t="s">
        <v>100</v>
      </c>
      <c r="D1485" s="75"/>
      <c r="E1485" s="75"/>
      <c r="F1485" s="81" t="s">
        <v>166</v>
      </c>
      <c r="G1485" s="55" t="s">
        <v>2453</v>
      </c>
      <c r="H1485" s="55" t="s">
        <v>139</v>
      </c>
      <c r="I1485" s="59">
        <v>2</v>
      </c>
      <c r="J1485" s="60" t="s">
        <v>695</v>
      </c>
      <c r="K1485" s="63"/>
      <c r="L1485" s="59"/>
      <c r="M1485" s="59"/>
      <c r="N1485" s="59"/>
      <c r="O1485" s="60">
        <f t="shared" si="159"/>
        <v>1485</v>
      </c>
      <c r="P1485" s="65"/>
    </row>
    <row r="1486" spans="3:22">
      <c r="C1486" s="84" t="s">
        <v>100</v>
      </c>
      <c r="D1486" s="75"/>
      <c r="E1486" s="75"/>
      <c r="F1486" s="81" t="s">
        <v>166</v>
      </c>
      <c r="G1486" s="55" t="s">
        <v>2454</v>
      </c>
      <c r="H1486" s="55" t="s">
        <v>139</v>
      </c>
      <c r="I1486" s="59">
        <v>3</v>
      </c>
      <c r="J1486" s="60" t="s">
        <v>697</v>
      </c>
      <c r="K1486" s="63"/>
      <c r="L1486" s="59"/>
      <c r="M1486" s="59"/>
      <c r="N1486" s="59"/>
      <c r="O1486" s="60">
        <f t="shared" si="159"/>
        <v>1486</v>
      </c>
      <c r="P1486" s="65"/>
    </row>
    <row r="1487" spans="3:22">
      <c r="C1487" s="84" t="s">
        <v>100</v>
      </c>
      <c r="D1487" s="75"/>
      <c r="E1487" s="75"/>
      <c r="F1487" s="81" t="s">
        <v>166</v>
      </c>
      <c r="G1487" s="55" t="s">
        <v>2455</v>
      </c>
      <c r="H1487" s="55" t="s">
        <v>139</v>
      </c>
      <c r="I1487" s="59">
        <v>4</v>
      </c>
      <c r="J1487" s="60" t="s">
        <v>699</v>
      </c>
      <c r="K1487" s="63"/>
      <c r="L1487" s="59"/>
      <c r="M1487" s="59"/>
      <c r="N1487" s="59"/>
      <c r="O1487" s="60">
        <f t="shared" si="159"/>
        <v>1487</v>
      </c>
      <c r="P1487" s="65"/>
    </row>
    <row r="1488" spans="3:22">
      <c r="C1488" s="84" t="s">
        <v>101</v>
      </c>
      <c r="D1488" s="76">
        <v>4</v>
      </c>
      <c r="E1488" s="76">
        <v>10</v>
      </c>
      <c r="F1488" s="81" t="s">
        <v>151</v>
      </c>
      <c r="G1488" s="55" t="s">
        <v>2456</v>
      </c>
      <c r="H1488" s="55" t="s">
        <v>124</v>
      </c>
      <c r="I1488" s="59">
        <v>0</v>
      </c>
      <c r="J1488" s="60" t="s">
        <v>667</v>
      </c>
      <c r="K1488" s="63" t="str">
        <f t="shared" si="154"/>
        <v>XBF-DC04BInput</v>
      </c>
      <c r="L1488" s="59">
        <f t="shared" ref="L1488:L1496" si="161">COUNTIF($C$2:$C$2062,C1488)</f>
        <v>17</v>
      </c>
      <c r="M1488" s="59">
        <f t="shared" ref="M1488:M1496" si="162">COUNTIF($K$2:$K$2062,K1488)</f>
        <v>9</v>
      </c>
      <c r="N1488" s="59">
        <f t="shared" si="160"/>
        <v>8</v>
      </c>
      <c r="O1488" s="60">
        <f t="shared" si="159"/>
        <v>1488</v>
      </c>
      <c r="P1488" s="65" t="s">
        <v>3214</v>
      </c>
      <c r="Q1488">
        <f>O1488</f>
        <v>1488</v>
      </c>
      <c r="R1488" t="s">
        <v>3215</v>
      </c>
      <c r="S1488">
        <v>1505</v>
      </c>
      <c r="T1488" t="str">
        <f>P1488&amp;Q1488&amp;R1488&amp;S1488</f>
        <v>All data map'!$F$1488:$J$1505</v>
      </c>
      <c r="V1488" t="s">
        <v>3282</v>
      </c>
    </row>
    <row r="1489" spans="3:16">
      <c r="C1489" s="84" t="s">
        <v>101</v>
      </c>
      <c r="D1489" s="75"/>
      <c r="E1489" s="75"/>
      <c r="F1489" s="81" t="s">
        <v>151</v>
      </c>
      <c r="G1489" s="55" t="s">
        <v>2457</v>
      </c>
      <c r="H1489" s="55" t="s">
        <v>124</v>
      </c>
      <c r="I1489" s="59">
        <v>0.1</v>
      </c>
      <c r="J1489" s="60" t="s">
        <v>669</v>
      </c>
      <c r="K1489" s="63" t="str">
        <f t="shared" si="154"/>
        <v>XBF-DC04BInput</v>
      </c>
      <c r="L1489" s="59">
        <f t="shared" si="161"/>
        <v>17</v>
      </c>
      <c r="M1489" s="59">
        <f t="shared" si="162"/>
        <v>9</v>
      </c>
      <c r="N1489" s="59">
        <f t="shared" si="160"/>
        <v>8</v>
      </c>
      <c r="O1489" s="60">
        <f t="shared" si="159"/>
        <v>1489</v>
      </c>
      <c r="P1489" s="65"/>
    </row>
    <row r="1490" spans="3:16">
      <c r="C1490" s="84" t="s">
        <v>101</v>
      </c>
      <c r="D1490" s="75"/>
      <c r="E1490" s="75"/>
      <c r="F1490" s="81" t="s">
        <v>151</v>
      </c>
      <c r="G1490" s="55" t="s">
        <v>2458</v>
      </c>
      <c r="H1490" s="55" t="s">
        <v>124</v>
      </c>
      <c r="I1490" s="59">
        <v>0.2</v>
      </c>
      <c r="J1490" s="60" t="s">
        <v>671</v>
      </c>
      <c r="K1490" s="63" t="str">
        <f t="shared" si="154"/>
        <v>XBF-DC04BInput</v>
      </c>
      <c r="L1490" s="59">
        <f t="shared" si="161"/>
        <v>17</v>
      </c>
      <c r="M1490" s="59">
        <f t="shared" si="162"/>
        <v>9</v>
      </c>
      <c r="N1490" s="59">
        <f t="shared" si="160"/>
        <v>8</v>
      </c>
      <c r="O1490" s="60">
        <f t="shared" si="159"/>
        <v>1490</v>
      </c>
      <c r="P1490" s="65"/>
    </row>
    <row r="1491" spans="3:16">
      <c r="C1491" s="84" t="s">
        <v>101</v>
      </c>
      <c r="D1491" s="75"/>
      <c r="E1491" s="75"/>
      <c r="F1491" s="81" t="s">
        <v>151</v>
      </c>
      <c r="G1491" s="55" t="s">
        <v>2459</v>
      </c>
      <c r="H1491" s="55" t="s">
        <v>124</v>
      </c>
      <c r="I1491" s="59">
        <v>0.3</v>
      </c>
      <c r="J1491" s="60" t="s">
        <v>673</v>
      </c>
      <c r="K1491" s="63" t="str">
        <f t="shared" si="154"/>
        <v>XBF-DC04BInput</v>
      </c>
      <c r="L1491" s="59">
        <f t="shared" si="161"/>
        <v>17</v>
      </c>
      <c r="M1491" s="59">
        <f t="shared" si="162"/>
        <v>9</v>
      </c>
      <c r="N1491" s="59">
        <f t="shared" si="160"/>
        <v>8</v>
      </c>
      <c r="O1491" s="60">
        <f t="shared" si="159"/>
        <v>1491</v>
      </c>
      <c r="P1491" s="65"/>
    </row>
    <row r="1492" spans="3:16">
      <c r="C1492" s="84" t="s">
        <v>101</v>
      </c>
      <c r="D1492" s="75"/>
      <c r="E1492" s="75"/>
      <c r="F1492" s="81" t="s">
        <v>151</v>
      </c>
      <c r="G1492" s="55" t="s">
        <v>2460</v>
      </c>
      <c r="H1492" s="55" t="s">
        <v>124</v>
      </c>
      <c r="I1492" s="59" t="s">
        <v>126</v>
      </c>
      <c r="J1492" s="60" t="s">
        <v>675</v>
      </c>
      <c r="K1492" s="63" t="str">
        <f t="shared" si="154"/>
        <v>XBF-DC04BInput</v>
      </c>
      <c r="L1492" s="59">
        <f t="shared" si="161"/>
        <v>17</v>
      </c>
      <c r="M1492" s="59">
        <f t="shared" si="162"/>
        <v>9</v>
      </c>
      <c r="N1492" s="59">
        <f t="shared" si="160"/>
        <v>8</v>
      </c>
      <c r="O1492" s="60">
        <f t="shared" si="159"/>
        <v>1492</v>
      </c>
      <c r="P1492" s="65"/>
    </row>
    <row r="1493" spans="3:16">
      <c r="C1493" s="84" t="s">
        <v>101</v>
      </c>
      <c r="D1493" s="75"/>
      <c r="E1493" s="75"/>
      <c r="F1493" s="81" t="s">
        <v>151</v>
      </c>
      <c r="G1493" s="55" t="s">
        <v>2461</v>
      </c>
      <c r="H1493" s="55" t="s">
        <v>124</v>
      </c>
      <c r="I1493" s="59">
        <v>1</v>
      </c>
      <c r="J1493" s="60" t="s">
        <v>677</v>
      </c>
      <c r="K1493" s="63" t="str">
        <f t="shared" ref="K1493:K1556" si="163">C1493&amp;F1493</f>
        <v>XBF-DC04BInput</v>
      </c>
      <c r="L1493" s="59">
        <f t="shared" si="161"/>
        <v>17</v>
      </c>
      <c r="M1493" s="59">
        <f t="shared" si="162"/>
        <v>9</v>
      </c>
      <c r="N1493" s="59">
        <f t="shared" si="160"/>
        <v>8</v>
      </c>
      <c r="O1493" s="60">
        <f t="shared" si="159"/>
        <v>1493</v>
      </c>
      <c r="P1493" s="65"/>
    </row>
    <row r="1494" spans="3:16">
      <c r="C1494" s="84" t="s">
        <v>101</v>
      </c>
      <c r="D1494" s="75"/>
      <c r="E1494" s="75"/>
      <c r="F1494" s="81" t="s">
        <v>151</v>
      </c>
      <c r="G1494" s="55" t="s">
        <v>2462</v>
      </c>
      <c r="H1494" s="55" t="s">
        <v>124</v>
      </c>
      <c r="I1494" s="59">
        <v>1.1000000000000001</v>
      </c>
      <c r="J1494" s="60" t="s">
        <v>679</v>
      </c>
      <c r="K1494" s="63" t="str">
        <f t="shared" si="163"/>
        <v>XBF-DC04BInput</v>
      </c>
      <c r="L1494" s="59">
        <f t="shared" si="161"/>
        <v>17</v>
      </c>
      <c r="M1494" s="59">
        <f t="shared" si="162"/>
        <v>9</v>
      </c>
      <c r="N1494" s="59">
        <f t="shared" si="160"/>
        <v>8</v>
      </c>
      <c r="O1494" s="60">
        <f t="shared" si="159"/>
        <v>1494</v>
      </c>
      <c r="P1494" s="65"/>
    </row>
    <row r="1495" spans="3:16">
      <c r="C1495" s="84" t="s">
        <v>101</v>
      </c>
      <c r="D1495" s="75"/>
      <c r="E1495" s="75"/>
      <c r="F1495" s="81" t="s">
        <v>151</v>
      </c>
      <c r="G1495" s="55" t="s">
        <v>2463</v>
      </c>
      <c r="H1495" s="55" t="s">
        <v>124</v>
      </c>
      <c r="I1495" s="59">
        <v>1.2</v>
      </c>
      <c r="J1495" s="60" t="s">
        <v>681</v>
      </c>
      <c r="K1495" s="63" t="str">
        <f t="shared" si="163"/>
        <v>XBF-DC04BInput</v>
      </c>
      <c r="L1495" s="59">
        <f t="shared" si="161"/>
        <v>17</v>
      </c>
      <c r="M1495" s="59">
        <f t="shared" si="162"/>
        <v>9</v>
      </c>
      <c r="N1495" s="59">
        <f t="shared" si="160"/>
        <v>8</v>
      </c>
      <c r="O1495" s="60">
        <f t="shared" si="159"/>
        <v>1495</v>
      </c>
      <c r="P1495" s="65"/>
    </row>
    <row r="1496" spans="3:16">
      <c r="C1496" s="84" t="s">
        <v>101</v>
      </c>
      <c r="D1496" s="75"/>
      <c r="E1496" s="75"/>
      <c r="F1496" s="81" t="s">
        <v>151</v>
      </c>
      <c r="G1496" s="55" t="s">
        <v>2464</v>
      </c>
      <c r="H1496" s="55" t="s">
        <v>124</v>
      </c>
      <c r="I1496" s="59">
        <v>1.3</v>
      </c>
      <c r="J1496" s="60" t="s">
        <v>683</v>
      </c>
      <c r="K1496" s="63" t="str">
        <f t="shared" si="163"/>
        <v>XBF-DC04BInput</v>
      </c>
      <c r="L1496" s="59">
        <f t="shared" si="161"/>
        <v>17</v>
      </c>
      <c r="M1496" s="59">
        <f t="shared" si="162"/>
        <v>9</v>
      </c>
      <c r="N1496" s="59">
        <f t="shared" si="160"/>
        <v>8</v>
      </c>
      <c r="O1496" s="60">
        <f t="shared" si="159"/>
        <v>1496</v>
      </c>
      <c r="P1496" s="65"/>
    </row>
    <row r="1497" spans="3:16">
      <c r="C1497" s="84" t="s">
        <v>101</v>
      </c>
      <c r="D1497" s="75"/>
      <c r="E1497" s="75"/>
      <c r="F1497" s="81" t="s">
        <v>15</v>
      </c>
      <c r="G1497" s="55" t="s">
        <v>2465</v>
      </c>
      <c r="H1497" s="55" t="s">
        <v>124</v>
      </c>
      <c r="I1497" s="59">
        <v>0</v>
      </c>
      <c r="J1497" s="60" t="s">
        <v>685</v>
      </c>
      <c r="K1497" s="63"/>
      <c r="L1497" s="59"/>
      <c r="M1497" s="59"/>
      <c r="N1497" s="59"/>
      <c r="O1497" s="60">
        <f t="shared" si="159"/>
        <v>1497</v>
      </c>
      <c r="P1497" s="65"/>
    </row>
    <row r="1498" spans="3:16">
      <c r="C1498" s="84" t="s">
        <v>101</v>
      </c>
      <c r="D1498" s="75"/>
      <c r="E1498" s="75"/>
      <c r="F1498" s="81" t="s">
        <v>166</v>
      </c>
      <c r="G1498" s="55" t="s">
        <v>2466</v>
      </c>
      <c r="H1498" s="55" t="s">
        <v>124</v>
      </c>
      <c r="I1498" s="59">
        <v>0.1</v>
      </c>
      <c r="J1498" s="60" t="s">
        <v>687</v>
      </c>
      <c r="K1498" s="63"/>
      <c r="L1498" s="59"/>
      <c r="M1498" s="59"/>
      <c r="N1498" s="59"/>
      <c r="O1498" s="60">
        <f t="shared" si="159"/>
        <v>1498</v>
      </c>
      <c r="P1498" s="65"/>
    </row>
    <row r="1499" spans="3:16">
      <c r="C1499" s="84" t="s">
        <v>101</v>
      </c>
      <c r="D1499" s="75"/>
      <c r="E1499" s="75"/>
      <c r="F1499" s="81" t="s">
        <v>166</v>
      </c>
      <c r="G1499" s="55" t="s">
        <v>2467</v>
      </c>
      <c r="H1499" s="55" t="s">
        <v>124</v>
      </c>
      <c r="I1499" s="59">
        <v>0.2</v>
      </c>
      <c r="J1499" s="60" t="s">
        <v>689</v>
      </c>
      <c r="K1499" s="63"/>
      <c r="L1499" s="59"/>
      <c r="M1499" s="59"/>
      <c r="N1499" s="59"/>
      <c r="O1499" s="60">
        <f t="shared" si="159"/>
        <v>1499</v>
      </c>
      <c r="P1499" s="65"/>
    </row>
    <row r="1500" spans="3:16">
      <c r="C1500" s="84" t="s">
        <v>101</v>
      </c>
      <c r="D1500" s="75"/>
      <c r="E1500" s="75"/>
      <c r="F1500" s="81" t="s">
        <v>166</v>
      </c>
      <c r="G1500" s="55" t="s">
        <v>2468</v>
      </c>
      <c r="H1500" s="55" t="s">
        <v>124</v>
      </c>
      <c r="I1500" s="59">
        <v>0.3</v>
      </c>
      <c r="J1500" s="60" t="s">
        <v>691</v>
      </c>
      <c r="K1500" s="63"/>
      <c r="L1500" s="59"/>
      <c r="M1500" s="59"/>
      <c r="N1500" s="59"/>
      <c r="O1500" s="60">
        <f t="shared" si="159"/>
        <v>1500</v>
      </c>
      <c r="P1500" s="65"/>
    </row>
    <row r="1501" spans="3:16">
      <c r="C1501" s="84" t="s">
        <v>101</v>
      </c>
      <c r="D1501" s="75"/>
      <c r="E1501" s="75"/>
      <c r="F1501" s="81" t="s">
        <v>166</v>
      </c>
      <c r="G1501" s="55" t="s">
        <v>2469</v>
      </c>
      <c r="H1501" s="55" t="s">
        <v>139</v>
      </c>
      <c r="I1501" s="59">
        <v>1</v>
      </c>
      <c r="J1501" s="60" t="s">
        <v>693</v>
      </c>
      <c r="K1501" s="63"/>
      <c r="L1501" s="59"/>
      <c r="M1501" s="59"/>
      <c r="N1501" s="59"/>
      <c r="O1501" s="60">
        <f t="shared" si="159"/>
        <v>1501</v>
      </c>
      <c r="P1501" s="65"/>
    </row>
    <row r="1502" spans="3:16">
      <c r="C1502" s="84" t="s">
        <v>101</v>
      </c>
      <c r="D1502" s="75"/>
      <c r="E1502" s="75"/>
      <c r="F1502" s="81" t="s">
        <v>166</v>
      </c>
      <c r="G1502" s="55" t="s">
        <v>2470</v>
      </c>
      <c r="H1502" s="55" t="s">
        <v>139</v>
      </c>
      <c r="I1502" s="59">
        <v>2</v>
      </c>
      <c r="J1502" s="60" t="s">
        <v>695</v>
      </c>
      <c r="K1502" s="63"/>
      <c r="L1502" s="59"/>
      <c r="M1502" s="59"/>
      <c r="N1502" s="59"/>
      <c r="O1502" s="60">
        <f t="shared" si="159"/>
        <v>1502</v>
      </c>
      <c r="P1502" s="65"/>
    </row>
    <row r="1503" spans="3:16">
      <c r="C1503" s="84" t="s">
        <v>101</v>
      </c>
      <c r="D1503" s="75"/>
      <c r="E1503" s="75"/>
      <c r="F1503" s="81" t="s">
        <v>166</v>
      </c>
      <c r="G1503" s="55" t="s">
        <v>2471</v>
      </c>
      <c r="H1503" s="55" t="s">
        <v>139</v>
      </c>
      <c r="I1503" s="59">
        <v>3</v>
      </c>
      <c r="J1503" s="60" t="s">
        <v>697</v>
      </c>
      <c r="K1503" s="63"/>
      <c r="L1503" s="59"/>
      <c r="M1503" s="59"/>
      <c r="N1503" s="59"/>
      <c r="O1503" s="60">
        <f t="shared" si="159"/>
        <v>1503</v>
      </c>
      <c r="P1503" s="65"/>
    </row>
    <row r="1504" spans="3:16">
      <c r="C1504" s="84" t="s">
        <v>101</v>
      </c>
      <c r="D1504" s="75"/>
      <c r="E1504" s="75"/>
      <c r="F1504" s="81" t="s">
        <v>166</v>
      </c>
      <c r="G1504" s="55" t="s">
        <v>2472</v>
      </c>
      <c r="H1504" s="55" t="s">
        <v>139</v>
      </c>
      <c r="I1504" s="59">
        <v>4</v>
      </c>
      <c r="J1504" s="60" t="s">
        <v>699</v>
      </c>
      <c r="K1504" s="63"/>
      <c r="L1504" s="59"/>
      <c r="M1504" s="59"/>
      <c r="N1504" s="59"/>
      <c r="O1504" s="60">
        <f t="shared" si="159"/>
        <v>1504</v>
      </c>
      <c r="P1504" s="65"/>
    </row>
    <row r="1505" spans="3:22">
      <c r="C1505" s="84" t="s">
        <v>102</v>
      </c>
      <c r="D1505" s="76">
        <v>4</v>
      </c>
      <c r="E1505" s="76">
        <v>10</v>
      </c>
      <c r="F1505" s="81" t="s">
        <v>151</v>
      </c>
      <c r="G1505" s="55" t="s">
        <v>2524</v>
      </c>
      <c r="H1505" s="55" t="s">
        <v>124</v>
      </c>
      <c r="I1505" s="59">
        <v>0</v>
      </c>
      <c r="J1505" s="60" t="s">
        <v>667</v>
      </c>
      <c r="K1505" s="63" t="str">
        <f t="shared" si="163"/>
        <v>XBF-DV04CInput</v>
      </c>
      <c r="L1505" s="59">
        <f t="shared" ref="L1505:L1517" si="164">COUNTIF($C$2:$C$2062,C1505)</f>
        <v>21</v>
      </c>
      <c r="M1505" s="59">
        <f t="shared" ref="M1505:M1517" si="165">COUNTIF($K$2:$K$2062,K1505)</f>
        <v>13</v>
      </c>
      <c r="N1505" s="59">
        <f t="shared" si="160"/>
        <v>8</v>
      </c>
      <c r="O1505" s="60">
        <f t="shared" si="159"/>
        <v>1505</v>
      </c>
      <c r="P1505" s="65" t="s">
        <v>3214</v>
      </c>
      <c r="Q1505">
        <f>O1505</f>
        <v>1505</v>
      </c>
      <c r="R1505" t="s">
        <v>3215</v>
      </c>
      <c r="S1505">
        <v>1526</v>
      </c>
      <c r="T1505" t="str">
        <f>P1505&amp;Q1505&amp;R1505&amp;S1505</f>
        <v>All data map'!$F$1505:$J$1526</v>
      </c>
      <c r="V1505" t="s">
        <v>3283</v>
      </c>
    </row>
    <row r="1506" spans="3:22">
      <c r="C1506" s="84" t="s">
        <v>102</v>
      </c>
      <c r="D1506" s="76"/>
      <c r="E1506" s="76"/>
      <c r="F1506" s="81" t="s">
        <v>151</v>
      </c>
      <c r="G1506" s="55" t="s">
        <v>2525</v>
      </c>
      <c r="H1506" s="55" t="s">
        <v>124</v>
      </c>
      <c r="I1506" s="59">
        <v>0.1</v>
      </c>
      <c r="J1506" s="60" t="s">
        <v>669</v>
      </c>
      <c r="K1506" s="63" t="str">
        <f t="shared" si="163"/>
        <v>XBF-DV04CInput</v>
      </c>
      <c r="L1506" s="59">
        <f t="shared" si="164"/>
        <v>21</v>
      </c>
      <c r="M1506" s="59">
        <f t="shared" si="165"/>
        <v>13</v>
      </c>
      <c r="N1506" s="59">
        <f t="shared" si="160"/>
        <v>8</v>
      </c>
      <c r="O1506" s="60">
        <f t="shared" si="159"/>
        <v>1506</v>
      </c>
      <c r="P1506" s="65"/>
    </row>
    <row r="1507" spans="3:22">
      <c r="C1507" s="84" t="s">
        <v>102</v>
      </c>
      <c r="D1507" s="76"/>
      <c r="E1507" s="76"/>
      <c r="F1507" s="81" t="s">
        <v>151</v>
      </c>
      <c r="G1507" s="55" t="s">
        <v>2526</v>
      </c>
      <c r="H1507" s="55" t="s">
        <v>124</v>
      </c>
      <c r="I1507" s="59">
        <v>0.2</v>
      </c>
      <c r="J1507" s="60" t="s">
        <v>671</v>
      </c>
      <c r="K1507" s="63" t="str">
        <f t="shared" si="163"/>
        <v>XBF-DV04CInput</v>
      </c>
      <c r="L1507" s="59">
        <f t="shared" si="164"/>
        <v>21</v>
      </c>
      <c r="M1507" s="59">
        <f t="shared" si="165"/>
        <v>13</v>
      </c>
      <c r="N1507" s="59">
        <f t="shared" si="160"/>
        <v>8</v>
      </c>
      <c r="O1507" s="60">
        <f t="shared" si="159"/>
        <v>1507</v>
      </c>
      <c r="P1507" s="65"/>
    </row>
    <row r="1508" spans="3:22">
      <c r="C1508" s="84" t="s">
        <v>102</v>
      </c>
      <c r="D1508" s="76"/>
      <c r="E1508" s="76"/>
      <c r="F1508" s="81" t="s">
        <v>151</v>
      </c>
      <c r="G1508" s="55" t="s">
        <v>2527</v>
      </c>
      <c r="H1508" s="55" t="s">
        <v>124</v>
      </c>
      <c r="I1508" s="59">
        <v>0.3</v>
      </c>
      <c r="J1508" s="60" t="s">
        <v>673</v>
      </c>
      <c r="K1508" s="63" t="str">
        <f t="shared" si="163"/>
        <v>XBF-DV04CInput</v>
      </c>
      <c r="L1508" s="59">
        <f t="shared" si="164"/>
        <v>21</v>
      </c>
      <c r="M1508" s="59">
        <f t="shared" si="165"/>
        <v>13</v>
      </c>
      <c r="N1508" s="59">
        <f t="shared" si="160"/>
        <v>8</v>
      </c>
      <c r="O1508" s="60">
        <f t="shared" si="159"/>
        <v>1508</v>
      </c>
      <c r="P1508" s="65"/>
    </row>
    <row r="1509" spans="3:22">
      <c r="C1509" s="84" t="s">
        <v>102</v>
      </c>
      <c r="D1509" s="76"/>
      <c r="E1509" s="76"/>
      <c r="F1509" s="81" t="s">
        <v>151</v>
      </c>
      <c r="G1509" s="55" t="s">
        <v>2528</v>
      </c>
      <c r="H1509" s="55" t="s">
        <v>124</v>
      </c>
      <c r="I1509" s="59" t="s">
        <v>126</v>
      </c>
      <c r="J1509" s="60" t="s">
        <v>2478</v>
      </c>
      <c r="K1509" s="63" t="str">
        <f t="shared" si="163"/>
        <v>XBF-DV04CInput</v>
      </c>
      <c r="L1509" s="59">
        <f t="shared" si="164"/>
        <v>21</v>
      </c>
      <c r="M1509" s="59">
        <f t="shared" si="165"/>
        <v>13</v>
      </c>
      <c r="N1509" s="59">
        <f t="shared" si="160"/>
        <v>8</v>
      </c>
      <c r="O1509" s="60">
        <f t="shared" si="159"/>
        <v>1509</v>
      </c>
      <c r="P1509" s="65"/>
    </row>
    <row r="1510" spans="3:22">
      <c r="C1510" s="84" t="s">
        <v>102</v>
      </c>
      <c r="D1510" s="76"/>
      <c r="E1510" s="76"/>
      <c r="F1510" s="81" t="s">
        <v>151</v>
      </c>
      <c r="G1510" s="55" t="s">
        <v>2529</v>
      </c>
      <c r="H1510" s="55" t="s">
        <v>124</v>
      </c>
      <c r="I1510" s="59">
        <v>1</v>
      </c>
      <c r="J1510" s="60" t="s">
        <v>677</v>
      </c>
      <c r="K1510" s="63" t="str">
        <f t="shared" si="163"/>
        <v>XBF-DV04CInput</v>
      </c>
      <c r="L1510" s="59">
        <f t="shared" si="164"/>
        <v>21</v>
      </c>
      <c r="M1510" s="59">
        <f t="shared" si="165"/>
        <v>13</v>
      </c>
      <c r="N1510" s="59">
        <f t="shared" si="160"/>
        <v>8</v>
      </c>
      <c r="O1510" s="60">
        <f t="shared" si="159"/>
        <v>1510</v>
      </c>
      <c r="P1510" s="65"/>
    </row>
    <row r="1511" spans="3:22">
      <c r="C1511" s="84" t="s">
        <v>102</v>
      </c>
      <c r="D1511" s="76"/>
      <c r="E1511" s="76"/>
      <c r="F1511" s="81" t="s">
        <v>151</v>
      </c>
      <c r="G1511" s="55" t="s">
        <v>2530</v>
      </c>
      <c r="H1511" s="55" t="s">
        <v>124</v>
      </c>
      <c r="I1511" s="59">
        <v>1.1000000000000001</v>
      </c>
      <c r="J1511" s="60" t="s">
        <v>679</v>
      </c>
      <c r="K1511" s="63" t="str">
        <f t="shared" si="163"/>
        <v>XBF-DV04CInput</v>
      </c>
      <c r="L1511" s="59">
        <f t="shared" si="164"/>
        <v>21</v>
      </c>
      <c r="M1511" s="59">
        <f t="shared" si="165"/>
        <v>13</v>
      </c>
      <c r="N1511" s="59">
        <f t="shared" si="160"/>
        <v>8</v>
      </c>
      <c r="O1511" s="60">
        <f t="shared" si="159"/>
        <v>1511</v>
      </c>
      <c r="P1511" s="65"/>
    </row>
    <row r="1512" spans="3:22">
      <c r="C1512" s="84" t="s">
        <v>102</v>
      </c>
      <c r="D1512" s="76"/>
      <c r="E1512" s="76"/>
      <c r="F1512" s="81" t="s">
        <v>151</v>
      </c>
      <c r="G1512" s="55" t="s">
        <v>2531</v>
      </c>
      <c r="H1512" s="55" t="s">
        <v>124</v>
      </c>
      <c r="I1512" s="59">
        <v>1.2</v>
      </c>
      <c r="J1512" s="60" t="s">
        <v>681</v>
      </c>
      <c r="K1512" s="63" t="str">
        <f t="shared" si="163"/>
        <v>XBF-DV04CInput</v>
      </c>
      <c r="L1512" s="59">
        <f t="shared" si="164"/>
        <v>21</v>
      </c>
      <c r="M1512" s="59">
        <f t="shared" si="165"/>
        <v>13</v>
      </c>
      <c r="N1512" s="59">
        <f t="shared" si="160"/>
        <v>8</v>
      </c>
      <c r="O1512" s="60">
        <f t="shared" si="159"/>
        <v>1512</v>
      </c>
      <c r="P1512" s="65"/>
    </row>
    <row r="1513" spans="3:22">
      <c r="C1513" s="84" t="s">
        <v>102</v>
      </c>
      <c r="D1513" s="76"/>
      <c r="E1513" s="76"/>
      <c r="F1513" s="81" t="s">
        <v>151</v>
      </c>
      <c r="G1513" s="55" t="s">
        <v>2532</v>
      </c>
      <c r="H1513" s="55" t="s">
        <v>124</v>
      </c>
      <c r="I1513" s="59">
        <v>1.3</v>
      </c>
      <c r="J1513" s="60" t="s">
        <v>683</v>
      </c>
      <c r="K1513" s="63" t="str">
        <f t="shared" si="163"/>
        <v>XBF-DV04CInput</v>
      </c>
      <c r="L1513" s="59">
        <f t="shared" si="164"/>
        <v>21</v>
      </c>
      <c r="M1513" s="59">
        <f t="shared" si="165"/>
        <v>13</v>
      </c>
      <c r="N1513" s="59">
        <f t="shared" si="160"/>
        <v>8</v>
      </c>
      <c r="O1513" s="60">
        <f t="shared" si="159"/>
        <v>1513</v>
      </c>
      <c r="P1513" s="65"/>
    </row>
    <row r="1514" spans="3:22">
      <c r="C1514" s="84" t="s">
        <v>102</v>
      </c>
      <c r="D1514" s="76"/>
      <c r="E1514" s="76"/>
      <c r="F1514" s="81" t="s">
        <v>151</v>
      </c>
      <c r="G1514" s="55" t="s">
        <v>2533</v>
      </c>
      <c r="H1514" s="55" t="s">
        <v>124</v>
      </c>
      <c r="I1514" s="59">
        <v>1.8</v>
      </c>
      <c r="J1514" s="60" t="s">
        <v>2484</v>
      </c>
      <c r="K1514" s="63" t="str">
        <f t="shared" si="163"/>
        <v>XBF-DV04CInput</v>
      </c>
      <c r="L1514" s="59">
        <f t="shared" si="164"/>
        <v>21</v>
      </c>
      <c r="M1514" s="59">
        <f t="shared" si="165"/>
        <v>13</v>
      </c>
      <c r="N1514" s="59">
        <f t="shared" si="160"/>
        <v>8</v>
      </c>
      <c r="O1514" s="60">
        <f t="shared" si="159"/>
        <v>1514</v>
      </c>
      <c r="P1514" s="65"/>
    </row>
    <row r="1515" spans="3:22">
      <c r="C1515" s="84" t="s">
        <v>102</v>
      </c>
      <c r="D1515" s="76"/>
      <c r="E1515" s="76"/>
      <c r="F1515" s="81" t="s">
        <v>151</v>
      </c>
      <c r="G1515" s="55" t="s">
        <v>2534</v>
      </c>
      <c r="H1515" s="55" t="s">
        <v>124</v>
      </c>
      <c r="I1515" s="59">
        <v>1.9</v>
      </c>
      <c r="J1515" s="60" t="s">
        <v>2486</v>
      </c>
      <c r="K1515" s="63" t="str">
        <f t="shared" si="163"/>
        <v>XBF-DV04CInput</v>
      </c>
      <c r="L1515" s="59">
        <f t="shared" si="164"/>
        <v>21</v>
      </c>
      <c r="M1515" s="59">
        <f t="shared" si="165"/>
        <v>13</v>
      </c>
      <c r="N1515" s="59">
        <f t="shared" si="160"/>
        <v>8</v>
      </c>
      <c r="O1515" s="60">
        <f t="shared" si="159"/>
        <v>1515</v>
      </c>
      <c r="P1515" s="65"/>
    </row>
    <row r="1516" spans="3:22">
      <c r="C1516" s="84" t="s">
        <v>102</v>
      </c>
      <c r="D1516" s="76"/>
      <c r="E1516" s="76"/>
      <c r="F1516" s="81" t="s">
        <v>151</v>
      </c>
      <c r="G1516" s="55" t="s">
        <v>2535</v>
      </c>
      <c r="H1516" s="55" t="s">
        <v>124</v>
      </c>
      <c r="I1516" s="59" t="s">
        <v>136</v>
      </c>
      <c r="J1516" s="60" t="s">
        <v>2488</v>
      </c>
      <c r="K1516" s="63" t="str">
        <f t="shared" si="163"/>
        <v>XBF-DV04CInput</v>
      </c>
      <c r="L1516" s="59">
        <f t="shared" si="164"/>
        <v>21</v>
      </c>
      <c r="M1516" s="59">
        <f t="shared" si="165"/>
        <v>13</v>
      </c>
      <c r="N1516" s="59">
        <f t="shared" si="160"/>
        <v>8</v>
      </c>
      <c r="O1516" s="60">
        <f t="shared" si="159"/>
        <v>1516</v>
      </c>
      <c r="P1516" s="65"/>
    </row>
    <row r="1517" spans="3:22">
      <c r="C1517" s="84" t="s">
        <v>102</v>
      </c>
      <c r="D1517" s="76"/>
      <c r="E1517" s="76"/>
      <c r="F1517" s="81" t="s">
        <v>151</v>
      </c>
      <c r="G1517" s="55" t="s">
        <v>2536</v>
      </c>
      <c r="H1517" s="55" t="s">
        <v>124</v>
      </c>
      <c r="I1517" s="59" t="s">
        <v>138</v>
      </c>
      <c r="J1517" s="60" t="s">
        <v>2490</v>
      </c>
      <c r="K1517" s="63" t="str">
        <f t="shared" si="163"/>
        <v>XBF-DV04CInput</v>
      </c>
      <c r="L1517" s="59">
        <f t="shared" si="164"/>
        <v>21</v>
      </c>
      <c r="M1517" s="59">
        <f t="shared" si="165"/>
        <v>13</v>
      </c>
      <c r="N1517" s="59">
        <f t="shared" si="160"/>
        <v>8</v>
      </c>
      <c r="O1517" s="60">
        <f t="shared" si="159"/>
        <v>1517</v>
      </c>
      <c r="P1517" s="65"/>
    </row>
    <row r="1518" spans="3:22">
      <c r="C1518" s="84" t="s">
        <v>102</v>
      </c>
      <c r="D1518" s="76"/>
      <c r="E1518" s="76"/>
      <c r="F1518" s="81" t="s">
        <v>166</v>
      </c>
      <c r="G1518" s="55" t="s">
        <v>2537</v>
      </c>
      <c r="H1518" s="55" t="s">
        <v>124</v>
      </c>
      <c r="I1518" s="59">
        <v>0</v>
      </c>
      <c r="J1518" s="60" t="s">
        <v>685</v>
      </c>
      <c r="K1518" s="63"/>
      <c r="L1518" s="59"/>
      <c r="M1518" s="59"/>
      <c r="N1518" s="59"/>
      <c r="O1518" s="60">
        <f t="shared" si="159"/>
        <v>1518</v>
      </c>
      <c r="P1518" s="65"/>
    </row>
    <row r="1519" spans="3:22">
      <c r="C1519" s="84" t="s">
        <v>102</v>
      </c>
      <c r="D1519" s="76"/>
      <c r="E1519" s="76"/>
      <c r="F1519" s="81" t="s">
        <v>166</v>
      </c>
      <c r="G1519" s="55" t="s">
        <v>2538</v>
      </c>
      <c r="H1519" s="55" t="s">
        <v>124</v>
      </c>
      <c r="I1519" s="59">
        <v>0.1</v>
      </c>
      <c r="J1519" s="60" t="s">
        <v>687</v>
      </c>
      <c r="K1519" s="63"/>
      <c r="L1519" s="59"/>
      <c r="M1519" s="59"/>
      <c r="N1519" s="59"/>
      <c r="O1519" s="60">
        <f t="shared" si="159"/>
        <v>1519</v>
      </c>
      <c r="P1519" s="65"/>
    </row>
    <row r="1520" spans="3:22">
      <c r="C1520" s="84" t="s">
        <v>102</v>
      </c>
      <c r="D1520" s="76"/>
      <c r="E1520" s="76"/>
      <c r="F1520" s="81" t="s">
        <v>166</v>
      </c>
      <c r="G1520" s="55" t="s">
        <v>2539</v>
      </c>
      <c r="H1520" s="55" t="s">
        <v>124</v>
      </c>
      <c r="I1520" s="59">
        <v>0.2</v>
      </c>
      <c r="J1520" s="60" t="s">
        <v>689</v>
      </c>
      <c r="K1520" s="63"/>
      <c r="L1520" s="59"/>
      <c r="M1520" s="59"/>
      <c r="N1520" s="59"/>
      <c r="O1520" s="60">
        <f t="shared" si="159"/>
        <v>1520</v>
      </c>
      <c r="P1520" s="65"/>
    </row>
    <row r="1521" spans="3:22">
      <c r="C1521" s="84" t="s">
        <v>102</v>
      </c>
      <c r="D1521" s="76"/>
      <c r="E1521" s="76"/>
      <c r="F1521" s="81" t="s">
        <v>166</v>
      </c>
      <c r="G1521" s="55" t="s">
        <v>2540</v>
      </c>
      <c r="H1521" s="55" t="s">
        <v>124</v>
      </c>
      <c r="I1521" s="59">
        <v>0.3</v>
      </c>
      <c r="J1521" s="60" t="s">
        <v>691</v>
      </c>
      <c r="K1521" s="63"/>
      <c r="L1521" s="59"/>
      <c r="M1521" s="59"/>
      <c r="N1521" s="59"/>
      <c r="O1521" s="60">
        <f t="shared" si="159"/>
        <v>1521</v>
      </c>
      <c r="P1521" s="65"/>
    </row>
    <row r="1522" spans="3:22">
      <c r="C1522" s="84" t="s">
        <v>102</v>
      </c>
      <c r="D1522" s="76"/>
      <c r="E1522" s="76"/>
      <c r="F1522" s="81" t="s">
        <v>166</v>
      </c>
      <c r="G1522" s="55" t="s">
        <v>2541</v>
      </c>
      <c r="H1522" s="55" t="s">
        <v>139</v>
      </c>
      <c r="I1522" s="59">
        <v>1</v>
      </c>
      <c r="J1522" s="60" t="s">
        <v>693</v>
      </c>
      <c r="K1522" s="63"/>
      <c r="L1522" s="59"/>
      <c r="M1522" s="59"/>
      <c r="N1522" s="59"/>
      <c r="O1522" s="60">
        <f t="shared" si="159"/>
        <v>1522</v>
      </c>
      <c r="P1522" s="65"/>
    </row>
    <row r="1523" spans="3:22">
      <c r="C1523" s="84" t="s">
        <v>102</v>
      </c>
      <c r="D1523" s="76"/>
      <c r="E1523" s="76"/>
      <c r="F1523" s="81" t="s">
        <v>166</v>
      </c>
      <c r="G1523" s="55" t="s">
        <v>2542</v>
      </c>
      <c r="H1523" s="55" t="s">
        <v>139</v>
      </c>
      <c r="I1523" s="59">
        <v>2</v>
      </c>
      <c r="J1523" s="60" t="s">
        <v>695</v>
      </c>
      <c r="K1523" s="63"/>
      <c r="L1523" s="59"/>
      <c r="M1523" s="59"/>
      <c r="N1523" s="59"/>
      <c r="O1523" s="60">
        <f t="shared" si="159"/>
        <v>1523</v>
      </c>
      <c r="P1523" s="65"/>
    </row>
    <row r="1524" spans="3:22">
      <c r="C1524" s="84" t="s">
        <v>102</v>
      </c>
      <c r="D1524" s="76"/>
      <c r="E1524" s="76"/>
      <c r="F1524" s="81" t="s">
        <v>166</v>
      </c>
      <c r="G1524" s="55" t="s">
        <v>2543</v>
      </c>
      <c r="H1524" s="55" t="s">
        <v>139</v>
      </c>
      <c r="I1524" s="59">
        <v>3</v>
      </c>
      <c r="J1524" s="60" t="s">
        <v>697</v>
      </c>
      <c r="K1524" s="63"/>
      <c r="L1524" s="59"/>
      <c r="M1524" s="59"/>
      <c r="N1524" s="59"/>
      <c r="O1524" s="60">
        <f t="shared" si="159"/>
        <v>1524</v>
      </c>
      <c r="P1524" s="65"/>
    </row>
    <row r="1525" spans="3:22">
      <c r="C1525" s="84" t="s">
        <v>102</v>
      </c>
      <c r="D1525" s="76"/>
      <c r="E1525" s="76"/>
      <c r="F1525" s="81" t="s">
        <v>166</v>
      </c>
      <c r="G1525" s="55" t="s">
        <v>2544</v>
      </c>
      <c r="H1525" s="55" t="s">
        <v>139</v>
      </c>
      <c r="I1525" s="59">
        <v>4</v>
      </c>
      <c r="J1525" s="60" t="s">
        <v>699</v>
      </c>
      <c r="K1525" s="63"/>
      <c r="L1525" s="59"/>
      <c r="M1525" s="59"/>
      <c r="N1525" s="59"/>
      <c r="O1525" s="60">
        <f t="shared" si="159"/>
        <v>1525</v>
      </c>
      <c r="P1525" s="65"/>
    </row>
    <row r="1526" spans="3:22">
      <c r="C1526" s="84" t="s">
        <v>103</v>
      </c>
      <c r="D1526" s="76">
        <v>4</v>
      </c>
      <c r="E1526" s="76">
        <v>10</v>
      </c>
      <c r="F1526" s="81" t="s">
        <v>151</v>
      </c>
      <c r="G1526" s="55" t="s">
        <v>2473</v>
      </c>
      <c r="H1526" s="55" t="s">
        <v>124</v>
      </c>
      <c r="I1526" s="59">
        <v>0</v>
      </c>
      <c r="J1526" s="60" t="s">
        <v>667</v>
      </c>
      <c r="K1526" s="63" t="str">
        <f t="shared" si="163"/>
        <v>XBF-DC04CInput</v>
      </c>
      <c r="L1526" s="59">
        <f t="shared" ref="L1526:L1542" si="166">COUNTIF($C$2:$C$2062,C1526)</f>
        <v>25</v>
      </c>
      <c r="M1526" s="59">
        <f t="shared" ref="M1526:M1542" si="167">COUNTIF($K$2:$K$2062,K1526)</f>
        <v>17</v>
      </c>
      <c r="N1526" s="59">
        <f t="shared" si="160"/>
        <v>8</v>
      </c>
      <c r="O1526" s="60">
        <f t="shared" si="159"/>
        <v>1526</v>
      </c>
      <c r="P1526" s="65" t="s">
        <v>3214</v>
      </c>
      <c r="Q1526">
        <f>O1526</f>
        <v>1526</v>
      </c>
      <c r="R1526" t="s">
        <v>3215</v>
      </c>
      <c r="S1526">
        <v>1551</v>
      </c>
      <c r="T1526" t="str">
        <f>P1526&amp;Q1526&amp;R1526&amp;S1526</f>
        <v>All data map'!$F$1526:$J$1551</v>
      </c>
      <c r="V1526" t="s">
        <v>3284</v>
      </c>
    </row>
    <row r="1527" spans="3:22">
      <c r="C1527" s="84" t="s">
        <v>103</v>
      </c>
      <c r="D1527" s="76"/>
      <c r="E1527" s="76"/>
      <c r="F1527" s="81" t="s">
        <v>151</v>
      </c>
      <c r="G1527" s="55" t="s">
        <v>2474</v>
      </c>
      <c r="H1527" s="55" t="s">
        <v>124</v>
      </c>
      <c r="I1527" s="59">
        <v>0.1</v>
      </c>
      <c r="J1527" s="60" t="s">
        <v>669</v>
      </c>
      <c r="K1527" s="63" t="str">
        <f t="shared" si="163"/>
        <v>XBF-DC04CInput</v>
      </c>
      <c r="L1527" s="59">
        <f t="shared" si="166"/>
        <v>25</v>
      </c>
      <c r="M1527" s="59">
        <f t="shared" si="167"/>
        <v>17</v>
      </c>
      <c r="N1527" s="59">
        <f t="shared" si="160"/>
        <v>8</v>
      </c>
      <c r="O1527" s="60">
        <f t="shared" si="159"/>
        <v>1527</v>
      </c>
      <c r="P1527" s="65"/>
    </row>
    <row r="1528" spans="3:22">
      <c r="C1528" s="84" t="s">
        <v>103</v>
      </c>
      <c r="D1528" s="76"/>
      <c r="E1528" s="76"/>
      <c r="F1528" s="81" t="s">
        <v>151</v>
      </c>
      <c r="G1528" s="55" t="s">
        <v>2475</v>
      </c>
      <c r="H1528" s="55" t="s">
        <v>124</v>
      </c>
      <c r="I1528" s="59">
        <v>0.2</v>
      </c>
      <c r="J1528" s="60" t="s">
        <v>671</v>
      </c>
      <c r="K1528" s="63" t="str">
        <f t="shared" si="163"/>
        <v>XBF-DC04CInput</v>
      </c>
      <c r="L1528" s="59">
        <f t="shared" si="166"/>
        <v>25</v>
      </c>
      <c r="M1528" s="59">
        <f t="shared" si="167"/>
        <v>17</v>
      </c>
      <c r="N1528" s="59">
        <f t="shared" si="160"/>
        <v>8</v>
      </c>
      <c r="O1528" s="60">
        <f t="shared" si="159"/>
        <v>1528</v>
      </c>
      <c r="P1528" s="65"/>
    </row>
    <row r="1529" spans="3:22">
      <c r="C1529" s="84" t="s">
        <v>103</v>
      </c>
      <c r="D1529" s="76"/>
      <c r="E1529" s="76"/>
      <c r="F1529" s="81" t="s">
        <v>151</v>
      </c>
      <c r="G1529" s="55" t="s">
        <v>2476</v>
      </c>
      <c r="H1529" s="55" t="s">
        <v>124</v>
      </c>
      <c r="I1529" s="59">
        <v>0.3</v>
      </c>
      <c r="J1529" s="60" t="s">
        <v>673</v>
      </c>
      <c r="K1529" s="63" t="str">
        <f t="shared" si="163"/>
        <v>XBF-DC04CInput</v>
      </c>
      <c r="L1529" s="59">
        <f t="shared" si="166"/>
        <v>25</v>
      </c>
      <c r="M1529" s="59">
        <f t="shared" si="167"/>
        <v>17</v>
      </c>
      <c r="N1529" s="59">
        <f t="shared" si="160"/>
        <v>8</v>
      </c>
      <c r="O1529" s="60">
        <f t="shared" si="159"/>
        <v>1529</v>
      </c>
      <c r="P1529" s="65"/>
    </row>
    <row r="1530" spans="3:22">
      <c r="C1530" s="84" t="s">
        <v>103</v>
      </c>
      <c r="D1530" s="76"/>
      <c r="E1530" s="76"/>
      <c r="F1530" s="81" t="s">
        <v>151</v>
      </c>
      <c r="G1530" s="55" t="s">
        <v>2477</v>
      </c>
      <c r="H1530" s="55" t="s">
        <v>124</v>
      </c>
      <c r="I1530" s="59" t="s">
        <v>126</v>
      </c>
      <c r="J1530" s="60" t="s">
        <v>2478</v>
      </c>
      <c r="K1530" s="63" t="str">
        <f t="shared" si="163"/>
        <v>XBF-DC04CInput</v>
      </c>
      <c r="L1530" s="59">
        <f t="shared" si="166"/>
        <v>25</v>
      </c>
      <c r="M1530" s="59">
        <f t="shared" si="167"/>
        <v>17</v>
      </c>
      <c r="N1530" s="59">
        <f t="shared" si="160"/>
        <v>8</v>
      </c>
      <c r="O1530" s="60">
        <f t="shared" si="159"/>
        <v>1530</v>
      </c>
      <c r="P1530" s="65"/>
    </row>
    <row r="1531" spans="3:22">
      <c r="C1531" s="84" t="s">
        <v>103</v>
      </c>
      <c r="D1531" s="76"/>
      <c r="E1531" s="76"/>
      <c r="F1531" s="81" t="s">
        <v>151</v>
      </c>
      <c r="G1531" s="55" t="s">
        <v>2479</v>
      </c>
      <c r="H1531" s="55" t="s">
        <v>124</v>
      </c>
      <c r="I1531" s="59">
        <v>1</v>
      </c>
      <c r="J1531" s="60" t="s">
        <v>677</v>
      </c>
      <c r="K1531" s="63" t="str">
        <f t="shared" si="163"/>
        <v>XBF-DC04CInput</v>
      </c>
      <c r="L1531" s="59">
        <f t="shared" si="166"/>
        <v>25</v>
      </c>
      <c r="M1531" s="59">
        <f t="shared" si="167"/>
        <v>17</v>
      </c>
      <c r="N1531" s="59">
        <f t="shared" si="160"/>
        <v>8</v>
      </c>
      <c r="O1531" s="60">
        <f t="shared" si="159"/>
        <v>1531</v>
      </c>
      <c r="P1531" s="65"/>
    </row>
    <row r="1532" spans="3:22">
      <c r="C1532" s="84" t="s">
        <v>103</v>
      </c>
      <c r="D1532" s="76"/>
      <c r="E1532" s="76"/>
      <c r="F1532" s="81" t="s">
        <v>151</v>
      </c>
      <c r="G1532" s="55" t="s">
        <v>2480</v>
      </c>
      <c r="H1532" s="55" t="s">
        <v>124</v>
      </c>
      <c r="I1532" s="59">
        <v>1.1000000000000001</v>
      </c>
      <c r="J1532" s="60" t="s">
        <v>679</v>
      </c>
      <c r="K1532" s="63" t="str">
        <f t="shared" si="163"/>
        <v>XBF-DC04CInput</v>
      </c>
      <c r="L1532" s="59">
        <f t="shared" si="166"/>
        <v>25</v>
      </c>
      <c r="M1532" s="59">
        <f t="shared" si="167"/>
        <v>17</v>
      </c>
      <c r="N1532" s="59">
        <f t="shared" si="160"/>
        <v>8</v>
      </c>
      <c r="O1532" s="60">
        <f t="shared" si="159"/>
        <v>1532</v>
      </c>
      <c r="P1532" s="65"/>
    </row>
    <row r="1533" spans="3:22">
      <c r="C1533" s="84" t="s">
        <v>103</v>
      </c>
      <c r="D1533" s="76"/>
      <c r="E1533" s="76"/>
      <c r="F1533" s="81" t="s">
        <v>151</v>
      </c>
      <c r="G1533" s="55" t="s">
        <v>2481</v>
      </c>
      <c r="H1533" s="55" t="s">
        <v>124</v>
      </c>
      <c r="I1533" s="59">
        <v>1.2</v>
      </c>
      <c r="J1533" s="60" t="s">
        <v>681</v>
      </c>
      <c r="K1533" s="63" t="str">
        <f t="shared" si="163"/>
        <v>XBF-DC04CInput</v>
      </c>
      <c r="L1533" s="59">
        <f t="shared" si="166"/>
        <v>25</v>
      </c>
      <c r="M1533" s="59">
        <f t="shared" si="167"/>
        <v>17</v>
      </c>
      <c r="N1533" s="59">
        <f t="shared" si="160"/>
        <v>8</v>
      </c>
      <c r="O1533" s="60">
        <f t="shared" si="159"/>
        <v>1533</v>
      </c>
      <c r="P1533" s="65"/>
    </row>
    <row r="1534" spans="3:22">
      <c r="C1534" s="84" t="s">
        <v>103</v>
      </c>
      <c r="D1534" s="76"/>
      <c r="E1534" s="76"/>
      <c r="F1534" s="81" t="s">
        <v>151</v>
      </c>
      <c r="G1534" s="55" t="s">
        <v>2482</v>
      </c>
      <c r="H1534" s="55" t="s">
        <v>124</v>
      </c>
      <c r="I1534" s="59">
        <v>1.3</v>
      </c>
      <c r="J1534" s="60" t="s">
        <v>683</v>
      </c>
      <c r="K1534" s="63" t="str">
        <f t="shared" si="163"/>
        <v>XBF-DC04CInput</v>
      </c>
      <c r="L1534" s="59">
        <f t="shared" si="166"/>
        <v>25</v>
      </c>
      <c r="M1534" s="59">
        <f t="shared" si="167"/>
        <v>17</v>
      </c>
      <c r="N1534" s="59">
        <f t="shared" si="160"/>
        <v>8</v>
      </c>
      <c r="O1534" s="60">
        <f t="shared" si="159"/>
        <v>1534</v>
      </c>
      <c r="P1534" s="65"/>
    </row>
    <row r="1535" spans="3:22">
      <c r="C1535" s="84" t="s">
        <v>103</v>
      </c>
      <c r="D1535" s="76"/>
      <c r="E1535" s="76"/>
      <c r="F1535" s="81" t="s">
        <v>151</v>
      </c>
      <c r="G1535" s="55" t="s">
        <v>2483</v>
      </c>
      <c r="H1535" s="55" t="s">
        <v>124</v>
      </c>
      <c r="I1535" s="59">
        <v>1.8</v>
      </c>
      <c r="J1535" s="60" t="s">
        <v>2484</v>
      </c>
      <c r="K1535" s="63" t="str">
        <f t="shared" si="163"/>
        <v>XBF-DC04CInput</v>
      </c>
      <c r="L1535" s="59">
        <f t="shared" si="166"/>
        <v>25</v>
      </c>
      <c r="M1535" s="59">
        <f t="shared" si="167"/>
        <v>17</v>
      </c>
      <c r="N1535" s="59">
        <f t="shared" si="160"/>
        <v>8</v>
      </c>
      <c r="O1535" s="60">
        <f t="shared" si="159"/>
        <v>1535</v>
      </c>
      <c r="P1535" s="65"/>
    </row>
    <row r="1536" spans="3:22">
      <c r="C1536" s="84" t="s">
        <v>103</v>
      </c>
      <c r="D1536" s="76"/>
      <c r="E1536" s="76"/>
      <c r="F1536" s="81" t="s">
        <v>151</v>
      </c>
      <c r="G1536" s="55" t="s">
        <v>2485</v>
      </c>
      <c r="H1536" s="55" t="s">
        <v>124</v>
      </c>
      <c r="I1536" s="59">
        <v>1.9</v>
      </c>
      <c r="J1536" s="60" t="s">
        <v>2486</v>
      </c>
      <c r="K1536" s="63" t="str">
        <f t="shared" si="163"/>
        <v>XBF-DC04CInput</v>
      </c>
      <c r="L1536" s="59">
        <f t="shared" si="166"/>
        <v>25</v>
      </c>
      <c r="M1536" s="59">
        <f t="shared" si="167"/>
        <v>17</v>
      </c>
      <c r="N1536" s="59">
        <f t="shared" si="160"/>
        <v>8</v>
      </c>
      <c r="O1536" s="60">
        <f t="shared" si="159"/>
        <v>1536</v>
      </c>
      <c r="P1536" s="65"/>
    </row>
    <row r="1537" spans="3:22">
      <c r="C1537" s="84" t="s">
        <v>103</v>
      </c>
      <c r="D1537" s="76"/>
      <c r="E1537" s="76"/>
      <c r="F1537" s="81" t="s">
        <v>151</v>
      </c>
      <c r="G1537" s="55" t="s">
        <v>2487</v>
      </c>
      <c r="H1537" s="55" t="s">
        <v>124</v>
      </c>
      <c r="I1537" s="59" t="s">
        <v>136</v>
      </c>
      <c r="J1537" s="60" t="s">
        <v>2488</v>
      </c>
      <c r="K1537" s="63" t="str">
        <f t="shared" si="163"/>
        <v>XBF-DC04CInput</v>
      </c>
      <c r="L1537" s="59">
        <f t="shared" si="166"/>
        <v>25</v>
      </c>
      <c r="M1537" s="59">
        <f t="shared" si="167"/>
        <v>17</v>
      </c>
      <c r="N1537" s="59">
        <f t="shared" si="160"/>
        <v>8</v>
      </c>
      <c r="O1537" s="60">
        <f t="shared" si="159"/>
        <v>1537</v>
      </c>
      <c r="P1537" s="65"/>
    </row>
    <row r="1538" spans="3:22">
      <c r="C1538" s="84" t="s">
        <v>103</v>
      </c>
      <c r="D1538" s="76"/>
      <c r="E1538" s="76"/>
      <c r="F1538" s="81" t="s">
        <v>151</v>
      </c>
      <c r="G1538" s="55" t="s">
        <v>2489</v>
      </c>
      <c r="H1538" s="55" t="s">
        <v>124</v>
      </c>
      <c r="I1538" s="59" t="s">
        <v>138</v>
      </c>
      <c r="J1538" s="60" t="s">
        <v>2490</v>
      </c>
      <c r="K1538" s="63" t="str">
        <f t="shared" si="163"/>
        <v>XBF-DC04CInput</v>
      </c>
      <c r="L1538" s="59">
        <f t="shared" si="166"/>
        <v>25</v>
      </c>
      <c r="M1538" s="59">
        <f t="shared" si="167"/>
        <v>17</v>
      </c>
      <c r="N1538" s="59">
        <f t="shared" si="160"/>
        <v>8</v>
      </c>
      <c r="O1538" s="60">
        <f t="shared" ref="O1538:O1601" si="168">ROW(C1538)</f>
        <v>1538</v>
      </c>
      <c r="P1538" s="65"/>
    </row>
    <row r="1539" spans="3:22">
      <c r="C1539" s="84" t="s">
        <v>103</v>
      </c>
      <c r="D1539" s="76"/>
      <c r="E1539" s="76"/>
      <c r="F1539" s="81" t="s">
        <v>151</v>
      </c>
      <c r="G1539" s="55" t="s">
        <v>2491</v>
      </c>
      <c r="H1539" s="55" t="s">
        <v>124</v>
      </c>
      <c r="I1539" s="59" t="s">
        <v>201</v>
      </c>
      <c r="J1539" s="60" t="s">
        <v>2492</v>
      </c>
      <c r="K1539" s="63" t="str">
        <f t="shared" si="163"/>
        <v>XBF-DC04CInput</v>
      </c>
      <c r="L1539" s="59">
        <f t="shared" si="166"/>
        <v>25</v>
      </c>
      <c r="M1539" s="59">
        <f t="shared" si="167"/>
        <v>17</v>
      </c>
      <c r="N1539" s="59">
        <f t="shared" ref="N1539:N1602" si="169">L1539-M1539</f>
        <v>8</v>
      </c>
      <c r="O1539" s="60">
        <f t="shared" si="168"/>
        <v>1539</v>
      </c>
      <c r="P1539" s="65"/>
    </row>
    <row r="1540" spans="3:22">
      <c r="C1540" s="84" t="s">
        <v>103</v>
      </c>
      <c r="D1540" s="76"/>
      <c r="E1540" s="76"/>
      <c r="F1540" s="81" t="s">
        <v>151</v>
      </c>
      <c r="G1540" s="55" t="s">
        <v>2493</v>
      </c>
      <c r="H1540" s="55" t="s">
        <v>124</v>
      </c>
      <c r="I1540" s="59" t="s">
        <v>204</v>
      </c>
      <c r="J1540" s="60" t="s">
        <v>2494</v>
      </c>
      <c r="K1540" s="63" t="str">
        <f t="shared" si="163"/>
        <v>XBF-DC04CInput</v>
      </c>
      <c r="L1540" s="59">
        <f t="shared" si="166"/>
        <v>25</v>
      </c>
      <c r="M1540" s="59">
        <f t="shared" si="167"/>
        <v>17</v>
      </c>
      <c r="N1540" s="59">
        <f t="shared" si="169"/>
        <v>8</v>
      </c>
      <c r="O1540" s="60">
        <f t="shared" si="168"/>
        <v>1540</v>
      </c>
      <c r="P1540" s="65"/>
    </row>
    <row r="1541" spans="3:22">
      <c r="C1541" s="84" t="s">
        <v>103</v>
      </c>
      <c r="D1541" s="76"/>
      <c r="E1541" s="76"/>
      <c r="F1541" s="81" t="s">
        <v>151</v>
      </c>
      <c r="G1541" s="55" t="s">
        <v>2495</v>
      </c>
      <c r="H1541" s="55" t="s">
        <v>124</v>
      </c>
      <c r="I1541" s="59" t="s">
        <v>207</v>
      </c>
      <c r="J1541" s="60" t="s">
        <v>2496</v>
      </c>
      <c r="K1541" s="63" t="str">
        <f t="shared" si="163"/>
        <v>XBF-DC04CInput</v>
      </c>
      <c r="L1541" s="59">
        <f t="shared" si="166"/>
        <v>25</v>
      </c>
      <c r="M1541" s="59">
        <f t="shared" si="167"/>
        <v>17</v>
      </c>
      <c r="N1541" s="59">
        <f t="shared" si="169"/>
        <v>8</v>
      </c>
      <c r="O1541" s="60">
        <f t="shared" si="168"/>
        <v>1541</v>
      </c>
      <c r="P1541" s="65"/>
    </row>
    <row r="1542" spans="3:22">
      <c r="C1542" s="84" t="s">
        <v>103</v>
      </c>
      <c r="D1542" s="76"/>
      <c r="E1542" s="76"/>
      <c r="F1542" s="81" t="s">
        <v>151</v>
      </c>
      <c r="G1542" s="55" t="s">
        <v>2497</v>
      </c>
      <c r="H1542" s="55" t="s">
        <v>124</v>
      </c>
      <c r="I1542" s="59" t="s">
        <v>210</v>
      </c>
      <c r="J1542" s="60" t="s">
        <v>2498</v>
      </c>
      <c r="K1542" s="63" t="str">
        <f t="shared" si="163"/>
        <v>XBF-DC04CInput</v>
      </c>
      <c r="L1542" s="59">
        <f t="shared" si="166"/>
        <v>25</v>
      </c>
      <c r="M1542" s="59">
        <f t="shared" si="167"/>
        <v>17</v>
      </c>
      <c r="N1542" s="59">
        <f t="shared" si="169"/>
        <v>8</v>
      </c>
      <c r="O1542" s="60">
        <f t="shared" si="168"/>
        <v>1542</v>
      </c>
      <c r="P1542" s="65"/>
    </row>
    <row r="1543" spans="3:22">
      <c r="C1543" s="84" t="s">
        <v>103</v>
      </c>
      <c r="D1543" s="76"/>
      <c r="E1543" s="76"/>
      <c r="F1543" s="81" t="s">
        <v>166</v>
      </c>
      <c r="G1543" s="55" t="s">
        <v>2499</v>
      </c>
      <c r="H1543" s="55" t="s">
        <v>124</v>
      </c>
      <c r="I1543" s="59">
        <v>0</v>
      </c>
      <c r="J1543" s="60" t="s">
        <v>685</v>
      </c>
      <c r="K1543" s="63"/>
      <c r="L1543" s="59"/>
      <c r="M1543" s="59"/>
      <c r="N1543" s="59"/>
      <c r="O1543" s="60">
        <f t="shared" si="168"/>
        <v>1543</v>
      </c>
      <c r="P1543" s="65"/>
    </row>
    <row r="1544" spans="3:22">
      <c r="C1544" s="84" t="s">
        <v>103</v>
      </c>
      <c r="D1544" s="76"/>
      <c r="E1544" s="76"/>
      <c r="F1544" s="81" t="s">
        <v>166</v>
      </c>
      <c r="G1544" s="55" t="s">
        <v>2500</v>
      </c>
      <c r="H1544" s="55" t="s">
        <v>124</v>
      </c>
      <c r="I1544" s="59">
        <v>0.1</v>
      </c>
      <c r="J1544" s="60" t="s">
        <v>687</v>
      </c>
      <c r="K1544" s="63"/>
      <c r="L1544" s="59"/>
      <c r="M1544" s="59"/>
      <c r="N1544" s="59"/>
      <c r="O1544" s="60">
        <f t="shared" si="168"/>
        <v>1544</v>
      </c>
      <c r="P1544" s="65"/>
    </row>
    <row r="1545" spans="3:22">
      <c r="C1545" s="84" t="s">
        <v>103</v>
      </c>
      <c r="D1545" s="76"/>
      <c r="E1545" s="76"/>
      <c r="F1545" s="81" t="s">
        <v>166</v>
      </c>
      <c r="G1545" s="55" t="s">
        <v>2501</v>
      </c>
      <c r="H1545" s="55" t="s">
        <v>124</v>
      </c>
      <c r="I1545" s="59">
        <v>0.2</v>
      </c>
      <c r="J1545" s="60" t="s">
        <v>689</v>
      </c>
      <c r="K1545" s="63"/>
      <c r="L1545" s="59"/>
      <c r="M1545" s="59"/>
      <c r="N1545" s="59"/>
      <c r="O1545" s="60">
        <f t="shared" si="168"/>
        <v>1545</v>
      </c>
      <c r="P1545" s="65"/>
    </row>
    <row r="1546" spans="3:22">
      <c r="C1546" s="84" t="s">
        <v>103</v>
      </c>
      <c r="D1546" s="76"/>
      <c r="E1546" s="76"/>
      <c r="F1546" s="81" t="s">
        <v>166</v>
      </c>
      <c r="G1546" s="55" t="s">
        <v>2502</v>
      </c>
      <c r="H1546" s="55" t="s">
        <v>124</v>
      </c>
      <c r="I1546" s="59">
        <v>0.3</v>
      </c>
      <c r="J1546" s="60" t="s">
        <v>691</v>
      </c>
      <c r="K1546" s="63"/>
      <c r="L1546" s="59"/>
      <c r="M1546" s="59"/>
      <c r="N1546" s="59"/>
      <c r="O1546" s="60">
        <f t="shared" si="168"/>
        <v>1546</v>
      </c>
      <c r="P1546" s="65"/>
    </row>
    <row r="1547" spans="3:22">
      <c r="C1547" s="84" t="s">
        <v>103</v>
      </c>
      <c r="D1547" s="76"/>
      <c r="E1547" s="76"/>
      <c r="F1547" s="81" t="s">
        <v>166</v>
      </c>
      <c r="G1547" s="55" t="s">
        <v>2503</v>
      </c>
      <c r="H1547" s="55" t="s">
        <v>139</v>
      </c>
      <c r="I1547" s="59">
        <v>1</v>
      </c>
      <c r="J1547" s="60" t="s">
        <v>693</v>
      </c>
      <c r="K1547" s="63"/>
      <c r="L1547" s="59"/>
      <c r="M1547" s="59"/>
      <c r="N1547" s="59"/>
      <c r="O1547" s="60">
        <f t="shared" si="168"/>
        <v>1547</v>
      </c>
      <c r="P1547" s="65"/>
    </row>
    <row r="1548" spans="3:22">
      <c r="C1548" s="84" t="s">
        <v>103</v>
      </c>
      <c r="D1548" s="76"/>
      <c r="E1548" s="76"/>
      <c r="F1548" s="81" t="s">
        <v>166</v>
      </c>
      <c r="G1548" s="55" t="s">
        <v>2504</v>
      </c>
      <c r="H1548" s="55" t="s">
        <v>139</v>
      </c>
      <c r="I1548" s="59">
        <v>2</v>
      </c>
      <c r="J1548" s="60" t="s">
        <v>695</v>
      </c>
      <c r="K1548" s="63"/>
      <c r="L1548" s="59"/>
      <c r="M1548" s="59"/>
      <c r="N1548" s="59"/>
      <c r="O1548" s="60">
        <f t="shared" si="168"/>
        <v>1548</v>
      </c>
      <c r="P1548" s="65"/>
    </row>
    <row r="1549" spans="3:22">
      <c r="C1549" s="84" t="s">
        <v>103</v>
      </c>
      <c r="D1549" s="76"/>
      <c r="E1549" s="76"/>
      <c r="F1549" s="81" t="s">
        <v>166</v>
      </c>
      <c r="G1549" s="55" t="s">
        <v>2505</v>
      </c>
      <c r="H1549" s="55" t="s">
        <v>139</v>
      </c>
      <c r="I1549" s="59">
        <v>3</v>
      </c>
      <c r="J1549" s="60" t="s">
        <v>697</v>
      </c>
      <c r="K1549" s="63"/>
      <c r="L1549" s="59"/>
      <c r="M1549" s="59"/>
      <c r="N1549" s="59"/>
      <c r="O1549" s="60">
        <f t="shared" si="168"/>
        <v>1549</v>
      </c>
      <c r="P1549" s="65"/>
    </row>
    <row r="1550" spans="3:22">
      <c r="C1550" s="84" t="s">
        <v>103</v>
      </c>
      <c r="D1550" s="76"/>
      <c r="E1550" s="76"/>
      <c r="F1550" s="81" t="s">
        <v>166</v>
      </c>
      <c r="G1550" s="55" t="s">
        <v>2506</v>
      </c>
      <c r="H1550" s="55" t="s">
        <v>139</v>
      </c>
      <c r="I1550" s="59">
        <v>4</v>
      </c>
      <c r="J1550" s="60" t="s">
        <v>699</v>
      </c>
      <c r="K1550" s="63"/>
      <c r="L1550" s="59"/>
      <c r="M1550" s="59"/>
      <c r="N1550" s="59"/>
      <c r="O1550" s="60">
        <f t="shared" si="168"/>
        <v>1550</v>
      </c>
      <c r="P1550" s="65"/>
    </row>
    <row r="1551" spans="3:22">
      <c r="C1551" s="84" t="s">
        <v>104</v>
      </c>
      <c r="D1551" s="77">
        <v>12</v>
      </c>
      <c r="E1551" s="77">
        <v>6</v>
      </c>
      <c r="F1551" s="81" t="s">
        <v>151</v>
      </c>
      <c r="G1551" s="55" t="s">
        <v>123</v>
      </c>
      <c r="H1551" s="55" t="s">
        <v>124</v>
      </c>
      <c r="I1551" s="59">
        <v>0</v>
      </c>
      <c r="J1551" s="60" t="s">
        <v>152</v>
      </c>
      <c r="K1551" s="63" t="str">
        <f t="shared" si="163"/>
        <v>XBF-AH04AInput</v>
      </c>
      <c r="L1551" s="59">
        <f t="shared" ref="L1551:L1566" si="170">COUNTIF($C$2:$C$2062,C1551)</f>
        <v>20</v>
      </c>
      <c r="M1551" s="59">
        <f t="shared" ref="M1551:M1566" si="171">COUNTIF($K$2:$K$2062,K1551)</f>
        <v>16</v>
      </c>
      <c r="N1551" s="59">
        <f t="shared" si="169"/>
        <v>4</v>
      </c>
      <c r="O1551" s="60">
        <f t="shared" si="168"/>
        <v>1551</v>
      </c>
      <c r="P1551" s="65" t="s">
        <v>3214</v>
      </c>
      <c r="Q1551">
        <f>O1551</f>
        <v>1551</v>
      </c>
      <c r="R1551" t="s">
        <v>3215</v>
      </c>
      <c r="S1551">
        <v>1571</v>
      </c>
      <c r="T1551" t="str">
        <f>P1551&amp;Q1551&amp;R1551&amp;S1551</f>
        <v>All data map'!$F$1551:$J$1571</v>
      </c>
      <c r="V1551" t="s">
        <v>3213</v>
      </c>
    </row>
    <row r="1552" spans="3:22">
      <c r="C1552" s="84" t="s">
        <v>104</v>
      </c>
      <c r="D1552" s="78"/>
      <c r="E1552" s="78"/>
      <c r="F1552" s="81" t="s">
        <v>151</v>
      </c>
      <c r="G1552" s="55" t="s">
        <v>125</v>
      </c>
      <c r="H1552" s="55" t="s">
        <v>124</v>
      </c>
      <c r="I1552" s="59" t="s">
        <v>126</v>
      </c>
      <c r="J1552" s="60" t="s">
        <v>153</v>
      </c>
      <c r="K1552" s="63" t="str">
        <f t="shared" si="163"/>
        <v>XBF-AH04AInput</v>
      </c>
      <c r="L1552" s="59">
        <f t="shared" si="170"/>
        <v>20</v>
      </c>
      <c r="M1552" s="59">
        <f t="shared" si="171"/>
        <v>16</v>
      </c>
      <c r="N1552" s="59">
        <f t="shared" si="169"/>
        <v>4</v>
      </c>
      <c r="O1552" s="60">
        <f t="shared" si="168"/>
        <v>1552</v>
      </c>
    </row>
    <row r="1553" spans="3:15">
      <c r="C1553" s="84" t="s">
        <v>104</v>
      </c>
      <c r="D1553" s="78"/>
      <c r="E1553" s="78"/>
      <c r="F1553" s="81" t="s">
        <v>151</v>
      </c>
      <c r="G1553" s="55" t="s">
        <v>127</v>
      </c>
      <c r="H1553" s="55" t="s">
        <v>124</v>
      </c>
      <c r="I1553" s="59">
        <v>1</v>
      </c>
      <c r="J1553" s="60" t="s">
        <v>154</v>
      </c>
      <c r="K1553" s="63" t="str">
        <f t="shared" si="163"/>
        <v>XBF-AH04AInput</v>
      </c>
      <c r="L1553" s="59">
        <f t="shared" si="170"/>
        <v>20</v>
      </c>
      <c r="M1553" s="59">
        <f t="shared" si="171"/>
        <v>16</v>
      </c>
      <c r="N1553" s="59">
        <f t="shared" si="169"/>
        <v>4</v>
      </c>
      <c r="O1553" s="60">
        <f t="shared" si="168"/>
        <v>1553</v>
      </c>
    </row>
    <row r="1554" spans="3:15">
      <c r="C1554" s="84" t="s">
        <v>104</v>
      </c>
      <c r="D1554" s="78"/>
      <c r="E1554" s="78"/>
      <c r="F1554" s="81" t="s">
        <v>151</v>
      </c>
      <c r="G1554" s="55" t="s">
        <v>128</v>
      </c>
      <c r="H1554" s="55" t="s">
        <v>124</v>
      </c>
      <c r="I1554" s="59">
        <v>1.1000000000000001</v>
      </c>
      <c r="J1554" s="60" t="s">
        <v>155</v>
      </c>
      <c r="K1554" s="63" t="str">
        <f t="shared" si="163"/>
        <v>XBF-AH04AInput</v>
      </c>
      <c r="L1554" s="59">
        <f t="shared" si="170"/>
        <v>20</v>
      </c>
      <c r="M1554" s="59">
        <f t="shared" si="171"/>
        <v>16</v>
      </c>
      <c r="N1554" s="59">
        <f t="shared" si="169"/>
        <v>4</v>
      </c>
      <c r="O1554" s="60">
        <f t="shared" si="168"/>
        <v>1554</v>
      </c>
    </row>
    <row r="1555" spans="3:15">
      <c r="C1555" s="84" t="s">
        <v>104</v>
      </c>
      <c r="D1555" s="78"/>
      <c r="E1555" s="78"/>
      <c r="F1555" s="81" t="s">
        <v>151</v>
      </c>
      <c r="G1555" s="55" t="s">
        <v>129</v>
      </c>
      <c r="H1555" s="55" t="s">
        <v>124</v>
      </c>
      <c r="I1555" s="59">
        <v>1.2</v>
      </c>
      <c r="J1555" s="60" t="s">
        <v>156</v>
      </c>
      <c r="K1555" s="63" t="str">
        <f t="shared" si="163"/>
        <v>XBF-AH04AInput</v>
      </c>
      <c r="L1555" s="59">
        <f t="shared" si="170"/>
        <v>20</v>
      </c>
      <c r="M1555" s="59">
        <f t="shared" si="171"/>
        <v>16</v>
      </c>
      <c r="N1555" s="59">
        <f t="shared" si="169"/>
        <v>4</v>
      </c>
      <c r="O1555" s="60">
        <f t="shared" si="168"/>
        <v>1555</v>
      </c>
    </row>
    <row r="1556" spans="3:15">
      <c r="C1556" s="84" t="s">
        <v>104</v>
      </c>
      <c r="D1556" s="78"/>
      <c r="E1556" s="78"/>
      <c r="F1556" s="81" t="s">
        <v>151</v>
      </c>
      <c r="G1556" s="55" t="s">
        <v>130</v>
      </c>
      <c r="H1556" s="55" t="s">
        <v>124</v>
      </c>
      <c r="I1556" s="59">
        <v>1.3</v>
      </c>
      <c r="J1556" s="60" t="s">
        <v>157</v>
      </c>
      <c r="K1556" s="63" t="str">
        <f t="shared" si="163"/>
        <v>XBF-AH04AInput</v>
      </c>
      <c r="L1556" s="59">
        <f t="shared" si="170"/>
        <v>20</v>
      </c>
      <c r="M1556" s="59">
        <f t="shared" si="171"/>
        <v>16</v>
      </c>
      <c r="N1556" s="59">
        <f t="shared" si="169"/>
        <v>4</v>
      </c>
      <c r="O1556" s="60">
        <f t="shared" si="168"/>
        <v>1556</v>
      </c>
    </row>
    <row r="1557" spans="3:15">
      <c r="C1557" s="84" t="s">
        <v>104</v>
      </c>
      <c r="D1557" s="78"/>
      <c r="E1557" s="78"/>
      <c r="F1557" s="81" t="s">
        <v>151</v>
      </c>
      <c r="G1557" s="55" t="s">
        <v>131</v>
      </c>
      <c r="H1557" s="55" t="s">
        <v>124</v>
      </c>
      <c r="I1557" s="59">
        <v>1.4</v>
      </c>
      <c r="J1557" s="60" t="s">
        <v>158</v>
      </c>
      <c r="K1557" s="63" t="str">
        <f t="shared" ref="K1557:K1620" si="172">C1557&amp;F1557</f>
        <v>XBF-AH04AInput</v>
      </c>
      <c r="L1557" s="59">
        <f t="shared" si="170"/>
        <v>20</v>
      </c>
      <c r="M1557" s="59">
        <f t="shared" si="171"/>
        <v>16</v>
      </c>
      <c r="N1557" s="59">
        <f t="shared" si="169"/>
        <v>4</v>
      </c>
      <c r="O1557" s="60">
        <f t="shared" si="168"/>
        <v>1557</v>
      </c>
    </row>
    <row r="1558" spans="3:15">
      <c r="C1558" s="84" t="s">
        <v>104</v>
      </c>
      <c r="D1558" s="78"/>
      <c r="E1558" s="78"/>
      <c r="F1558" s="81" t="s">
        <v>151</v>
      </c>
      <c r="G1558" s="55" t="s">
        <v>132</v>
      </c>
      <c r="H1558" s="55" t="s">
        <v>124</v>
      </c>
      <c r="I1558" s="59">
        <v>1.5</v>
      </c>
      <c r="J1558" s="60" t="s">
        <v>159</v>
      </c>
      <c r="K1558" s="63" t="str">
        <f t="shared" si="172"/>
        <v>XBF-AH04AInput</v>
      </c>
      <c r="L1558" s="59">
        <f t="shared" si="170"/>
        <v>20</v>
      </c>
      <c r="M1558" s="59">
        <f t="shared" si="171"/>
        <v>16</v>
      </c>
      <c r="N1558" s="59">
        <f t="shared" si="169"/>
        <v>4</v>
      </c>
      <c r="O1558" s="60">
        <f t="shared" si="168"/>
        <v>1558</v>
      </c>
    </row>
    <row r="1559" spans="3:15">
      <c r="C1559" s="84" t="s">
        <v>104</v>
      </c>
      <c r="D1559" s="78"/>
      <c r="E1559" s="78"/>
      <c r="F1559" s="81" t="s">
        <v>151</v>
      </c>
      <c r="G1559" s="55" t="s">
        <v>133</v>
      </c>
      <c r="H1559" s="55" t="s">
        <v>124</v>
      </c>
      <c r="I1559" s="59">
        <v>1.8</v>
      </c>
      <c r="J1559" s="60" t="s">
        <v>160</v>
      </c>
      <c r="K1559" s="63" t="str">
        <f t="shared" si="172"/>
        <v>XBF-AH04AInput</v>
      </c>
      <c r="L1559" s="59">
        <f t="shared" si="170"/>
        <v>20</v>
      </c>
      <c r="M1559" s="59">
        <f t="shared" si="171"/>
        <v>16</v>
      </c>
      <c r="N1559" s="59">
        <f t="shared" si="169"/>
        <v>4</v>
      </c>
      <c r="O1559" s="60">
        <f t="shared" si="168"/>
        <v>1559</v>
      </c>
    </row>
    <row r="1560" spans="3:15">
      <c r="C1560" s="84" t="s">
        <v>104</v>
      </c>
      <c r="D1560" s="78"/>
      <c r="E1560" s="78"/>
      <c r="F1560" s="81" t="s">
        <v>151</v>
      </c>
      <c r="G1560" s="55" t="s">
        <v>134</v>
      </c>
      <c r="H1560" s="55" t="s">
        <v>124</v>
      </c>
      <c r="I1560" s="59">
        <v>1.9</v>
      </c>
      <c r="J1560" s="60" t="s">
        <v>161</v>
      </c>
      <c r="K1560" s="63" t="str">
        <f t="shared" si="172"/>
        <v>XBF-AH04AInput</v>
      </c>
      <c r="L1560" s="59">
        <f t="shared" si="170"/>
        <v>20</v>
      </c>
      <c r="M1560" s="59">
        <f t="shared" si="171"/>
        <v>16</v>
      </c>
      <c r="N1560" s="59">
        <f t="shared" si="169"/>
        <v>4</v>
      </c>
      <c r="O1560" s="60">
        <f t="shared" si="168"/>
        <v>1560</v>
      </c>
    </row>
    <row r="1561" spans="3:15">
      <c r="C1561" s="84" t="s">
        <v>104</v>
      </c>
      <c r="D1561" s="78"/>
      <c r="E1561" s="78"/>
      <c r="F1561" s="81" t="s">
        <v>151</v>
      </c>
      <c r="G1561" s="55" t="s">
        <v>135</v>
      </c>
      <c r="H1561" s="55" t="s">
        <v>124</v>
      </c>
      <c r="I1561" s="59" t="s">
        <v>136</v>
      </c>
      <c r="J1561" s="60" t="s">
        <v>162</v>
      </c>
      <c r="K1561" s="63" t="str">
        <f t="shared" si="172"/>
        <v>XBF-AH04AInput</v>
      </c>
      <c r="L1561" s="59">
        <f t="shared" si="170"/>
        <v>20</v>
      </c>
      <c r="M1561" s="59">
        <f t="shared" si="171"/>
        <v>16</v>
      </c>
      <c r="N1561" s="59">
        <f t="shared" si="169"/>
        <v>4</v>
      </c>
      <c r="O1561" s="60">
        <f t="shared" si="168"/>
        <v>1561</v>
      </c>
    </row>
    <row r="1562" spans="3:15">
      <c r="C1562" s="84" t="s">
        <v>104</v>
      </c>
      <c r="D1562" s="78"/>
      <c r="E1562" s="78"/>
      <c r="F1562" s="81" t="s">
        <v>151</v>
      </c>
      <c r="G1562" s="55" t="s">
        <v>137</v>
      </c>
      <c r="H1562" s="55" t="s">
        <v>124</v>
      </c>
      <c r="I1562" s="59" t="s">
        <v>138</v>
      </c>
      <c r="J1562" s="60" t="s">
        <v>163</v>
      </c>
      <c r="K1562" s="63" t="str">
        <f t="shared" si="172"/>
        <v>XBF-AH04AInput</v>
      </c>
      <c r="L1562" s="59">
        <f t="shared" si="170"/>
        <v>20</v>
      </c>
      <c r="M1562" s="59">
        <f t="shared" si="171"/>
        <v>16</v>
      </c>
      <c r="N1562" s="59">
        <f t="shared" si="169"/>
        <v>4</v>
      </c>
      <c r="O1562" s="60">
        <f t="shared" si="168"/>
        <v>1562</v>
      </c>
    </row>
    <row r="1563" spans="3:15">
      <c r="C1563" s="84" t="s">
        <v>104</v>
      </c>
      <c r="D1563" s="78"/>
      <c r="E1563" s="78"/>
      <c r="F1563" s="81" t="s">
        <v>151</v>
      </c>
      <c r="G1563" s="62" t="s">
        <v>6</v>
      </c>
      <c r="H1563" s="55" t="s">
        <v>139</v>
      </c>
      <c r="I1563" s="59">
        <v>2</v>
      </c>
      <c r="J1563" s="60" t="s">
        <v>140</v>
      </c>
      <c r="K1563" s="63" t="str">
        <f t="shared" si="172"/>
        <v>XBF-AH04AInput</v>
      </c>
      <c r="L1563" s="59">
        <f t="shared" si="170"/>
        <v>20</v>
      </c>
      <c r="M1563" s="59">
        <f t="shared" si="171"/>
        <v>16</v>
      </c>
      <c r="N1563" s="59">
        <f t="shared" si="169"/>
        <v>4</v>
      </c>
      <c r="O1563" s="60">
        <f t="shared" si="168"/>
        <v>1563</v>
      </c>
    </row>
    <row r="1564" spans="3:15">
      <c r="C1564" s="84" t="s">
        <v>104</v>
      </c>
      <c r="D1564" s="78"/>
      <c r="E1564" s="78"/>
      <c r="F1564" s="81" t="s">
        <v>151</v>
      </c>
      <c r="G1564" s="62" t="s">
        <v>6</v>
      </c>
      <c r="H1564" s="55" t="s">
        <v>139</v>
      </c>
      <c r="I1564" s="59">
        <v>3</v>
      </c>
      <c r="J1564" s="60" t="s">
        <v>140</v>
      </c>
      <c r="K1564" s="63" t="str">
        <f t="shared" si="172"/>
        <v>XBF-AH04AInput</v>
      </c>
      <c r="L1564" s="59">
        <f t="shared" si="170"/>
        <v>20</v>
      </c>
      <c r="M1564" s="59">
        <f t="shared" si="171"/>
        <v>16</v>
      </c>
      <c r="N1564" s="59">
        <f t="shared" si="169"/>
        <v>4</v>
      </c>
      <c r="O1564" s="60">
        <f t="shared" si="168"/>
        <v>1564</v>
      </c>
    </row>
    <row r="1565" spans="3:15">
      <c r="C1565" s="84" t="s">
        <v>104</v>
      </c>
      <c r="D1565" s="78"/>
      <c r="E1565" s="78"/>
      <c r="F1565" s="81" t="s">
        <v>151</v>
      </c>
      <c r="G1565" s="55" t="s">
        <v>141</v>
      </c>
      <c r="H1565" s="55" t="s">
        <v>139</v>
      </c>
      <c r="I1565" s="59">
        <v>4</v>
      </c>
      <c r="J1565" s="60" t="s">
        <v>164</v>
      </c>
      <c r="K1565" s="63" t="str">
        <f t="shared" si="172"/>
        <v>XBF-AH04AInput</v>
      </c>
      <c r="L1565" s="59">
        <f t="shared" si="170"/>
        <v>20</v>
      </c>
      <c r="M1565" s="59">
        <f t="shared" si="171"/>
        <v>16</v>
      </c>
      <c r="N1565" s="59">
        <f t="shared" si="169"/>
        <v>4</v>
      </c>
      <c r="O1565" s="60">
        <f t="shared" si="168"/>
        <v>1565</v>
      </c>
    </row>
    <row r="1566" spans="3:15">
      <c r="C1566" s="84" t="s">
        <v>104</v>
      </c>
      <c r="D1566" s="78"/>
      <c r="E1566" s="78"/>
      <c r="F1566" s="81" t="s">
        <v>151</v>
      </c>
      <c r="G1566" s="55" t="s">
        <v>142</v>
      </c>
      <c r="H1566" s="55" t="s">
        <v>139</v>
      </c>
      <c r="I1566" s="59">
        <v>5</v>
      </c>
      <c r="J1566" s="60" t="s">
        <v>165</v>
      </c>
      <c r="K1566" s="63" t="str">
        <f t="shared" si="172"/>
        <v>XBF-AH04AInput</v>
      </c>
      <c r="L1566" s="59">
        <f t="shared" si="170"/>
        <v>20</v>
      </c>
      <c r="M1566" s="59">
        <f t="shared" si="171"/>
        <v>16</v>
      </c>
      <c r="N1566" s="59">
        <f t="shared" si="169"/>
        <v>4</v>
      </c>
      <c r="O1566" s="60">
        <f t="shared" si="168"/>
        <v>1566</v>
      </c>
    </row>
    <row r="1567" spans="3:15">
      <c r="C1567" s="84" t="s">
        <v>104</v>
      </c>
      <c r="D1567" s="78"/>
      <c r="E1567" s="78"/>
      <c r="F1567" s="82" t="s">
        <v>166</v>
      </c>
      <c r="G1567" s="56" t="s">
        <v>143</v>
      </c>
      <c r="H1567" s="56" t="s">
        <v>124</v>
      </c>
      <c r="I1567" s="59">
        <v>0</v>
      </c>
      <c r="J1567" s="60" t="s">
        <v>167</v>
      </c>
      <c r="K1567" s="63"/>
      <c r="L1567" s="59"/>
      <c r="M1567" s="59"/>
      <c r="N1567" s="59"/>
      <c r="O1567" s="60">
        <f t="shared" si="168"/>
        <v>1567</v>
      </c>
    </row>
    <row r="1568" spans="3:15">
      <c r="C1568" s="84" t="s">
        <v>104</v>
      </c>
      <c r="D1568" s="78"/>
      <c r="E1568" s="78"/>
      <c r="F1568" s="82" t="s">
        <v>166</v>
      </c>
      <c r="G1568" s="56" t="s">
        <v>144</v>
      </c>
      <c r="H1568" s="56" t="s">
        <v>124</v>
      </c>
      <c r="I1568" s="59">
        <v>0.1</v>
      </c>
      <c r="J1568" s="60" t="s">
        <v>168</v>
      </c>
      <c r="K1568" s="63"/>
      <c r="L1568" s="59"/>
      <c r="M1568" s="59"/>
      <c r="N1568" s="59"/>
      <c r="O1568" s="60">
        <f t="shared" si="168"/>
        <v>1568</v>
      </c>
    </row>
    <row r="1569" spans="3:22">
      <c r="C1569" s="84" t="s">
        <v>104</v>
      </c>
      <c r="D1569" s="78"/>
      <c r="E1569" s="78"/>
      <c r="F1569" s="82" t="s">
        <v>166</v>
      </c>
      <c r="G1569" s="56" t="s">
        <v>145</v>
      </c>
      <c r="H1569" s="55" t="s">
        <v>139</v>
      </c>
      <c r="I1569" s="59">
        <v>1</v>
      </c>
      <c r="J1569" s="60" t="s">
        <v>169</v>
      </c>
      <c r="K1569" s="63"/>
      <c r="L1569" s="59"/>
      <c r="M1569" s="59"/>
      <c r="N1569" s="59"/>
      <c r="O1569" s="60">
        <f t="shared" si="168"/>
        <v>1569</v>
      </c>
    </row>
    <row r="1570" spans="3:22">
      <c r="C1570" s="84" t="s">
        <v>104</v>
      </c>
      <c r="D1570" s="78"/>
      <c r="E1570" s="78"/>
      <c r="F1570" s="82" t="s">
        <v>166</v>
      </c>
      <c r="G1570" s="56" t="s">
        <v>146</v>
      </c>
      <c r="H1570" s="55" t="s">
        <v>139</v>
      </c>
      <c r="I1570" s="59">
        <v>2</v>
      </c>
      <c r="J1570" s="60" t="s">
        <v>170</v>
      </c>
      <c r="K1570" s="63"/>
      <c r="L1570" s="59"/>
      <c r="M1570" s="59"/>
      <c r="N1570" s="59"/>
      <c r="O1570" s="60">
        <f t="shared" si="168"/>
        <v>1570</v>
      </c>
      <c r="P1570" s="65"/>
    </row>
    <row r="1571" spans="3:22">
      <c r="C1571" s="84" t="s">
        <v>105</v>
      </c>
      <c r="D1571" s="76">
        <v>24</v>
      </c>
      <c r="E1571" s="76">
        <v>0</v>
      </c>
      <c r="F1571" s="82" t="s">
        <v>151</v>
      </c>
      <c r="G1571" s="55" t="s">
        <v>2677</v>
      </c>
      <c r="H1571" s="55" t="s">
        <v>124</v>
      </c>
      <c r="I1571" s="59">
        <v>0</v>
      </c>
      <c r="J1571" s="60" t="s">
        <v>2666</v>
      </c>
      <c r="K1571" s="63" t="str">
        <f t="shared" si="172"/>
        <v>XBF-RD04AInput</v>
      </c>
      <c r="L1571" s="59">
        <f t="shared" ref="L1571:L1602" si="173">COUNTIF($C$2:$C$2062,C1571)</f>
        <v>20</v>
      </c>
      <c r="M1571" s="59">
        <f t="shared" ref="M1571:M1602" si="174">COUNTIF($K$2:$K$2062,K1571)</f>
        <v>20</v>
      </c>
      <c r="N1571" s="59">
        <f t="shared" si="169"/>
        <v>0</v>
      </c>
      <c r="O1571" s="60">
        <f t="shared" si="168"/>
        <v>1571</v>
      </c>
      <c r="P1571" s="65" t="s">
        <v>3214</v>
      </c>
      <c r="Q1571">
        <f>O1571</f>
        <v>1571</v>
      </c>
      <c r="R1571" t="s">
        <v>3215</v>
      </c>
      <c r="S1571">
        <v>1591</v>
      </c>
      <c r="T1571" t="str">
        <f>P1571&amp;Q1571&amp;R1571&amp;S1571</f>
        <v>All data map'!$F$1571:$J$1591</v>
      </c>
      <c r="V1571" t="s">
        <v>3285</v>
      </c>
    </row>
    <row r="1572" spans="3:22">
      <c r="C1572" s="84" t="s">
        <v>105</v>
      </c>
      <c r="D1572" s="75"/>
      <c r="E1572" s="75"/>
      <c r="F1572" s="81" t="s">
        <v>151</v>
      </c>
      <c r="G1572" s="55" t="s">
        <v>2678</v>
      </c>
      <c r="H1572" s="55" t="s">
        <v>124</v>
      </c>
      <c r="I1572" s="59" t="s">
        <v>126</v>
      </c>
      <c r="J1572" s="60" t="s">
        <v>2668</v>
      </c>
      <c r="K1572" s="63" t="str">
        <f t="shared" si="172"/>
        <v>XBF-RD04AInput</v>
      </c>
      <c r="L1572" s="59">
        <f t="shared" si="173"/>
        <v>20</v>
      </c>
      <c r="M1572" s="59">
        <f t="shared" si="174"/>
        <v>20</v>
      </c>
      <c r="N1572" s="59">
        <f t="shared" si="169"/>
        <v>0</v>
      </c>
      <c r="O1572" s="60">
        <f t="shared" si="168"/>
        <v>1572</v>
      </c>
    </row>
    <row r="1573" spans="3:22">
      <c r="C1573" s="84" t="s">
        <v>105</v>
      </c>
      <c r="D1573" s="75"/>
      <c r="E1573" s="75"/>
      <c r="F1573" s="81" t="s">
        <v>151</v>
      </c>
      <c r="G1573" s="55" t="s">
        <v>2679</v>
      </c>
      <c r="H1573" s="55" t="s">
        <v>124</v>
      </c>
      <c r="I1573" s="59">
        <v>1</v>
      </c>
      <c r="J1573" s="60" t="s">
        <v>2670</v>
      </c>
      <c r="K1573" s="63" t="str">
        <f t="shared" si="172"/>
        <v>XBF-RD04AInput</v>
      </c>
      <c r="L1573" s="59">
        <f t="shared" si="173"/>
        <v>20</v>
      </c>
      <c r="M1573" s="59">
        <f t="shared" si="174"/>
        <v>20</v>
      </c>
      <c r="N1573" s="59">
        <f t="shared" si="169"/>
        <v>0</v>
      </c>
      <c r="O1573" s="60">
        <f t="shared" si="168"/>
        <v>1573</v>
      </c>
    </row>
    <row r="1574" spans="3:22">
      <c r="C1574" s="84" t="s">
        <v>105</v>
      </c>
      <c r="D1574" s="75"/>
      <c r="E1574" s="75"/>
      <c r="F1574" s="81" t="s">
        <v>151</v>
      </c>
      <c r="G1574" s="55" t="s">
        <v>2680</v>
      </c>
      <c r="H1574" s="55" t="s">
        <v>124</v>
      </c>
      <c r="I1574" s="59">
        <v>1.1000000000000001</v>
      </c>
      <c r="J1574" s="60" t="s">
        <v>2681</v>
      </c>
      <c r="K1574" s="63" t="str">
        <f t="shared" si="172"/>
        <v>XBF-RD04AInput</v>
      </c>
      <c r="L1574" s="59">
        <f t="shared" si="173"/>
        <v>20</v>
      </c>
      <c r="M1574" s="59">
        <f t="shared" si="174"/>
        <v>20</v>
      </c>
      <c r="N1574" s="59">
        <f t="shared" si="169"/>
        <v>0</v>
      </c>
      <c r="O1574" s="60">
        <f t="shared" si="168"/>
        <v>1574</v>
      </c>
    </row>
    <row r="1575" spans="3:22">
      <c r="C1575" s="84" t="s">
        <v>105</v>
      </c>
      <c r="D1575" s="75"/>
      <c r="E1575" s="75"/>
      <c r="F1575" s="81" t="s">
        <v>151</v>
      </c>
      <c r="G1575" s="55" t="s">
        <v>2682</v>
      </c>
      <c r="H1575" s="55" t="s">
        <v>124</v>
      </c>
      <c r="I1575" s="59">
        <v>1.2</v>
      </c>
      <c r="J1575" s="60" t="s">
        <v>2683</v>
      </c>
      <c r="K1575" s="63" t="str">
        <f t="shared" si="172"/>
        <v>XBF-RD04AInput</v>
      </c>
      <c r="L1575" s="59">
        <f t="shared" si="173"/>
        <v>20</v>
      </c>
      <c r="M1575" s="59">
        <f t="shared" si="174"/>
        <v>20</v>
      </c>
      <c r="N1575" s="59">
        <f t="shared" si="169"/>
        <v>0</v>
      </c>
      <c r="O1575" s="60">
        <f t="shared" si="168"/>
        <v>1575</v>
      </c>
    </row>
    <row r="1576" spans="3:22">
      <c r="C1576" s="84" t="s">
        <v>105</v>
      </c>
      <c r="D1576" s="75"/>
      <c r="E1576" s="75"/>
      <c r="F1576" s="81" t="s">
        <v>151</v>
      </c>
      <c r="G1576" s="55" t="s">
        <v>2684</v>
      </c>
      <c r="H1576" s="55" t="s">
        <v>124</v>
      </c>
      <c r="I1576" s="59">
        <v>1.3</v>
      </c>
      <c r="J1576" s="60" t="s">
        <v>2685</v>
      </c>
      <c r="K1576" s="63" t="str">
        <f t="shared" si="172"/>
        <v>XBF-RD04AInput</v>
      </c>
      <c r="L1576" s="59">
        <f t="shared" si="173"/>
        <v>20</v>
      </c>
      <c r="M1576" s="59">
        <f t="shared" si="174"/>
        <v>20</v>
      </c>
      <c r="N1576" s="59">
        <f t="shared" si="169"/>
        <v>0</v>
      </c>
      <c r="O1576" s="60">
        <f t="shared" si="168"/>
        <v>1576</v>
      </c>
    </row>
    <row r="1577" spans="3:22">
      <c r="C1577" s="84" t="s">
        <v>105</v>
      </c>
      <c r="D1577" s="75"/>
      <c r="E1577" s="75"/>
      <c r="F1577" s="81" t="s">
        <v>151</v>
      </c>
      <c r="G1577" s="55" t="s">
        <v>2686</v>
      </c>
      <c r="H1577" s="55" t="s">
        <v>124</v>
      </c>
      <c r="I1577" s="59">
        <v>1.4</v>
      </c>
      <c r="J1577" s="60" t="s">
        <v>2672</v>
      </c>
      <c r="K1577" s="63" t="str">
        <f t="shared" si="172"/>
        <v>XBF-RD04AInput</v>
      </c>
      <c r="L1577" s="59">
        <f t="shared" si="173"/>
        <v>20</v>
      </c>
      <c r="M1577" s="59">
        <f t="shared" si="174"/>
        <v>20</v>
      </c>
      <c r="N1577" s="59">
        <f t="shared" si="169"/>
        <v>0</v>
      </c>
      <c r="O1577" s="60">
        <f t="shared" si="168"/>
        <v>1577</v>
      </c>
    </row>
    <row r="1578" spans="3:22">
      <c r="C1578" s="84" t="s">
        <v>105</v>
      </c>
      <c r="D1578" s="75"/>
      <c r="E1578" s="75"/>
      <c r="F1578" s="81" t="s">
        <v>151</v>
      </c>
      <c r="G1578" s="55" t="s">
        <v>2687</v>
      </c>
      <c r="H1578" s="55" t="s">
        <v>124</v>
      </c>
      <c r="I1578" s="59">
        <v>1.5</v>
      </c>
      <c r="J1578" s="60" t="s">
        <v>2688</v>
      </c>
      <c r="K1578" s="63" t="str">
        <f t="shared" si="172"/>
        <v>XBF-RD04AInput</v>
      </c>
      <c r="L1578" s="59">
        <f t="shared" si="173"/>
        <v>20</v>
      </c>
      <c r="M1578" s="59">
        <f t="shared" si="174"/>
        <v>20</v>
      </c>
      <c r="N1578" s="59">
        <f t="shared" si="169"/>
        <v>0</v>
      </c>
      <c r="O1578" s="60">
        <f t="shared" si="168"/>
        <v>1578</v>
      </c>
    </row>
    <row r="1579" spans="3:22">
      <c r="C1579" s="84" t="s">
        <v>105</v>
      </c>
      <c r="D1579" s="75"/>
      <c r="E1579" s="75"/>
      <c r="F1579" s="81" t="s">
        <v>151</v>
      </c>
      <c r="G1579" s="55" t="s">
        <v>2689</v>
      </c>
      <c r="H1579" s="55" t="s">
        <v>124</v>
      </c>
      <c r="I1579" s="59">
        <v>1.6</v>
      </c>
      <c r="J1579" s="60" t="s">
        <v>2690</v>
      </c>
      <c r="K1579" s="63" t="str">
        <f t="shared" si="172"/>
        <v>XBF-RD04AInput</v>
      </c>
      <c r="L1579" s="59">
        <f t="shared" si="173"/>
        <v>20</v>
      </c>
      <c r="M1579" s="59">
        <f t="shared" si="174"/>
        <v>20</v>
      </c>
      <c r="N1579" s="59">
        <f t="shared" si="169"/>
        <v>0</v>
      </c>
      <c r="O1579" s="60">
        <f t="shared" si="168"/>
        <v>1579</v>
      </c>
    </row>
    <row r="1580" spans="3:22">
      <c r="C1580" s="84" t="s">
        <v>105</v>
      </c>
      <c r="D1580" s="75"/>
      <c r="E1580" s="75"/>
      <c r="F1580" s="81" t="s">
        <v>151</v>
      </c>
      <c r="G1580" s="55" t="s">
        <v>2691</v>
      </c>
      <c r="H1580" s="55" t="s">
        <v>124</v>
      </c>
      <c r="I1580" s="59">
        <v>1.7</v>
      </c>
      <c r="J1580" s="60" t="s">
        <v>2692</v>
      </c>
      <c r="K1580" s="63" t="str">
        <f t="shared" si="172"/>
        <v>XBF-RD04AInput</v>
      </c>
      <c r="L1580" s="59">
        <f t="shared" si="173"/>
        <v>20</v>
      </c>
      <c r="M1580" s="59">
        <f t="shared" si="174"/>
        <v>20</v>
      </c>
      <c r="N1580" s="59">
        <f t="shared" si="169"/>
        <v>0</v>
      </c>
      <c r="O1580" s="60">
        <f t="shared" si="168"/>
        <v>1580</v>
      </c>
    </row>
    <row r="1581" spans="3:22">
      <c r="C1581" s="84" t="s">
        <v>105</v>
      </c>
      <c r="D1581" s="75"/>
      <c r="E1581" s="75"/>
      <c r="F1581" s="81" t="s">
        <v>151</v>
      </c>
      <c r="G1581" s="62" t="s">
        <v>6</v>
      </c>
      <c r="H1581" s="55" t="s">
        <v>139</v>
      </c>
      <c r="I1581" s="59">
        <v>2</v>
      </c>
      <c r="J1581" s="60" t="s">
        <v>140</v>
      </c>
      <c r="K1581" s="63" t="str">
        <f t="shared" si="172"/>
        <v>XBF-RD04AInput</v>
      </c>
      <c r="L1581" s="59">
        <f t="shared" si="173"/>
        <v>20</v>
      </c>
      <c r="M1581" s="59">
        <f t="shared" si="174"/>
        <v>20</v>
      </c>
      <c r="N1581" s="59">
        <f t="shared" si="169"/>
        <v>0</v>
      </c>
      <c r="O1581" s="60">
        <f t="shared" si="168"/>
        <v>1581</v>
      </c>
    </row>
    <row r="1582" spans="3:22">
      <c r="C1582" s="84" t="s">
        <v>105</v>
      </c>
      <c r="D1582" s="75"/>
      <c r="E1582" s="75"/>
      <c r="F1582" s="81" t="s">
        <v>151</v>
      </c>
      <c r="G1582" s="62" t="s">
        <v>6</v>
      </c>
      <c r="H1582" s="55" t="s">
        <v>139</v>
      </c>
      <c r="I1582" s="59">
        <v>3</v>
      </c>
      <c r="J1582" s="60" t="s">
        <v>140</v>
      </c>
      <c r="K1582" s="63" t="str">
        <f t="shared" si="172"/>
        <v>XBF-RD04AInput</v>
      </c>
      <c r="L1582" s="59">
        <f t="shared" si="173"/>
        <v>20</v>
      </c>
      <c r="M1582" s="59">
        <f t="shared" si="174"/>
        <v>20</v>
      </c>
      <c r="N1582" s="59">
        <f t="shared" si="169"/>
        <v>0</v>
      </c>
      <c r="O1582" s="60">
        <f t="shared" si="168"/>
        <v>1582</v>
      </c>
    </row>
    <row r="1583" spans="3:22">
      <c r="C1583" s="84" t="s">
        <v>105</v>
      </c>
      <c r="D1583" s="75"/>
      <c r="E1583" s="75"/>
      <c r="F1583" s="81" t="s">
        <v>151</v>
      </c>
      <c r="G1583" s="55" t="s">
        <v>2693</v>
      </c>
      <c r="H1583" s="55" t="s">
        <v>139</v>
      </c>
      <c r="I1583" s="59">
        <v>4</v>
      </c>
      <c r="J1583" s="60" t="s">
        <v>2674</v>
      </c>
      <c r="K1583" s="63" t="str">
        <f t="shared" si="172"/>
        <v>XBF-RD04AInput</v>
      </c>
      <c r="L1583" s="59">
        <f t="shared" si="173"/>
        <v>20</v>
      </c>
      <c r="M1583" s="59">
        <f t="shared" si="174"/>
        <v>20</v>
      </c>
      <c r="N1583" s="59">
        <f t="shared" si="169"/>
        <v>0</v>
      </c>
      <c r="O1583" s="60">
        <f t="shared" si="168"/>
        <v>1583</v>
      </c>
    </row>
    <row r="1584" spans="3:22">
      <c r="C1584" s="84" t="s">
        <v>105</v>
      </c>
      <c r="D1584" s="75"/>
      <c r="E1584" s="75"/>
      <c r="F1584" s="81" t="s">
        <v>151</v>
      </c>
      <c r="G1584" s="55" t="s">
        <v>2694</v>
      </c>
      <c r="H1584" s="55" t="s">
        <v>139</v>
      </c>
      <c r="I1584" s="59">
        <v>5</v>
      </c>
      <c r="J1584" s="60" t="s">
        <v>2695</v>
      </c>
      <c r="K1584" s="63" t="str">
        <f t="shared" si="172"/>
        <v>XBF-RD04AInput</v>
      </c>
      <c r="L1584" s="59">
        <f t="shared" si="173"/>
        <v>20</v>
      </c>
      <c r="M1584" s="59">
        <f t="shared" si="174"/>
        <v>20</v>
      </c>
      <c r="N1584" s="59">
        <f t="shared" si="169"/>
        <v>0</v>
      </c>
      <c r="O1584" s="60">
        <f t="shared" si="168"/>
        <v>1584</v>
      </c>
    </row>
    <row r="1585" spans="3:22">
      <c r="C1585" s="84" t="s">
        <v>105</v>
      </c>
      <c r="D1585" s="75"/>
      <c r="E1585" s="75"/>
      <c r="F1585" s="81" t="s">
        <v>151</v>
      </c>
      <c r="G1585" s="55" t="s">
        <v>2696</v>
      </c>
      <c r="H1585" s="55" t="s">
        <v>139</v>
      </c>
      <c r="I1585" s="59">
        <v>6</v>
      </c>
      <c r="J1585" s="60" t="s">
        <v>2697</v>
      </c>
      <c r="K1585" s="63" t="str">
        <f t="shared" si="172"/>
        <v>XBF-RD04AInput</v>
      </c>
      <c r="L1585" s="59">
        <f t="shared" si="173"/>
        <v>20</v>
      </c>
      <c r="M1585" s="59">
        <f t="shared" si="174"/>
        <v>20</v>
      </c>
      <c r="N1585" s="59">
        <f t="shared" si="169"/>
        <v>0</v>
      </c>
      <c r="O1585" s="60">
        <f t="shared" si="168"/>
        <v>1585</v>
      </c>
    </row>
    <row r="1586" spans="3:22">
      <c r="C1586" s="84" t="s">
        <v>105</v>
      </c>
      <c r="D1586" s="75"/>
      <c r="E1586" s="75"/>
      <c r="F1586" s="81" t="s">
        <v>151</v>
      </c>
      <c r="G1586" s="55" t="s">
        <v>2698</v>
      </c>
      <c r="H1586" s="55" t="s">
        <v>139</v>
      </c>
      <c r="I1586" s="59">
        <v>7</v>
      </c>
      <c r="J1586" s="60" t="s">
        <v>2699</v>
      </c>
      <c r="K1586" s="63" t="str">
        <f t="shared" si="172"/>
        <v>XBF-RD04AInput</v>
      </c>
      <c r="L1586" s="59">
        <f t="shared" si="173"/>
        <v>20</v>
      </c>
      <c r="M1586" s="59">
        <f t="shared" si="174"/>
        <v>20</v>
      </c>
      <c r="N1586" s="59">
        <f t="shared" si="169"/>
        <v>0</v>
      </c>
      <c r="O1586" s="60">
        <f t="shared" si="168"/>
        <v>1586</v>
      </c>
    </row>
    <row r="1587" spans="3:22">
      <c r="C1587" s="84" t="s">
        <v>105</v>
      </c>
      <c r="D1587" s="75"/>
      <c r="E1587" s="75"/>
      <c r="F1587" s="81" t="s">
        <v>151</v>
      </c>
      <c r="G1587" s="55" t="s">
        <v>2700</v>
      </c>
      <c r="H1587" s="55" t="s">
        <v>139</v>
      </c>
      <c r="I1587" s="59">
        <v>8</v>
      </c>
      <c r="J1587" s="60" t="s">
        <v>2676</v>
      </c>
      <c r="K1587" s="63" t="str">
        <f t="shared" si="172"/>
        <v>XBF-RD04AInput</v>
      </c>
      <c r="L1587" s="59">
        <f t="shared" si="173"/>
        <v>20</v>
      </c>
      <c r="M1587" s="59">
        <f t="shared" si="174"/>
        <v>20</v>
      </c>
      <c r="N1587" s="59">
        <f t="shared" si="169"/>
        <v>0</v>
      </c>
      <c r="O1587" s="60">
        <f t="shared" si="168"/>
        <v>1587</v>
      </c>
    </row>
    <row r="1588" spans="3:22">
      <c r="C1588" s="84" t="s">
        <v>105</v>
      </c>
      <c r="D1588" s="75"/>
      <c r="E1588" s="75"/>
      <c r="F1588" s="81" t="s">
        <v>151</v>
      </c>
      <c r="G1588" s="55" t="s">
        <v>2701</v>
      </c>
      <c r="H1588" s="55" t="s">
        <v>139</v>
      </c>
      <c r="I1588" s="59">
        <v>9</v>
      </c>
      <c r="J1588" s="60" t="s">
        <v>2702</v>
      </c>
      <c r="K1588" s="63" t="str">
        <f t="shared" si="172"/>
        <v>XBF-RD04AInput</v>
      </c>
      <c r="L1588" s="59">
        <f t="shared" si="173"/>
        <v>20</v>
      </c>
      <c r="M1588" s="59">
        <f t="shared" si="174"/>
        <v>20</v>
      </c>
      <c r="N1588" s="59">
        <f t="shared" si="169"/>
        <v>0</v>
      </c>
      <c r="O1588" s="60">
        <f t="shared" si="168"/>
        <v>1588</v>
      </c>
    </row>
    <row r="1589" spans="3:22">
      <c r="C1589" s="84" t="s">
        <v>105</v>
      </c>
      <c r="D1589" s="75"/>
      <c r="E1589" s="75"/>
      <c r="F1589" s="81" t="s">
        <v>151</v>
      </c>
      <c r="G1589" s="55" t="s">
        <v>2703</v>
      </c>
      <c r="H1589" s="55" t="s">
        <v>139</v>
      </c>
      <c r="I1589" s="59">
        <v>10</v>
      </c>
      <c r="J1589" s="60" t="s">
        <v>2704</v>
      </c>
      <c r="K1589" s="63" t="str">
        <f t="shared" si="172"/>
        <v>XBF-RD04AInput</v>
      </c>
      <c r="L1589" s="59">
        <f t="shared" si="173"/>
        <v>20</v>
      </c>
      <c r="M1589" s="59">
        <f t="shared" si="174"/>
        <v>20</v>
      </c>
      <c r="N1589" s="59">
        <f t="shared" si="169"/>
        <v>0</v>
      </c>
      <c r="O1589" s="60">
        <f t="shared" si="168"/>
        <v>1589</v>
      </c>
    </row>
    <row r="1590" spans="3:22">
      <c r="C1590" s="84" t="s">
        <v>105</v>
      </c>
      <c r="D1590" s="75"/>
      <c r="E1590" s="75"/>
      <c r="F1590" s="81" t="s">
        <v>151</v>
      </c>
      <c r="G1590" s="55" t="s">
        <v>2705</v>
      </c>
      <c r="H1590" s="55" t="s">
        <v>139</v>
      </c>
      <c r="I1590" s="59">
        <v>11</v>
      </c>
      <c r="J1590" s="60" t="s">
        <v>2706</v>
      </c>
      <c r="K1590" s="63" t="str">
        <f t="shared" si="172"/>
        <v>XBF-RD04AInput</v>
      </c>
      <c r="L1590" s="59">
        <f t="shared" si="173"/>
        <v>20</v>
      </c>
      <c r="M1590" s="59">
        <f t="shared" si="174"/>
        <v>20</v>
      </c>
      <c r="N1590" s="59">
        <f t="shared" si="169"/>
        <v>0</v>
      </c>
      <c r="O1590" s="60">
        <f t="shared" si="168"/>
        <v>1590</v>
      </c>
      <c r="P1590" s="65"/>
    </row>
    <row r="1591" spans="3:22">
      <c r="C1591" s="84" t="s">
        <v>106</v>
      </c>
      <c r="D1591" s="76">
        <v>24</v>
      </c>
      <c r="E1591" s="76">
        <v>0</v>
      </c>
      <c r="F1591" s="82" t="s">
        <v>151</v>
      </c>
      <c r="G1591" s="55" t="s">
        <v>2665</v>
      </c>
      <c r="H1591" s="55" t="s">
        <v>124</v>
      </c>
      <c r="I1591" s="59">
        <v>0</v>
      </c>
      <c r="J1591" s="60" t="s">
        <v>2666</v>
      </c>
      <c r="K1591" s="63" t="str">
        <f t="shared" si="172"/>
        <v>XBF-RD01AInput</v>
      </c>
      <c r="L1591" s="59">
        <f t="shared" si="173"/>
        <v>14</v>
      </c>
      <c r="M1591" s="59">
        <f t="shared" si="174"/>
        <v>14</v>
      </c>
      <c r="N1591" s="59">
        <f t="shared" si="169"/>
        <v>0</v>
      </c>
      <c r="O1591" s="60">
        <f t="shared" si="168"/>
        <v>1591</v>
      </c>
      <c r="P1591" s="65" t="s">
        <v>3214</v>
      </c>
      <c r="Q1591">
        <f>O1591</f>
        <v>1591</v>
      </c>
      <c r="R1591" t="s">
        <v>3215</v>
      </c>
      <c r="S1591">
        <v>1605</v>
      </c>
      <c r="T1591" t="str">
        <f>P1591&amp;Q1591&amp;R1591&amp;S1591</f>
        <v>All data map'!$F$1591:$J$1605</v>
      </c>
      <c r="V1591" t="s">
        <v>3286</v>
      </c>
    </row>
    <row r="1592" spans="3:22">
      <c r="C1592" s="84" t="s">
        <v>106</v>
      </c>
      <c r="D1592" s="75"/>
      <c r="E1592" s="75"/>
      <c r="F1592" s="81" t="s">
        <v>151</v>
      </c>
      <c r="G1592" s="55" t="s">
        <v>2667</v>
      </c>
      <c r="H1592" s="55" t="s">
        <v>124</v>
      </c>
      <c r="I1592" s="59" t="s">
        <v>126</v>
      </c>
      <c r="J1592" s="60" t="s">
        <v>2668</v>
      </c>
      <c r="K1592" s="63" t="str">
        <f t="shared" si="172"/>
        <v>XBF-RD01AInput</v>
      </c>
      <c r="L1592" s="59">
        <f t="shared" si="173"/>
        <v>14</v>
      </c>
      <c r="M1592" s="59">
        <f t="shared" si="174"/>
        <v>14</v>
      </c>
      <c r="N1592" s="59">
        <f t="shared" si="169"/>
        <v>0</v>
      </c>
      <c r="O1592" s="60">
        <f t="shared" si="168"/>
        <v>1592</v>
      </c>
    </row>
    <row r="1593" spans="3:22">
      <c r="C1593" s="84" t="s">
        <v>106</v>
      </c>
      <c r="D1593" s="75"/>
      <c r="E1593" s="75"/>
      <c r="F1593" s="81" t="s">
        <v>151</v>
      </c>
      <c r="G1593" s="55" t="s">
        <v>2669</v>
      </c>
      <c r="H1593" s="55" t="s">
        <v>124</v>
      </c>
      <c r="I1593" s="59">
        <v>1</v>
      </c>
      <c r="J1593" s="60" t="s">
        <v>2670</v>
      </c>
      <c r="K1593" s="63" t="str">
        <f t="shared" si="172"/>
        <v>XBF-RD01AInput</v>
      </c>
      <c r="L1593" s="59">
        <f t="shared" si="173"/>
        <v>14</v>
      </c>
      <c r="M1593" s="59">
        <f t="shared" si="174"/>
        <v>14</v>
      </c>
      <c r="N1593" s="59">
        <f t="shared" si="169"/>
        <v>0</v>
      </c>
      <c r="O1593" s="60">
        <f t="shared" si="168"/>
        <v>1593</v>
      </c>
    </row>
    <row r="1594" spans="3:22">
      <c r="C1594" s="84" t="s">
        <v>106</v>
      </c>
      <c r="D1594" s="75"/>
      <c r="E1594" s="75"/>
      <c r="F1594" s="81" t="s">
        <v>151</v>
      </c>
      <c r="G1594" s="55" t="s">
        <v>2671</v>
      </c>
      <c r="H1594" s="55" t="s">
        <v>124</v>
      </c>
      <c r="I1594" s="59">
        <v>1.4</v>
      </c>
      <c r="J1594" s="60" t="s">
        <v>2672</v>
      </c>
      <c r="K1594" s="63" t="str">
        <f t="shared" si="172"/>
        <v>XBF-RD01AInput</v>
      </c>
      <c r="L1594" s="59">
        <f t="shared" si="173"/>
        <v>14</v>
      </c>
      <c r="M1594" s="59">
        <f t="shared" si="174"/>
        <v>14</v>
      </c>
      <c r="N1594" s="59">
        <f t="shared" si="169"/>
        <v>0</v>
      </c>
      <c r="O1594" s="60">
        <f t="shared" si="168"/>
        <v>1594</v>
      </c>
    </row>
    <row r="1595" spans="3:22">
      <c r="C1595" s="84" t="s">
        <v>106</v>
      </c>
      <c r="D1595" s="75"/>
      <c r="E1595" s="75"/>
      <c r="F1595" s="81" t="s">
        <v>151</v>
      </c>
      <c r="G1595" s="62" t="s">
        <v>6</v>
      </c>
      <c r="H1595" s="55" t="s">
        <v>139</v>
      </c>
      <c r="I1595" s="59">
        <v>2</v>
      </c>
      <c r="J1595" s="60" t="s">
        <v>140</v>
      </c>
      <c r="K1595" s="63" t="str">
        <f t="shared" si="172"/>
        <v>XBF-RD01AInput</v>
      </c>
      <c r="L1595" s="59">
        <f t="shared" si="173"/>
        <v>14</v>
      </c>
      <c r="M1595" s="59">
        <f t="shared" si="174"/>
        <v>14</v>
      </c>
      <c r="N1595" s="59">
        <f t="shared" si="169"/>
        <v>0</v>
      </c>
      <c r="O1595" s="60">
        <f t="shared" si="168"/>
        <v>1595</v>
      </c>
    </row>
    <row r="1596" spans="3:22">
      <c r="C1596" s="84" t="s">
        <v>106</v>
      </c>
      <c r="D1596" s="75"/>
      <c r="E1596" s="75"/>
      <c r="F1596" s="81" t="s">
        <v>151</v>
      </c>
      <c r="G1596" s="62" t="s">
        <v>6</v>
      </c>
      <c r="H1596" s="55" t="s">
        <v>139</v>
      </c>
      <c r="I1596" s="59">
        <v>3</v>
      </c>
      <c r="J1596" s="60" t="s">
        <v>140</v>
      </c>
      <c r="K1596" s="63" t="str">
        <f t="shared" si="172"/>
        <v>XBF-RD01AInput</v>
      </c>
      <c r="L1596" s="59">
        <f t="shared" si="173"/>
        <v>14</v>
      </c>
      <c r="M1596" s="59">
        <f t="shared" si="174"/>
        <v>14</v>
      </c>
      <c r="N1596" s="59">
        <f t="shared" si="169"/>
        <v>0</v>
      </c>
      <c r="O1596" s="60">
        <f t="shared" si="168"/>
        <v>1596</v>
      </c>
    </row>
    <row r="1597" spans="3:22">
      <c r="C1597" s="84" t="s">
        <v>106</v>
      </c>
      <c r="D1597" s="75"/>
      <c r="E1597" s="75"/>
      <c r="F1597" s="81" t="s">
        <v>151</v>
      </c>
      <c r="G1597" s="55" t="s">
        <v>2673</v>
      </c>
      <c r="H1597" s="55" t="s">
        <v>139</v>
      </c>
      <c r="I1597" s="59">
        <v>4</v>
      </c>
      <c r="J1597" s="60" t="s">
        <v>2674</v>
      </c>
      <c r="K1597" s="63" t="str">
        <f t="shared" si="172"/>
        <v>XBF-RD01AInput</v>
      </c>
      <c r="L1597" s="59">
        <f t="shared" si="173"/>
        <v>14</v>
      </c>
      <c r="M1597" s="59">
        <f t="shared" si="174"/>
        <v>14</v>
      </c>
      <c r="N1597" s="59">
        <f t="shared" si="169"/>
        <v>0</v>
      </c>
      <c r="O1597" s="60">
        <f t="shared" si="168"/>
        <v>1597</v>
      </c>
    </row>
    <row r="1598" spans="3:22">
      <c r="C1598" s="84" t="s">
        <v>106</v>
      </c>
      <c r="D1598" s="75"/>
      <c r="E1598" s="75"/>
      <c r="F1598" s="81" t="s">
        <v>151</v>
      </c>
      <c r="G1598" s="62" t="s">
        <v>6</v>
      </c>
      <c r="H1598" s="55" t="s">
        <v>139</v>
      </c>
      <c r="I1598" s="59">
        <v>5</v>
      </c>
      <c r="J1598" s="60" t="s">
        <v>140</v>
      </c>
      <c r="K1598" s="63" t="str">
        <f t="shared" si="172"/>
        <v>XBF-RD01AInput</v>
      </c>
      <c r="L1598" s="59">
        <f t="shared" si="173"/>
        <v>14</v>
      </c>
      <c r="M1598" s="59">
        <f t="shared" si="174"/>
        <v>14</v>
      </c>
      <c r="N1598" s="59">
        <f t="shared" si="169"/>
        <v>0</v>
      </c>
      <c r="O1598" s="60">
        <f t="shared" si="168"/>
        <v>1598</v>
      </c>
    </row>
    <row r="1599" spans="3:22">
      <c r="C1599" s="84" t="s">
        <v>106</v>
      </c>
      <c r="D1599" s="75"/>
      <c r="E1599" s="75"/>
      <c r="F1599" s="81" t="s">
        <v>151</v>
      </c>
      <c r="G1599" s="62" t="s">
        <v>6</v>
      </c>
      <c r="H1599" s="55" t="s">
        <v>139</v>
      </c>
      <c r="I1599" s="59">
        <v>6</v>
      </c>
      <c r="J1599" s="60" t="s">
        <v>140</v>
      </c>
      <c r="K1599" s="63" t="str">
        <f t="shared" si="172"/>
        <v>XBF-RD01AInput</v>
      </c>
      <c r="L1599" s="59">
        <f t="shared" si="173"/>
        <v>14</v>
      </c>
      <c r="M1599" s="59">
        <f t="shared" si="174"/>
        <v>14</v>
      </c>
      <c r="N1599" s="59">
        <f t="shared" si="169"/>
        <v>0</v>
      </c>
      <c r="O1599" s="60">
        <f t="shared" si="168"/>
        <v>1599</v>
      </c>
    </row>
    <row r="1600" spans="3:22">
      <c r="C1600" s="84" t="s">
        <v>106</v>
      </c>
      <c r="D1600" s="75"/>
      <c r="E1600" s="75"/>
      <c r="F1600" s="81" t="s">
        <v>151</v>
      </c>
      <c r="G1600" s="62" t="s">
        <v>6</v>
      </c>
      <c r="H1600" s="55" t="s">
        <v>139</v>
      </c>
      <c r="I1600" s="59">
        <v>7</v>
      </c>
      <c r="J1600" s="60" t="s">
        <v>140</v>
      </c>
      <c r="K1600" s="63" t="str">
        <f t="shared" si="172"/>
        <v>XBF-RD01AInput</v>
      </c>
      <c r="L1600" s="59">
        <f t="shared" si="173"/>
        <v>14</v>
      </c>
      <c r="M1600" s="59">
        <f t="shared" si="174"/>
        <v>14</v>
      </c>
      <c r="N1600" s="59">
        <f t="shared" si="169"/>
        <v>0</v>
      </c>
      <c r="O1600" s="60">
        <f t="shared" si="168"/>
        <v>1600</v>
      </c>
    </row>
    <row r="1601" spans="3:22">
      <c r="C1601" s="84" t="s">
        <v>106</v>
      </c>
      <c r="D1601" s="75"/>
      <c r="E1601" s="75"/>
      <c r="F1601" s="81" t="s">
        <v>151</v>
      </c>
      <c r="G1601" s="55" t="s">
        <v>2675</v>
      </c>
      <c r="H1601" s="55" t="s">
        <v>139</v>
      </c>
      <c r="I1601" s="59">
        <v>8</v>
      </c>
      <c r="J1601" s="60" t="s">
        <v>2676</v>
      </c>
      <c r="K1601" s="63" t="str">
        <f t="shared" si="172"/>
        <v>XBF-RD01AInput</v>
      </c>
      <c r="L1601" s="59">
        <f t="shared" si="173"/>
        <v>14</v>
      </c>
      <c r="M1601" s="59">
        <f t="shared" si="174"/>
        <v>14</v>
      </c>
      <c r="N1601" s="59">
        <f t="shared" si="169"/>
        <v>0</v>
      </c>
      <c r="O1601" s="60">
        <f t="shared" si="168"/>
        <v>1601</v>
      </c>
    </row>
    <row r="1602" spans="3:22">
      <c r="C1602" s="84" t="s">
        <v>106</v>
      </c>
      <c r="D1602" s="75"/>
      <c r="E1602" s="75"/>
      <c r="F1602" s="81" t="s">
        <v>151</v>
      </c>
      <c r="G1602" s="62" t="s">
        <v>6</v>
      </c>
      <c r="H1602" s="55" t="s">
        <v>139</v>
      </c>
      <c r="I1602" s="59">
        <v>9</v>
      </c>
      <c r="J1602" s="60" t="s">
        <v>140</v>
      </c>
      <c r="K1602" s="63" t="str">
        <f t="shared" si="172"/>
        <v>XBF-RD01AInput</v>
      </c>
      <c r="L1602" s="59">
        <f t="shared" si="173"/>
        <v>14</v>
      </c>
      <c r="M1602" s="59">
        <f t="shared" si="174"/>
        <v>14</v>
      </c>
      <c r="N1602" s="59">
        <f t="shared" si="169"/>
        <v>0</v>
      </c>
      <c r="O1602" s="60">
        <f t="shared" ref="O1602:O1665" si="175">ROW(C1602)</f>
        <v>1602</v>
      </c>
    </row>
    <row r="1603" spans="3:22">
      <c r="C1603" s="84" t="s">
        <v>106</v>
      </c>
      <c r="D1603" s="75"/>
      <c r="E1603" s="75"/>
      <c r="F1603" s="81" t="s">
        <v>151</v>
      </c>
      <c r="G1603" s="62" t="s">
        <v>6</v>
      </c>
      <c r="H1603" s="55" t="s">
        <v>139</v>
      </c>
      <c r="I1603" s="59">
        <v>10</v>
      </c>
      <c r="J1603" s="60" t="s">
        <v>140</v>
      </c>
      <c r="K1603" s="63" t="str">
        <f t="shared" si="172"/>
        <v>XBF-RD01AInput</v>
      </c>
      <c r="L1603" s="59">
        <f t="shared" ref="L1603:L1634" si="176">COUNTIF($C$2:$C$2062,C1603)</f>
        <v>14</v>
      </c>
      <c r="M1603" s="59">
        <f t="shared" ref="M1603:M1634" si="177">COUNTIF($K$2:$K$2062,K1603)</f>
        <v>14</v>
      </c>
      <c r="N1603" s="59">
        <f t="shared" ref="N1603:N1666" si="178">L1603-M1603</f>
        <v>0</v>
      </c>
      <c r="O1603" s="60">
        <f t="shared" si="175"/>
        <v>1603</v>
      </c>
    </row>
    <row r="1604" spans="3:22">
      <c r="C1604" s="84" t="s">
        <v>106</v>
      </c>
      <c r="D1604" s="75"/>
      <c r="E1604" s="75"/>
      <c r="F1604" s="81" t="s">
        <v>151</v>
      </c>
      <c r="G1604" s="62" t="s">
        <v>6</v>
      </c>
      <c r="H1604" s="55" t="s">
        <v>139</v>
      </c>
      <c r="I1604" s="59">
        <v>11</v>
      </c>
      <c r="J1604" s="60" t="s">
        <v>140</v>
      </c>
      <c r="K1604" s="63" t="str">
        <f t="shared" si="172"/>
        <v>XBF-RD01AInput</v>
      </c>
      <c r="L1604" s="59">
        <f t="shared" si="176"/>
        <v>14</v>
      </c>
      <c r="M1604" s="59">
        <f t="shared" si="177"/>
        <v>14</v>
      </c>
      <c r="N1604" s="59">
        <f t="shared" si="178"/>
        <v>0</v>
      </c>
      <c r="O1604" s="60">
        <f t="shared" si="175"/>
        <v>1604</v>
      </c>
      <c r="P1604" s="65"/>
    </row>
    <row r="1605" spans="3:22">
      <c r="C1605" s="84" t="s">
        <v>107</v>
      </c>
      <c r="D1605" s="76">
        <v>40</v>
      </c>
      <c r="E1605" s="76">
        <v>2</v>
      </c>
      <c r="F1605" s="82" t="s">
        <v>151</v>
      </c>
      <c r="G1605" s="55" t="s">
        <v>2795</v>
      </c>
      <c r="H1605" s="55" t="s">
        <v>124</v>
      </c>
      <c r="I1605" s="59">
        <v>0</v>
      </c>
      <c r="J1605" s="60" t="s">
        <v>2796</v>
      </c>
      <c r="K1605" s="63" t="str">
        <f t="shared" si="172"/>
        <v>XBF-TC04BInput</v>
      </c>
      <c r="L1605" s="59">
        <f t="shared" si="176"/>
        <v>46</v>
      </c>
      <c r="M1605" s="59">
        <f t="shared" si="177"/>
        <v>38</v>
      </c>
      <c r="N1605" s="59">
        <f t="shared" si="178"/>
        <v>8</v>
      </c>
      <c r="O1605" s="60">
        <f t="shared" si="175"/>
        <v>1605</v>
      </c>
      <c r="P1605" s="65" t="s">
        <v>3214</v>
      </c>
      <c r="Q1605">
        <f>O1605</f>
        <v>1605</v>
      </c>
      <c r="R1605" t="s">
        <v>3215</v>
      </c>
      <c r="S1605">
        <v>1651</v>
      </c>
      <c r="T1605" t="str">
        <f>P1605&amp;Q1605&amp;R1605&amp;S1605</f>
        <v>All data map'!$F$1605:$J$1651</v>
      </c>
      <c r="V1605" t="s">
        <v>3287</v>
      </c>
    </row>
    <row r="1606" spans="3:22">
      <c r="C1606" s="84" t="s">
        <v>107</v>
      </c>
      <c r="D1606" s="75"/>
      <c r="E1606" s="75"/>
      <c r="F1606" s="81" t="s">
        <v>151</v>
      </c>
      <c r="G1606" s="55" t="s">
        <v>2797</v>
      </c>
      <c r="H1606" s="55" t="s">
        <v>124</v>
      </c>
      <c r="I1606" s="59">
        <v>0.1</v>
      </c>
      <c r="J1606" s="60" t="s">
        <v>2798</v>
      </c>
      <c r="K1606" s="63" t="str">
        <f t="shared" si="172"/>
        <v>XBF-TC04BInput</v>
      </c>
      <c r="L1606" s="59">
        <f t="shared" si="176"/>
        <v>46</v>
      </c>
      <c r="M1606" s="59">
        <f t="shared" si="177"/>
        <v>38</v>
      </c>
      <c r="N1606" s="59">
        <f t="shared" si="178"/>
        <v>8</v>
      </c>
      <c r="O1606" s="60">
        <f t="shared" si="175"/>
        <v>1606</v>
      </c>
    </row>
    <row r="1607" spans="3:22">
      <c r="C1607" s="84" t="s">
        <v>107</v>
      </c>
      <c r="D1607" s="75"/>
      <c r="E1607" s="75"/>
      <c r="F1607" s="81" t="s">
        <v>151</v>
      </c>
      <c r="G1607" s="55" t="s">
        <v>2799</v>
      </c>
      <c r="H1607" s="55" t="s">
        <v>124</v>
      </c>
      <c r="I1607" s="59">
        <v>0.2</v>
      </c>
      <c r="J1607" s="60" t="s">
        <v>2800</v>
      </c>
      <c r="K1607" s="63" t="str">
        <f t="shared" si="172"/>
        <v>XBF-TC04BInput</v>
      </c>
      <c r="L1607" s="59">
        <f t="shared" si="176"/>
        <v>46</v>
      </c>
      <c r="M1607" s="59">
        <f t="shared" si="177"/>
        <v>38</v>
      </c>
      <c r="N1607" s="59">
        <f t="shared" si="178"/>
        <v>8</v>
      </c>
      <c r="O1607" s="60">
        <f t="shared" si="175"/>
        <v>1607</v>
      </c>
    </row>
    <row r="1608" spans="3:22">
      <c r="C1608" s="84" t="s">
        <v>107</v>
      </c>
      <c r="D1608" s="75"/>
      <c r="E1608" s="75"/>
      <c r="F1608" s="81" t="s">
        <v>151</v>
      </c>
      <c r="G1608" s="55" t="s">
        <v>2801</v>
      </c>
      <c r="H1608" s="55" t="s">
        <v>124</v>
      </c>
      <c r="I1608" s="59">
        <v>0.3</v>
      </c>
      <c r="J1608" s="60" t="s">
        <v>2802</v>
      </c>
      <c r="K1608" s="63" t="str">
        <f t="shared" si="172"/>
        <v>XBF-TC04BInput</v>
      </c>
      <c r="L1608" s="59">
        <f t="shared" si="176"/>
        <v>46</v>
      </c>
      <c r="M1608" s="59">
        <f t="shared" si="177"/>
        <v>38</v>
      </c>
      <c r="N1608" s="59">
        <f t="shared" si="178"/>
        <v>8</v>
      </c>
      <c r="O1608" s="60">
        <f t="shared" si="175"/>
        <v>1608</v>
      </c>
    </row>
    <row r="1609" spans="3:22">
      <c r="C1609" s="84" t="s">
        <v>107</v>
      </c>
      <c r="D1609" s="75"/>
      <c r="E1609" s="75"/>
      <c r="F1609" s="81" t="s">
        <v>151</v>
      </c>
      <c r="G1609" s="55" t="s">
        <v>2803</v>
      </c>
      <c r="H1609" s="55" t="s">
        <v>124</v>
      </c>
      <c r="I1609" s="59" t="s">
        <v>1130</v>
      </c>
      <c r="J1609" s="60" t="s">
        <v>2804</v>
      </c>
      <c r="K1609" s="63" t="str">
        <f t="shared" si="172"/>
        <v>XBF-TC04BInput</v>
      </c>
      <c r="L1609" s="59">
        <f t="shared" si="176"/>
        <v>46</v>
      </c>
      <c r="M1609" s="59">
        <f t="shared" si="177"/>
        <v>38</v>
      </c>
      <c r="N1609" s="59">
        <f t="shared" si="178"/>
        <v>8</v>
      </c>
      <c r="O1609" s="60">
        <f t="shared" si="175"/>
        <v>1609</v>
      </c>
    </row>
    <row r="1610" spans="3:22">
      <c r="C1610" s="84" t="s">
        <v>107</v>
      </c>
      <c r="D1610" s="75"/>
      <c r="E1610" s="75"/>
      <c r="F1610" s="81" t="s">
        <v>151</v>
      </c>
      <c r="G1610" s="55" t="s">
        <v>2805</v>
      </c>
      <c r="H1610" s="55" t="s">
        <v>124</v>
      </c>
      <c r="I1610" s="59" t="s">
        <v>1133</v>
      </c>
      <c r="J1610" s="60" t="s">
        <v>2806</v>
      </c>
      <c r="K1610" s="63" t="str">
        <f t="shared" si="172"/>
        <v>XBF-TC04BInput</v>
      </c>
      <c r="L1610" s="59">
        <f t="shared" si="176"/>
        <v>46</v>
      </c>
      <c r="M1610" s="59">
        <f t="shared" si="177"/>
        <v>38</v>
      </c>
      <c r="N1610" s="59">
        <f t="shared" si="178"/>
        <v>8</v>
      </c>
      <c r="O1610" s="60">
        <f t="shared" si="175"/>
        <v>1610</v>
      </c>
    </row>
    <row r="1611" spans="3:22">
      <c r="C1611" s="84" t="s">
        <v>107</v>
      </c>
      <c r="D1611" s="75"/>
      <c r="E1611" s="75"/>
      <c r="F1611" s="81" t="s">
        <v>151</v>
      </c>
      <c r="G1611" s="55" t="s">
        <v>2807</v>
      </c>
      <c r="H1611" s="55" t="s">
        <v>124</v>
      </c>
      <c r="I1611" s="59" t="s">
        <v>1050</v>
      </c>
      <c r="J1611" s="60" t="s">
        <v>2808</v>
      </c>
      <c r="K1611" s="63" t="str">
        <f t="shared" si="172"/>
        <v>XBF-TC04BInput</v>
      </c>
      <c r="L1611" s="59">
        <f t="shared" si="176"/>
        <v>46</v>
      </c>
      <c r="M1611" s="59">
        <f t="shared" si="177"/>
        <v>38</v>
      </c>
      <c r="N1611" s="59">
        <f t="shared" si="178"/>
        <v>8</v>
      </c>
      <c r="O1611" s="60">
        <f t="shared" si="175"/>
        <v>1611</v>
      </c>
    </row>
    <row r="1612" spans="3:22">
      <c r="C1612" s="84" t="s">
        <v>107</v>
      </c>
      <c r="D1612" s="75"/>
      <c r="E1612" s="75"/>
      <c r="F1612" s="81" t="s">
        <v>151</v>
      </c>
      <c r="G1612" s="55" t="s">
        <v>2809</v>
      </c>
      <c r="H1612" s="55" t="s">
        <v>124</v>
      </c>
      <c r="I1612" s="59" t="s">
        <v>126</v>
      </c>
      <c r="J1612" s="60" t="s">
        <v>2668</v>
      </c>
      <c r="K1612" s="63" t="str">
        <f t="shared" si="172"/>
        <v>XBF-TC04BInput</v>
      </c>
      <c r="L1612" s="59">
        <f t="shared" si="176"/>
        <v>46</v>
      </c>
      <c r="M1612" s="59">
        <f t="shared" si="177"/>
        <v>38</v>
      </c>
      <c r="N1612" s="59">
        <f t="shared" si="178"/>
        <v>8</v>
      </c>
      <c r="O1612" s="60">
        <f t="shared" si="175"/>
        <v>1612</v>
      </c>
    </row>
    <row r="1613" spans="3:22">
      <c r="C1613" s="84" t="s">
        <v>107</v>
      </c>
      <c r="D1613" s="75"/>
      <c r="E1613" s="75"/>
      <c r="F1613" s="81" t="s">
        <v>151</v>
      </c>
      <c r="G1613" s="55" t="s">
        <v>2810</v>
      </c>
      <c r="H1613" s="55" t="s">
        <v>124</v>
      </c>
      <c r="I1613" s="59">
        <v>1</v>
      </c>
      <c r="J1613" s="60" t="s">
        <v>2670</v>
      </c>
      <c r="K1613" s="63" t="str">
        <f t="shared" si="172"/>
        <v>XBF-TC04BInput</v>
      </c>
      <c r="L1613" s="59">
        <f t="shared" si="176"/>
        <v>46</v>
      </c>
      <c r="M1613" s="59">
        <f t="shared" si="177"/>
        <v>38</v>
      </c>
      <c r="N1613" s="59">
        <f t="shared" si="178"/>
        <v>8</v>
      </c>
      <c r="O1613" s="60">
        <f t="shared" si="175"/>
        <v>1613</v>
      </c>
    </row>
    <row r="1614" spans="3:22">
      <c r="C1614" s="84" t="s">
        <v>107</v>
      </c>
      <c r="D1614" s="75"/>
      <c r="E1614" s="75"/>
      <c r="F1614" s="81" t="s">
        <v>151</v>
      </c>
      <c r="G1614" s="55" t="s">
        <v>2811</v>
      </c>
      <c r="H1614" s="55" t="s">
        <v>124</v>
      </c>
      <c r="I1614" s="59">
        <v>1.1000000000000001</v>
      </c>
      <c r="J1614" s="60" t="s">
        <v>2681</v>
      </c>
      <c r="K1614" s="63" t="str">
        <f t="shared" si="172"/>
        <v>XBF-TC04BInput</v>
      </c>
      <c r="L1614" s="59">
        <f t="shared" si="176"/>
        <v>46</v>
      </c>
      <c r="M1614" s="59">
        <f t="shared" si="177"/>
        <v>38</v>
      </c>
      <c r="N1614" s="59">
        <f t="shared" si="178"/>
        <v>8</v>
      </c>
      <c r="O1614" s="60">
        <f t="shared" si="175"/>
        <v>1614</v>
      </c>
    </row>
    <row r="1615" spans="3:22">
      <c r="C1615" s="84" t="s">
        <v>107</v>
      </c>
      <c r="D1615" s="75"/>
      <c r="E1615" s="75"/>
      <c r="F1615" s="81" t="s">
        <v>151</v>
      </c>
      <c r="G1615" s="55" t="s">
        <v>2812</v>
      </c>
      <c r="H1615" s="55" t="s">
        <v>124</v>
      </c>
      <c r="I1615" s="59">
        <v>1.2</v>
      </c>
      <c r="J1615" s="60" t="s">
        <v>2683</v>
      </c>
      <c r="K1615" s="63" t="str">
        <f t="shared" si="172"/>
        <v>XBF-TC04BInput</v>
      </c>
      <c r="L1615" s="59">
        <f t="shared" si="176"/>
        <v>46</v>
      </c>
      <c r="M1615" s="59">
        <f t="shared" si="177"/>
        <v>38</v>
      </c>
      <c r="N1615" s="59">
        <f t="shared" si="178"/>
        <v>8</v>
      </c>
      <c r="O1615" s="60">
        <f t="shared" si="175"/>
        <v>1615</v>
      </c>
    </row>
    <row r="1616" spans="3:22">
      <c r="C1616" s="84" t="s">
        <v>107</v>
      </c>
      <c r="D1616" s="75"/>
      <c r="E1616" s="75"/>
      <c r="F1616" s="81" t="s">
        <v>151</v>
      </c>
      <c r="G1616" s="55" t="s">
        <v>2813</v>
      </c>
      <c r="H1616" s="55" t="s">
        <v>124</v>
      </c>
      <c r="I1616" s="59">
        <v>1.3</v>
      </c>
      <c r="J1616" s="60" t="s">
        <v>2685</v>
      </c>
      <c r="K1616" s="63" t="str">
        <f t="shared" si="172"/>
        <v>XBF-TC04BInput</v>
      </c>
      <c r="L1616" s="59">
        <f t="shared" si="176"/>
        <v>46</v>
      </c>
      <c r="M1616" s="59">
        <f t="shared" si="177"/>
        <v>38</v>
      </c>
      <c r="N1616" s="59">
        <f t="shared" si="178"/>
        <v>8</v>
      </c>
      <c r="O1616" s="60">
        <f t="shared" si="175"/>
        <v>1616</v>
      </c>
    </row>
    <row r="1617" spans="3:15">
      <c r="C1617" s="84" t="s">
        <v>107</v>
      </c>
      <c r="D1617" s="75"/>
      <c r="E1617" s="75"/>
      <c r="F1617" s="81" t="s">
        <v>151</v>
      </c>
      <c r="G1617" s="55" t="s">
        <v>2814</v>
      </c>
      <c r="H1617" s="55" t="s">
        <v>124</v>
      </c>
      <c r="I1617" s="59">
        <v>1.4</v>
      </c>
      <c r="J1617" s="60" t="s">
        <v>2672</v>
      </c>
      <c r="K1617" s="63" t="str">
        <f t="shared" si="172"/>
        <v>XBF-TC04BInput</v>
      </c>
      <c r="L1617" s="59">
        <f t="shared" si="176"/>
        <v>46</v>
      </c>
      <c r="M1617" s="59">
        <f t="shared" si="177"/>
        <v>38</v>
      </c>
      <c r="N1617" s="59">
        <f t="shared" si="178"/>
        <v>8</v>
      </c>
      <c r="O1617" s="60">
        <f t="shared" si="175"/>
        <v>1617</v>
      </c>
    </row>
    <row r="1618" spans="3:15">
      <c r="C1618" s="84" t="s">
        <v>107</v>
      </c>
      <c r="D1618" s="75"/>
      <c r="E1618" s="75"/>
      <c r="F1618" s="81" t="s">
        <v>151</v>
      </c>
      <c r="G1618" s="55" t="s">
        <v>2815</v>
      </c>
      <c r="H1618" s="55" t="s">
        <v>124</v>
      </c>
      <c r="I1618" s="59">
        <v>1.5</v>
      </c>
      <c r="J1618" s="60" t="s">
        <v>2688</v>
      </c>
      <c r="K1618" s="63" t="str">
        <f t="shared" si="172"/>
        <v>XBF-TC04BInput</v>
      </c>
      <c r="L1618" s="59">
        <f t="shared" si="176"/>
        <v>46</v>
      </c>
      <c r="M1618" s="59">
        <f t="shared" si="177"/>
        <v>38</v>
      </c>
      <c r="N1618" s="59">
        <f t="shared" si="178"/>
        <v>8</v>
      </c>
      <c r="O1618" s="60">
        <f t="shared" si="175"/>
        <v>1618</v>
      </c>
    </row>
    <row r="1619" spans="3:15">
      <c r="C1619" s="84" t="s">
        <v>107</v>
      </c>
      <c r="D1619" s="75"/>
      <c r="E1619" s="75"/>
      <c r="F1619" s="81" t="s">
        <v>151</v>
      </c>
      <c r="G1619" s="55" t="s">
        <v>2816</v>
      </c>
      <c r="H1619" s="55" t="s">
        <v>124</v>
      </c>
      <c r="I1619" s="59">
        <v>1.6</v>
      </c>
      <c r="J1619" s="60" t="s">
        <v>2690</v>
      </c>
      <c r="K1619" s="63" t="str">
        <f t="shared" si="172"/>
        <v>XBF-TC04BInput</v>
      </c>
      <c r="L1619" s="59">
        <f t="shared" si="176"/>
        <v>46</v>
      </c>
      <c r="M1619" s="59">
        <f t="shared" si="177"/>
        <v>38</v>
      </c>
      <c r="N1619" s="59">
        <f t="shared" si="178"/>
        <v>8</v>
      </c>
      <c r="O1619" s="60">
        <f t="shared" si="175"/>
        <v>1619</v>
      </c>
    </row>
    <row r="1620" spans="3:15">
      <c r="C1620" s="84" t="s">
        <v>107</v>
      </c>
      <c r="D1620" s="75"/>
      <c r="E1620" s="75"/>
      <c r="F1620" s="81" t="s">
        <v>151</v>
      </c>
      <c r="G1620" s="55" t="s">
        <v>2817</v>
      </c>
      <c r="H1620" s="55" t="s">
        <v>124</v>
      </c>
      <c r="I1620" s="59">
        <v>1.7</v>
      </c>
      <c r="J1620" s="60" t="s">
        <v>2692</v>
      </c>
      <c r="K1620" s="63" t="str">
        <f t="shared" si="172"/>
        <v>XBF-TC04BInput</v>
      </c>
      <c r="L1620" s="59">
        <f t="shared" si="176"/>
        <v>46</v>
      </c>
      <c r="M1620" s="59">
        <f t="shared" si="177"/>
        <v>38</v>
      </c>
      <c r="N1620" s="59">
        <f t="shared" si="178"/>
        <v>8</v>
      </c>
      <c r="O1620" s="60">
        <f t="shared" si="175"/>
        <v>1620</v>
      </c>
    </row>
    <row r="1621" spans="3:15">
      <c r="C1621" s="84" t="s">
        <v>107</v>
      </c>
      <c r="D1621" s="75"/>
      <c r="E1621" s="75"/>
      <c r="F1621" s="81" t="s">
        <v>151</v>
      </c>
      <c r="G1621" s="55" t="s">
        <v>2818</v>
      </c>
      <c r="H1621" s="55" t="s">
        <v>124</v>
      </c>
      <c r="I1621" s="59">
        <v>1.8</v>
      </c>
      <c r="J1621" s="60" t="s">
        <v>2819</v>
      </c>
      <c r="K1621" s="63" t="str">
        <f t="shared" ref="K1621:K1684" si="179">C1621&amp;F1621</f>
        <v>XBF-TC04BInput</v>
      </c>
      <c r="L1621" s="59">
        <f t="shared" si="176"/>
        <v>46</v>
      </c>
      <c r="M1621" s="59">
        <f t="shared" si="177"/>
        <v>38</v>
      </c>
      <c r="N1621" s="59">
        <f t="shared" si="178"/>
        <v>8</v>
      </c>
      <c r="O1621" s="60">
        <f t="shared" si="175"/>
        <v>1621</v>
      </c>
    </row>
    <row r="1622" spans="3:15">
      <c r="C1622" s="84" t="s">
        <v>107</v>
      </c>
      <c r="D1622" s="75"/>
      <c r="E1622" s="75"/>
      <c r="F1622" s="81" t="s">
        <v>151</v>
      </c>
      <c r="G1622" s="55" t="s">
        <v>2820</v>
      </c>
      <c r="H1622" s="55" t="s">
        <v>124</v>
      </c>
      <c r="I1622" s="59">
        <v>1.9</v>
      </c>
      <c r="J1622" s="60" t="s">
        <v>2821</v>
      </c>
      <c r="K1622" s="63" t="str">
        <f t="shared" si="179"/>
        <v>XBF-TC04BInput</v>
      </c>
      <c r="L1622" s="59">
        <f t="shared" si="176"/>
        <v>46</v>
      </c>
      <c r="M1622" s="59">
        <f t="shared" si="177"/>
        <v>38</v>
      </c>
      <c r="N1622" s="59">
        <f t="shared" si="178"/>
        <v>8</v>
      </c>
      <c r="O1622" s="60">
        <f t="shared" si="175"/>
        <v>1622</v>
      </c>
    </row>
    <row r="1623" spans="3:15">
      <c r="C1623" s="84" t="s">
        <v>107</v>
      </c>
      <c r="D1623" s="75"/>
      <c r="E1623" s="75"/>
      <c r="F1623" s="81" t="s">
        <v>151</v>
      </c>
      <c r="G1623" s="55" t="s">
        <v>2822</v>
      </c>
      <c r="H1623" s="55" t="s">
        <v>124</v>
      </c>
      <c r="I1623" s="59" t="s">
        <v>136</v>
      </c>
      <c r="J1623" s="60" t="s">
        <v>2823</v>
      </c>
      <c r="K1623" s="63" t="str">
        <f t="shared" si="179"/>
        <v>XBF-TC04BInput</v>
      </c>
      <c r="L1623" s="59">
        <f t="shared" si="176"/>
        <v>46</v>
      </c>
      <c r="M1623" s="59">
        <f t="shared" si="177"/>
        <v>38</v>
      </c>
      <c r="N1623" s="59">
        <f t="shared" si="178"/>
        <v>8</v>
      </c>
      <c r="O1623" s="60">
        <f t="shared" si="175"/>
        <v>1623</v>
      </c>
    </row>
    <row r="1624" spans="3:15">
      <c r="C1624" s="84" t="s">
        <v>107</v>
      </c>
      <c r="D1624" s="75"/>
      <c r="E1624" s="75"/>
      <c r="F1624" s="81" t="s">
        <v>151</v>
      </c>
      <c r="G1624" s="55" t="s">
        <v>2824</v>
      </c>
      <c r="H1624" s="55" t="s">
        <v>124</v>
      </c>
      <c r="I1624" s="59" t="s">
        <v>138</v>
      </c>
      <c r="J1624" s="60" t="s">
        <v>2825</v>
      </c>
      <c r="K1624" s="63" t="str">
        <f t="shared" si="179"/>
        <v>XBF-TC04BInput</v>
      </c>
      <c r="L1624" s="59">
        <f t="shared" si="176"/>
        <v>46</v>
      </c>
      <c r="M1624" s="59">
        <f t="shared" si="177"/>
        <v>38</v>
      </c>
      <c r="N1624" s="59">
        <f t="shared" si="178"/>
        <v>8</v>
      </c>
      <c r="O1624" s="60">
        <f t="shared" si="175"/>
        <v>1624</v>
      </c>
    </row>
    <row r="1625" spans="3:15">
      <c r="C1625" s="84" t="s">
        <v>107</v>
      </c>
      <c r="D1625" s="75"/>
      <c r="E1625" s="75"/>
      <c r="F1625" s="81" t="s">
        <v>151</v>
      </c>
      <c r="G1625" s="62" t="s">
        <v>6</v>
      </c>
      <c r="H1625" s="55" t="s">
        <v>139</v>
      </c>
      <c r="I1625" s="59">
        <v>2</v>
      </c>
      <c r="J1625" s="60" t="s">
        <v>140</v>
      </c>
      <c r="K1625" s="63" t="str">
        <f t="shared" si="179"/>
        <v>XBF-TC04BInput</v>
      </c>
      <c r="L1625" s="59">
        <f t="shared" si="176"/>
        <v>46</v>
      </c>
      <c r="M1625" s="59">
        <f t="shared" si="177"/>
        <v>38</v>
      </c>
      <c r="N1625" s="59">
        <f t="shared" si="178"/>
        <v>8</v>
      </c>
      <c r="O1625" s="60">
        <f t="shared" si="175"/>
        <v>1625</v>
      </c>
    </row>
    <row r="1626" spans="3:15">
      <c r="C1626" s="84" t="s">
        <v>107</v>
      </c>
      <c r="D1626" s="75"/>
      <c r="E1626" s="75"/>
      <c r="F1626" s="81" t="s">
        <v>151</v>
      </c>
      <c r="G1626" s="62" t="s">
        <v>6</v>
      </c>
      <c r="H1626" s="55" t="s">
        <v>139</v>
      </c>
      <c r="I1626" s="59">
        <v>3</v>
      </c>
      <c r="J1626" s="60" t="s">
        <v>140</v>
      </c>
      <c r="K1626" s="63" t="str">
        <f t="shared" si="179"/>
        <v>XBF-TC04BInput</v>
      </c>
      <c r="L1626" s="59">
        <f t="shared" si="176"/>
        <v>46</v>
      </c>
      <c r="M1626" s="59">
        <f t="shared" si="177"/>
        <v>38</v>
      </c>
      <c r="N1626" s="59">
        <f t="shared" si="178"/>
        <v>8</v>
      </c>
      <c r="O1626" s="60">
        <f t="shared" si="175"/>
        <v>1626</v>
      </c>
    </row>
    <row r="1627" spans="3:15">
      <c r="C1627" s="84" t="s">
        <v>107</v>
      </c>
      <c r="D1627" s="75"/>
      <c r="E1627" s="75"/>
      <c r="F1627" s="81" t="s">
        <v>151</v>
      </c>
      <c r="G1627" s="55" t="s">
        <v>2826</v>
      </c>
      <c r="H1627" s="55" t="s">
        <v>139</v>
      </c>
      <c r="I1627" s="59">
        <v>4</v>
      </c>
      <c r="J1627" s="60" t="s">
        <v>2674</v>
      </c>
      <c r="K1627" s="63" t="str">
        <f t="shared" si="179"/>
        <v>XBF-TC04BInput</v>
      </c>
      <c r="L1627" s="59">
        <f t="shared" si="176"/>
        <v>46</v>
      </c>
      <c r="M1627" s="59">
        <f t="shared" si="177"/>
        <v>38</v>
      </c>
      <c r="N1627" s="59">
        <f t="shared" si="178"/>
        <v>8</v>
      </c>
      <c r="O1627" s="60">
        <f t="shared" si="175"/>
        <v>1627</v>
      </c>
    </row>
    <row r="1628" spans="3:15">
      <c r="C1628" s="84" t="s">
        <v>107</v>
      </c>
      <c r="D1628" s="75"/>
      <c r="E1628" s="75"/>
      <c r="F1628" s="81" t="s">
        <v>151</v>
      </c>
      <c r="G1628" s="55" t="s">
        <v>2827</v>
      </c>
      <c r="H1628" s="55" t="s">
        <v>139</v>
      </c>
      <c r="I1628" s="59">
        <v>5</v>
      </c>
      <c r="J1628" s="60" t="s">
        <v>2695</v>
      </c>
      <c r="K1628" s="63" t="str">
        <f t="shared" si="179"/>
        <v>XBF-TC04BInput</v>
      </c>
      <c r="L1628" s="59">
        <f t="shared" si="176"/>
        <v>46</v>
      </c>
      <c r="M1628" s="59">
        <f t="shared" si="177"/>
        <v>38</v>
      </c>
      <c r="N1628" s="59">
        <f t="shared" si="178"/>
        <v>8</v>
      </c>
      <c r="O1628" s="60">
        <f t="shared" si="175"/>
        <v>1628</v>
      </c>
    </row>
    <row r="1629" spans="3:15">
      <c r="C1629" s="84" t="s">
        <v>107</v>
      </c>
      <c r="D1629" s="75"/>
      <c r="E1629" s="75"/>
      <c r="F1629" s="81" t="s">
        <v>151</v>
      </c>
      <c r="G1629" s="55" t="s">
        <v>2828</v>
      </c>
      <c r="H1629" s="55" t="s">
        <v>139</v>
      </c>
      <c r="I1629" s="59">
        <v>6</v>
      </c>
      <c r="J1629" s="60" t="s">
        <v>2697</v>
      </c>
      <c r="K1629" s="63" t="str">
        <f t="shared" si="179"/>
        <v>XBF-TC04BInput</v>
      </c>
      <c r="L1629" s="59">
        <f t="shared" si="176"/>
        <v>46</v>
      </c>
      <c r="M1629" s="59">
        <f t="shared" si="177"/>
        <v>38</v>
      </c>
      <c r="N1629" s="59">
        <f t="shared" si="178"/>
        <v>8</v>
      </c>
      <c r="O1629" s="60">
        <f t="shared" si="175"/>
        <v>1629</v>
      </c>
    </row>
    <row r="1630" spans="3:15">
      <c r="C1630" s="84" t="s">
        <v>107</v>
      </c>
      <c r="D1630" s="75"/>
      <c r="E1630" s="75"/>
      <c r="F1630" s="81" t="s">
        <v>151</v>
      </c>
      <c r="G1630" s="55" t="s">
        <v>2829</v>
      </c>
      <c r="H1630" s="55" t="s">
        <v>139</v>
      </c>
      <c r="I1630" s="59">
        <v>7</v>
      </c>
      <c r="J1630" s="60" t="s">
        <v>2699</v>
      </c>
      <c r="K1630" s="63" t="str">
        <f t="shared" si="179"/>
        <v>XBF-TC04BInput</v>
      </c>
      <c r="L1630" s="59">
        <f t="shared" si="176"/>
        <v>46</v>
      </c>
      <c r="M1630" s="59">
        <f t="shared" si="177"/>
        <v>38</v>
      </c>
      <c r="N1630" s="59">
        <f t="shared" si="178"/>
        <v>8</v>
      </c>
      <c r="O1630" s="60">
        <f t="shared" si="175"/>
        <v>1630</v>
      </c>
    </row>
    <row r="1631" spans="3:15">
      <c r="C1631" s="84" t="s">
        <v>107</v>
      </c>
      <c r="D1631" s="75"/>
      <c r="E1631" s="75"/>
      <c r="F1631" s="81" t="s">
        <v>151</v>
      </c>
      <c r="G1631" s="55" t="s">
        <v>2830</v>
      </c>
      <c r="H1631" s="55" t="s">
        <v>139</v>
      </c>
      <c r="I1631" s="59">
        <v>8</v>
      </c>
      <c r="J1631" s="60" t="s">
        <v>2676</v>
      </c>
      <c r="K1631" s="63" t="str">
        <f t="shared" si="179"/>
        <v>XBF-TC04BInput</v>
      </c>
      <c r="L1631" s="59">
        <f t="shared" si="176"/>
        <v>46</v>
      </c>
      <c r="M1631" s="59">
        <f t="shared" si="177"/>
        <v>38</v>
      </c>
      <c r="N1631" s="59">
        <f t="shared" si="178"/>
        <v>8</v>
      </c>
      <c r="O1631" s="60">
        <f t="shared" si="175"/>
        <v>1631</v>
      </c>
    </row>
    <row r="1632" spans="3:15">
      <c r="C1632" s="84" t="s">
        <v>107</v>
      </c>
      <c r="D1632" s="75"/>
      <c r="E1632" s="75"/>
      <c r="F1632" s="81" t="s">
        <v>151</v>
      </c>
      <c r="G1632" s="55" t="s">
        <v>2831</v>
      </c>
      <c r="H1632" s="55" t="s">
        <v>139</v>
      </c>
      <c r="I1632" s="59">
        <v>9</v>
      </c>
      <c r="J1632" s="60" t="s">
        <v>2702</v>
      </c>
      <c r="K1632" s="63" t="str">
        <f t="shared" si="179"/>
        <v>XBF-TC04BInput</v>
      </c>
      <c r="L1632" s="59">
        <f t="shared" si="176"/>
        <v>46</v>
      </c>
      <c r="M1632" s="59">
        <f t="shared" si="177"/>
        <v>38</v>
      </c>
      <c r="N1632" s="59">
        <f t="shared" si="178"/>
        <v>8</v>
      </c>
      <c r="O1632" s="60">
        <f t="shared" si="175"/>
        <v>1632</v>
      </c>
    </row>
    <row r="1633" spans="3:15">
      <c r="C1633" s="84" t="s">
        <v>107</v>
      </c>
      <c r="D1633" s="75"/>
      <c r="E1633" s="75"/>
      <c r="F1633" s="81" t="s">
        <v>151</v>
      </c>
      <c r="G1633" s="55" t="s">
        <v>2832</v>
      </c>
      <c r="H1633" s="55" t="s">
        <v>139</v>
      </c>
      <c r="I1633" s="59">
        <v>10</v>
      </c>
      <c r="J1633" s="60" t="s">
        <v>2704</v>
      </c>
      <c r="K1633" s="63" t="str">
        <f t="shared" si="179"/>
        <v>XBF-TC04BInput</v>
      </c>
      <c r="L1633" s="59">
        <f t="shared" si="176"/>
        <v>46</v>
      </c>
      <c r="M1633" s="59">
        <f t="shared" si="177"/>
        <v>38</v>
      </c>
      <c r="N1633" s="59">
        <f t="shared" si="178"/>
        <v>8</v>
      </c>
      <c r="O1633" s="60">
        <f t="shared" si="175"/>
        <v>1633</v>
      </c>
    </row>
    <row r="1634" spans="3:15">
      <c r="C1634" s="84" t="s">
        <v>107</v>
      </c>
      <c r="D1634" s="75"/>
      <c r="E1634" s="75"/>
      <c r="F1634" s="81" t="s">
        <v>151</v>
      </c>
      <c r="G1634" s="55" t="s">
        <v>2833</v>
      </c>
      <c r="H1634" s="55" t="s">
        <v>139</v>
      </c>
      <c r="I1634" s="59">
        <v>11</v>
      </c>
      <c r="J1634" s="60" t="s">
        <v>2706</v>
      </c>
      <c r="K1634" s="63" t="str">
        <f t="shared" si="179"/>
        <v>XBF-TC04BInput</v>
      </c>
      <c r="L1634" s="59">
        <f t="shared" si="176"/>
        <v>46</v>
      </c>
      <c r="M1634" s="59">
        <f t="shared" si="177"/>
        <v>38</v>
      </c>
      <c r="N1634" s="59">
        <f t="shared" si="178"/>
        <v>8</v>
      </c>
      <c r="O1634" s="60">
        <f t="shared" si="175"/>
        <v>1634</v>
      </c>
    </row>
    <row r="1635" spans="3:15">
      <c r="C1635" s="84" t="s">
        <v>107</v>
      </c>
      <c r="D1635" s="75"/>
      <c r="E1635" s="75"/>
      <c r="F1635" s="81" t="s">
        <v>151</v>
      </c>
      <c r="G1635" s="55" t="s">
        <v>2834</v>
      </c>
      <c r="H1635" s="55" t="s">
        <v>139</v>
      </c>
      <c r="I1635" s="59">
        <v>12</v>
      </c>
      <c r="J1635" s="60" t="s">
        <v>2835</v>
      </c>
      <c r="K1635" s="63" t="str">
        <f t="shared" si="179"/>
        <v>XBF-TC04BInput</v>
      </c>
      <c r="L1635" s="59">
        <f t="shared" ref="L1635:L1642" si="180">COUNTIF($C$2:$C$2062,C1635)</f>
        <v>46</v>
      </c>
      <c r="M1635" s="59">
        <f t="shared" ref="M1635:M1642" si="181">COUNTIF($K$2:$K$2062,K1635)</f>
        <v>38</v>
      </c>
      <c r="N1635" s="59">
        <f t="shared" si="178"/>
        <v>8</v>
      </c>
      <c r="O1635" s="60">
        <f t="shared" si="175"/>
        <v>1635</v>
      </c>
    </row>
    <row r="1636" spans="3:15">
      <c r="C1636" s="84" t="s">
        <v>107</v>
      </c>
      <c r="D1636" s="75"/>
      <c r="E1636" s="75"/>
      <c r="F1636" s="81" t="s">
        <v>151</v>
      </c>
      <c r="G1636" s="55" t="s">
        <v>2836</v>
      </c>
      <c r="H1636" s="55" t="s">
        <v>139</v>
      </c>
      <c r="I1636" s="59">
        <v>13</v>
      </c>
      <c r="J1636" s="60" t="s">
        <v>2837</v>
      </c>
      <c r="K1636" s="63" t="str">
        <f t="shared" si="179"/>
        <v>XBF-TC04BInput</v>
      </c>
      <c r="L1636" s="59">
        <f t="shared" si="180"/>
        <v>46</v>
      </c>
      <c r="M1636" s="59">
        <f t="shared" si="181"/>
        <v>38</v>
      </c>
      <c r="N1636" s="59">
        <f t="shared" si="178"/>
        <v>8</v>
      </c>
      <c r="O1636" s="60">
        <f t="shared" si="175"/>
        <v>1636</v>
      </c>
    </row>
    <row r="1637" spans="3:15">
      <c r="C1637" s="84" t="s">
        <v>107</v>
      </c>
      <c r="D1637" s="75"/>
      <c r="E1637" s="75"/>
      <c r="F1637" s="81" t="s">
        <v>151</v>
      </c>
      <c r="G1637" s="55" t="s">
        <v>2838</v>
      </c>
      <c r="H1637" s="55" t="s">
        <v>139</v>
      </c>
      <c r="I1637" s="59">
        <v>14</v>
      </c>
      <c r="J1637" s="60" t="s">
        <v>2839</v>
      </c>
      <c r="K1637" s="63" t="str">
        <f t="shared" si="179"/>
        <v>XBF-TC04BInput</v>
      </c>
      <c r="L1637" s="59">
        <f t="shared" si="180"/>
        <v>46</v>
      </c>
      <c r="M1637" s="59">
        <f t="shared" si="181"/>
        <v>38</v>
      </c>
      <c r="N1637" s="59">
        <f t="shared" si="178"/>
        <v>8</v>
      </c>
      <c r="O1637" s="60">
        <f t="shared" si="175"/>
        <v>1637</v>
      </c>
    </row>
    <row r="1638" spans="3:15">
      <c r="C1638" s="84" t="s">
        <v>107</v>
      </c>
      <c r="D1638" s="75"/>
      <c r="E1638" s="75"/>
      <c r="F1638" s="81" t="s">
        <v>151</v>
      </c>
      <c r="G1638" s="55" t="s">
        <v>2840</v>
      </c>
      <c r="H1638" s="55" t="s">
        <v>139</v>
      </c>
      <c r="I1638" s="59">
        <v>15</v>
      </c>
      <c r="J1638" s="60" t="s">
        <v>2841</v>
      </c>
      <c r="K1638" s="63" t="str">
        <f t="shared" si="179"/>
        <v>XBF-TC04BInput</v>
      </c>
      <c r="L1638" s="59">
        <f t="shared" si="180"/>
        <v>46</v>
      </c>
      <c r="M1638" s="59">
        <f t="shared" si="181"/>
        <v>38</v>
      </c>
      <c r="N1638" s="59">
        <f t="shared" si="178"/>
        <v>8</v>
      </c>
      <c r="O1638" s="60">
        <f t="shared" si="175"/>
        <v>1638</v>
      </c>
    </row>
    <row r="1639" spans="3:15">
      <c r="C1639" s="84" t="s">
        <v>107</v>
      </c>
      <c r="D1639" s="75"/>
      <c r="E1639" s="75"/>
      <c r="F1639" s="81" t="s">
        <v>151</v>
      </c>
      <c r="G1639" s="55" t="s">
        <v>2842</v>
      </c>
      <c r="H1639" s="55" t="s">
        <v>139</v>
      </c>
      <c r="I1639" s="59">
        <v>16</v>
      </c>
      <c r="J1639" s="60" t="s">
        <v>2843</v>
      </c>
      <c r="K1639" s="63" t="str">
        <f t="shared" si="179"/>
        <v>XBF-TC04BInput</v>
      </c>
      <c r="L1639" s="59">
        <f t="shared" si="180"/>
        <v>46</v>
      </c>
      <c r="M1639" s="59">
        <f t="shared" si="181"/>
        <v>38</v>
      </c>
      <c r="N1639" s="59">
        <f t="shared" si="178"/>
        <v>8</v>
      </c>
      <c r="O1639" s="60">
        <f t="shared" si="175"/>
        <v>1639</v>
      </c>
    </row>
    <row r="1640" spans="3:15">
      <c r="C1640" s="84" t="s">
        <v>107</v>
      </c>
      <c r="D1640" s="75"/>
      <c r="E1640" s="75"/>
      <c r="F1640" s="81" t="s">
        <v>151</v>
      </c>
      <c r="G1640" s="55" t="s">
        <v>2844</v>
      </c>
      <c r="H1640" s="55" t="s">
        <v>139</v>
      </c>
      <c r="I1640" s="59">
        <v>17</v>
      </c>
      <c r="J1640" s="60" t="s">
        <v>2845</v>
      </c>
      <c r="K1640" s="63" t="str">
        <f t="shared" si="179"/>
        <v>XBF-TC04BInput</v>
      </c>
      <c r="L1640" s="59">
        <f t="shared" si="180"/>
        <v>46</v>
      </c>
      <c r="M1640" s="59">
        <f t="shared" si="181"/>
        <v>38</v>
      </c>
      <c r="N1640" s="59">
        <f t="shared" si="178"/>
        <v>8</v>
      </c>
      <c r="O1640" s="60">
        <f t="shared" si="175"/>
        <v>1640</v>
      </c>
    </row>
    <row r="1641" spans="3:15">
      <c r="C1641" s="84" t="s">
        <v>107</v>
      </c>
      <c r="D1641" s="75"/>
      <c r="E1641" s="75"/>
      <c r="F1641" s="81" t="s">
        <v>151</v>
      </c>
      <c r="G1641" s="55" t="s">
        <v>2846</v>
      </c>
      <c r="H1641" s="55" t="s">
        <v>139</v>
      </c>
      <c r="I1641" s="59">
        <v>18</v>
      </c>
      <c r="J1641" s="60" t="s">
        <v>2847</v>
      </c>
      <c r="K1641" s="63" t="str">
        <f t="shared" si="179"/>
        <v>XBF-TC04BInput</v>
      </c>
      <c r="L1641" s="59">
        <f t="shared" si="180"/>
        <v>46</v>
      </c>
      <c r="M1641" s="59">
        <f t="shared" si="181"/>
        <v>38</v>
      </c>
      <c r="N1641" s="59">
        <f t="shared" si="178"/>
        <v>8</v>
      </c>
      <c r="O1641" s="60">
        <f t="shared" si="175"/>
        <v>1641</v>
      </c>
    </row>
    <row r="1642" spans="3:15">
      <c r="C1642" s="84" t="s">
        <v>107</v>
      </c>
      <c r="D1642" s="75"/>
      <c r="E1642" s="75"/>
      <c r="F1642" s="81" t="s">
        <v>151</v>
      </c>
      <c r="G1642" s="55" t="s">
        <v>2848</v>
      </c>
      <c r="H1642" s="55" t="s">
        <v>139</v>
      </c>
      <c r="I1642" s="59">
        <v>19</v>
      </c>
      <c r="J1642" s="60" t="s">
        <v>2849</v>
      </c>
      <c r="K1642" s="63" t="str">
        <f t="shared" si="179"/>
        <v>XBF-TC04BInput</v>
      </c>
      <c r="L1642" s="59">
        <f t="shared" si="180"/>
        <v>46</v>
      </c>
      <c r="M1642" s="59">
        <f t="shared" si="181"/>
        <v>38</v>
      </c>
      <c r="N1642" s="59">
        <f t="shared" si="178"/>
        <v>8</v>
      </c>
      <c r="O1642" s="60">
        <f t="shared" si="175"/>
        <v>1642</v>
      </c>
    </row>
    <row r="1643" spans="3:15">
      <c r="C1643" s="84" t="s">
        <v>107</v>
      </c>
      <c r="D1643" s="75"/>
      <c r="E1643" s="75"/>
      <c r="F1643" s="81" t="s">
        <v>166</v>
      </c>
      <c r="G1643" s="55" t="s">
        <v>2850</v>
      </c>
      <c r="H1643" s="55" t="s">
        <v>124</v>
      </c>
      <c r="I1643" s="59">
        <v>0</v>
      </c>
      <c r="J1643" s="60" t="s">
        <v>2780</v>
      </c>
      <c r="K1643" s="63"/>
      <c r="L1643" s="59"/>
      <c r="M1643" s="59"/>
      <c r="N1643" s="59"/>
      <c r="O1643" s="60">
        <f t="shared" si="175"/>
        <v>1643</v>
      </c>
    </row>
    <row r="1644" spans="3:15">
      <c r="C1644" s="84" t="s">
        <v>107</v>
      </c>
      <c r="D1644" s="75"/>
      <c r="E1644" s="75"/>
      <c r="F1644" s="81" t="s">
        <v>166</v>
      </c>
      <c r="G1644" s="55" t="s">
        <v>2851</v>
      </c>
      <c r="H1644" s="55" t="s">
        <v>124</v>
      </c>
      <c r="I1644" s="59">
        <v>0.1</v>
      </c>
      <c r="J1644" s="60" t="s">
        <v>2782</v>
      </c>
      <c r="K1644" s="63"/>
      <c r="L1644" s="59"/>
      <c r="M1644" s="59"/>
      <c r="N1644" s="59"/>
      <c r="O1644" s="60">
        <f t="shared" si="175"/>
        <v>1644</v>
      </c>
    </row>
    <row r="1645" spans="3:15">
      <c r="C1645" s="84" t="s">
        <v>107</v>
      </c>
      <c r="D1645" s="75"/>
      <c r="E1645" s="75"/>
      <c r="F1645" s="81" t="s">
        <v>166</v>
      </c>
      <c r="G1645" s="55" t="s">
        <v>2852</v>
      </c>
      <c r="H1645" s="55" t="s">
        <v>124</v>
      </c>
      <c r="I1645" s="59">
        <v>0.2</v>
      </c>
      <c r="J1645" s="60" t="s">
        <v>2784</v>
      </c>
      <c r="K1645" s="63"/>
      <c r="L1645" s="59"/>
      <c r="M1645" s="59"/>
      <c r="N1645" s="59"/>
      <c r="O1645" s="60">
        <f t="shared" si="175"/>
        <v>1645</v>
      </c>
    </row>
    <row r="1646" spans="3:15">
      <c r="C1646" s="84" t="s">
        <v>107</v>
      </c>
      <c r="D1646" s="75"/>
      <c r="E1646" s="75"/>
      <c r="F1646" s="81" t="s">
        <v>166</v>
      </c>
      <c r="G1646" s="55" t="s">
        <v>2853</v>
      </c>
      <c r="H1646" s="55" t="s">
        <v>124</v>
      </c>
      <c r="I1646" s="59">
        <v>0.3</v>
      </c>
      <c r="J1646" s="60" t="s">
        <v>2786</v>
      </c>
      <c r="K1646" s="63"/>
      <c r="L1646" s="59"/>
      <c r="M1646" s="59"/>
      <c r="N1646" s="59"/>
      <c r="O1646" s="60">
        <f t="shared" si="175"/>
        <v>1646</v>
      </c>
    </row>
    <row r="1647" spans="3:15">
      <c r="C1647" s="84" t="s">
        <v>107</v>
      </c>
      <c r="D1647" s="75"/>
      <c r="E1647" s="75"/>
      <c r="F1647" s="81" t="s">
        <v>166</v>
      </c>
      <c r="G1647" s="55" t="s">
        <v>2854</v>
      </c>
      <c r="H1647" s="55" t="s">
        <v>124</v>
      </c>
      <c r="I1647" s="59">
        <v>0.8</v>
      </c>
      <c r="J1647" s="60" t="s">
        <v>2788</v>
      </c>
      <c r="K1647" s="63"/>
      <c r="L1647" s="59"/>
      <c r="M1647" s="59"/>
      <c r="N1647" s="59"/>
      <c r="O1647" s="60">
        <f t="shared" si="175"/>
        <v>1647</v>
      </c>
    </row>
    <row r="1648" spans="3:15">
      <c r="C1648" s="84" t="s">
        <v>107</v>
      </c>
      <c r="D1648" s="75"/>
      <c r="E1648" s="75"/>
      <c r="F1648" s="81" t="s">
        <v>166</v>
      </c>
      <c r="G1648" s="55" t="s">
        <v>2855</v>
      </c>
      <c r="H1648" s="55" t="s">
        <v>124</v>
      </c>
      <c r="I1648" s="59">
        <v>0.9</v>
      </c>
      <c r="J1648" s="60" t="s">
        <v>2790</v>
      </c>
      <c r="K1648" s="63"/>
      <c r="L1648" s="59"/>
      <c r="M1648" s="59"/>
      <c r="N1648" s="59"/>
      <c r="O1648" s="60">
        <f t="shared" si="175"/>
        <v>1648</v>
      </c>
    </row>
    <row r="1649" spans="3:22">
      <c r="C1649" s="84" t="s">
        <v>107</v>
      </c>
      <c r="D1649" s="75"/>
      <c r="E1649" s="75"/>
      <c r="F1649" s="81" t="s">
        <v>166</v>
      </c>
      <c r="G1649" s="55" t="s">
        <v>2856</v>
      </c>
      <c r="H1649" s="55" t="s">
        <v>124</v>
      </c>
      <c r="I1649" s="59" t="s">
        <v>988</v>
      </c>
      <c r="J1649" s="60" t="s">
        <v>2792</v>
      </c>
      <c r="K1649" s="63"/>
      <c r="L1649" s="59"/>
      <c r="M1649" s="59"/>
      <c r="N1649" s="59"/>
      <c r="O1649" s="60">
        <f t="shared" si="175"/>
        <v>1649</v>
      </c>
    </row>
    <row r="1650" spans="3:22">
      <c r="C1650" s="84" t="s">
        <v>107</v>
      </c>
      <c r="D1650" s="75"/>
      <c r="E1650" s="75"/>
      <c r="F1650" s="81" t="s">
        <v>166</v>
      </c>
      <c r="G1650" s="55" t="s">
        <v>2857</v>
      </c>
      <c r="H1650" s="55" t="s">
        <v>124</v>
      </c>
      <c r="I1650" s="59" t="s">
        <v>991</v>
      </c>
      <c r="J1650" s="60" t="s">
        <v>2794</v>
      </c>
      <c r="K1650" s="63"/>
      <c r="L1650" s="59"/>
      <c r="M1650" s="59"/>
      <c r="N1650" s="59"/>
      <c r="O1650" s="60">
        <f t="shared" si="175"/>
        <v>1650</v>
      </c>
      <c r="P1650" s="65"/>
    </row>
    <row r="1651" spans="3:22">
      <c r="C1651" s="84" t="s">
        <v>108</v>
      </c>
      <c r="D1651" s="76">
        <v>40</v>
      </c>
      <c r="E1651" s="76">
        <v>2</v>
      </c>
      <c r="F1651" s="82" t="s">
        <v>151</v>
      </c>
      <c r="G1651" s="55" t="s">
        <v>2707</v>
      </c>
      <c r="H1651" s="55" t="s">
        <v>124</v>
      </c>
      <c r="I1651" s="59">
        <v>0</v>
      </c>
      <c r="J1651" s="60" t="s">
        <v>2708</v>
      </c>
      <c r="K1651" s="63" t="str">
        <f t="shared" si="179"/>
        <v>XBF-TC04SInput</v>
      </c>
      <c r="L1651" s="59">
        <f t="shared" ref="L1651:L1688" si="182">COUNTIF($C$2:$C$2062,C1651)</f>
        <v>46</v>
      </c>
      <c r="M1651" s="59">
        <f t="shared" ref="M1651:M1688" si="183">COUNTIF($K$2:$K$2062,K1651)</f>
        <v>38</v>
      </c>
      <c r="N1651" s="59">
        <f t="shared" si="178"/>
        <v>8</v>
      </c>
      <c r="O1651" s="60">
        <f t="shared" si="175"/>
        <v>1651</v>
      </c>
      <c r="P1651" s="65" t="s">
        <v>3214</v>
      </c>
      <c r="Q1651">
        <f>O1651</f>
        <v>1651</v>
      </c>
      <c r="R1651" t="s">
        <v>3215</v>
      </c>
      <c r="S1651">
        <v>1697</v>
      </c>
      <c r="T1651" t="str">
        <f>P1651&amp;Q1651&amp;R1651&amp;S1651</f>
        <v>All data map'!$F$1651:$J$1697</v>
      </c>
      <c r="V1651" t="s">
        <v>3288</v>
      </c>
    </row>
    <row r="1652" spans="3:22">
      <c r="C1652" s="84" t="s">
        <v>108</v>
      </c>
      <c r="D1652" s="75"/>
      <c r="E1652" s="75"/>
      <c r="F1652" s="81" t="s">
        <v>151</v>
      </c>
      <c r="G1652" s="55" t="s">
        <v>2709</v>
      </c>
      <c r="H1652" s="55" t="s">
        <v>124</v>
      </c>
      <c r="I1652" s="59">
        <v>0.1</v>
      </c>
      <c r="J1652" s="60" t="s">
        <v>2710</v>
      </c>
      <c r="K1652" s="63" t="str">
        <f t="shared" si="179"/>
        <v>XBF-TC04SInput</v>
      </c>
      <c r="L1652" s="59">
        <f t="shared" si="182"/>
        <v>46</v>
      </c>
      <c r="M1652" s="59">
        <f t="shared" si="183"/>
        <v>38</v>
      </c>
      <c r="N1652" s="59">
        <f t="shared" si="178"/>
        <v>8</v>
      </c>
      <c r="O1652" s="60">
        <f t="shared" si="175"/>
        <v>1652</v>
      </c>
    </row>
    <row r="1653" spans="3:22">
      <c r="C1653" s="84" t="s">
        <v>108</v>
      </c>
      <c r="D1653" s="75"/>
      <c r="E1653" s="75"/>
      <c r="F1653" s="81" t="s">
        <v>151</v>
      </c>
      <c r="G1653" s="55" t="s">
        <v>2711</v>
      </c>
      <c r="H1653" s="55" t="s">
        <v>124</v>
      </c>
      <c r="I1653" s="59">
        <v>0.2</v>
      </c>
      <c r="J1653" s="60" t="s">
        <v>2712</v>
      </c>
      <c r="K1653" s="63" t="str">
        <f t="shared" si="179"/>
        <v>XBF-TC04SInput</v>
      </c>
      <c r="L1653" s="59">
        <f t="shared" si="182"/>
        <v>46</v>
      </c>
      <c r="M1653" s="59">
        <f t="shared" si="183"/>
        <v>38</v>
      </c>
      <c r="N1653" s="59">
        <f t="shared" si="178"/>
        <v>8</v>
      </c>
      <c r="O1653" s="60">
        <f t="shared" si="175"/>
        <v>1653</v>
      </c>
    </row>
    <row r="1654" spans="3:22">
      <c r="C1654" s="84" t="s">
        <v>108</v>
      </c>
      <c r="D1654" s="75"/>
      <c r="E1654" s="75"/>
      <c r="F1654" s="81" t="s">
        <v>151</v>
      </c>
      <c r="G1654" s="55" t="s">
        <v>2713</v>
      </c>
      <c r="H1654" s="55" t="s">
        <v>124</v>
      </c>
      <c r="I1654" s="59">
        <v>0.3</v>
      </c>
      <c r="J1654" s="60" t="s">
        <v>2714</v>
      </c>
      <c r="K1654" s="63" t="str">
        <f t="shared" si="179"/>
        <v>XBF-TC04SInput</v>
      </c>
      <c r="L1654" s="59">
        <f t="shared" si="182"/>
        <v>46</v>
      </c>
      <c r="M1654" s="59">
        <f t="shared" si="183"/>
        <v>38</v>
      </c>
      <c r="N1654" s="59">
        <f t="shared" si="178"/>
        <v>8</v>
      </c>
      <c r="O1654" s="60">
        <f t="shared" si="175"/>
        <v>1654</v>
      </c>
    </row>
    <row r="1655" spans="3:22">
      <c r="C1655" s="84" t="s">
        <v>108</v>
      </c>
      <c r="D1655" s="75"/>
      <c r="E1655" s="75"/>
      <c r="F1655" s="81" t="s">
        <v>151</v>
      </c>
      <c r="G1655" s="55" t="s">
        <v>2715</v>
      </c>
      <c r="H1655" s="55" t="s">
        <v>124</v>
      </c>
      <c r="I1655" s="59" t="s">
        <v>1130</v>
      </c>
      <c r="J1655" s="60" t="s">
        <v>2716</v>
      </c>
      <c r="K1655" s="63" t="str">
        <f t="shared" si="179"/>
        <v>XBF-TC04SInput</v>
      </c>
      <c r="L1655" s="59">
        <f t="shared" si="182"/>
        <v>46</v>
      </c>
      <c r="M1655" s="59">
        <f t="shared" si="183"/>
        <v>38</v>
      </c>
      <c r="N1655" s="59">
        <f t="shared" si="178"/>
        <v>8</v>
      </c>
      <c r="O1655" s="60">
        <f t="shared" si="175"/>
        <v>1655</v>
      </c>
    </row>
    <row r="1656" spans="3:22">
      <c r="C1656" s="84" t="s">
        <v>108</v>
      </c>
      <c r="D1656" s="75"/>
      <c r="E1656" s="75"/>
      <c r="F1656" s="81" t="s">
        <v>151</v>
      </c>
      <c r="G1656" s="55" t="s">
        <v>2717</v>
      </c>
      <c r="H1656" s="55" t="s">
        <v>124</v>
      </c>
      <c r="I1656" s="59" t="s">
        <v>1133</v>
      </c>
      <c r="J1656" s="60" t="s">
        <v>2718</v>
      </c>
      <c r="K1656" s="63" t="str">
        <f t="shared" si="179"/>
        <v>XBF-TC04SInput</v>
      </c>
      <c r="L1656" s="59">
        <f t="shared" si="182"/>
        <v>46</v>
      </c>
      <c r="M1656" s="59">
        <f t="shared" si="183"/>
        <v>38</v>
      </c>
      <c r="N1656" s="59">
        <f t="shared" si="178"/>
        <v>8</v>
      </c>
      <c r="O1656" s="60">
        <f t="shared" si="175"/>
        <v>1656</v>
      </c>
    </row>
    <row r="1657" spans="3:22">
      <c r="C1657" s="84" t="s">
        <v>108</v>
      </c>
      <c r="D1657" s="75"/>
      <c r="E1657" s="75"/>
      <c r="F1657" s="81" t="s">
        <v>151</v>
      </c>
      <c r="G1657" s="55" t="s">
        <v>2719</v>
      </c>
      <c r="H1657" s="55" t="s">
        <v>124</v>
      </c>
      <c r="I1657" s="59" t="s">
        <v>1050</v>
      </c>
      <c r="J1657" s="60" t="s">
        <v>2720</v>
      </c>
      <c r="K1657" s="63" t="str">
        <f t="shared" si="179"/>
        <v>XBF-TC04SInput</v>
      </c>
      <c r="L1657" s="59">
        <f t="shared" si="182"/>
        <v>46</v>
      </c>
      <c r="M1657" s="59">
        <f t="shared" si="183"/>
        <v>38</v>
      </c>
      <c r="N1657" s="59">
        <f t="shared" si="178"/>
        <v>8</v>
      </c>
      <c r="O1657" s="60">
        <f t="shared" si="175"/>
        <v>1657</v>
      </c>
    </row>
    <row r="1658" spans="3:22">
      <c r="C1658" s="84" t="s">
        <v>108</v>
      </c>
      <c r="D1658" s="75"/>
      <c r="E1658" s="75"/>
      <c r="F1658" s="81" t="s">
        <v>151</v>
      </c>
      <c r="G1658" s="55" t="s">
        <v>2721</v>
      </c>
      <c r="H1658" s="55" t="s">
        <v>124</v>
      </c>
      <c r="I1658" s="59" t="s">
        <v>126</v>
      </c>
      <c r="J1658" s="60" t="s">
        <v>2722</v>
      </c>
      <c r="K1658" s="63" t="str">
        <f t="shared" si="179"/>
        <v>XBF-TC04SInput</v>
      </c>
      <c r="L1658" s="59">
        <f t="shared" si="182"/>
        <v>46</v>
      </c>
      <c r="M1658" s="59">
        <f t="shared" si="183"/>
        <v>38</v>
      </c>
      <c r="N1658" s="59">
        <f t="shared" si="178"/>
        <v>8</v>
      </c>
      <c r="O1658" s="60">
        <f t="shared" si="175"/>
        <v>1658</v>
      </c>
    </row>
    <row r="1659" spans="3:22">
      <c r="C1659" s="84" t="s">
        <v>108</v>
      </c>
      <c r="D1659" s="75"/>
      <c r="E1659" s="75"/>
      <c r="F1659" s="81" t="s">
        <v>151</v>
      </c>
      <c r="G1659" s="55" t="s">
        <v>2723</v>
      </c>
      <c r="H1659" s="55" t="s">
        <v>124</v>
      </c>
      <c r="I1659" s="59">
        <v>1</v>
      </c>
      <c r="J1659" s="60" t="s">
        <v>2724</v>
      </c>
      <c r="K1659" s="63" t="str">
        <f t="shared" si="179"/>
        <v>XBF-TC04SInput</v>
      </c>
      <c r="L1659" s="59">
        <f t="shared" si="182"/>
        <v>46</v>
      </c>
      <c r="M1659" s="59">
        <f t="shared" si="183"/>
        <v>38</v>
      </c>
      <c r="N1659" s="59">
        <f t="shared" si="178"/>
        <v>8</v>
      </c>
      <c r="O1659" s="60">
        <f t="shared" si="175"/>
        <v>1659</v>
      </c>
    </row>
    <row r="1660" spans="3:22">
      <c r="C1660" s="84" t="s">
        <v>108</v>
      </c>
      <c r="D1660" s="75"/>
      <c r="E1660" s="75"/>
      <c r="F1660" s="81" t="s">
        <v>151</v>
      </c>
      <c r="G1660" s="55" t="s">
        <v>2725</v>
      </c>
      <c r="H1660" s="55" t="s">
        <v>124</v>
      </c>
      <c r="I1660" s="59">
        <v>1.1000000000000001</v>
      </c>
      <c r="J1660" s="60" t="s">
        <v>2726</v>
      </c>
      <c r="K1660" s="63" t="str">
        <f t="shared" si="179"/>
        <v>XBF-TC04SInput</v>
      </c>
      <c r="L1660" s="59">
        <f t="shared" si="182"/>
        <v>46</v>
      </c>
      <c r="M1660" s="59">
        <f t="shared" si="183"/>
        <v>38</v>
      </c>
      <c r="N1660" s="59">
        <f t="shared" si="178"/>
        <v>8</v>
      </c>
      <c r="O1660" s="60">
        <f t="shared" si="175"/>
        <v>1660</v>
      </c>
    </row>
    <row r="1661" spans="3:22">
      <c r="C1661" s="84" t="s">
        <v>108</v>
      </c>
      <c r="D1661" s="75"/>
      <c r="E1661" s="75"/>
      <c r="F1661" s="81" t="s">
        <v>151</v>
      </c>
      <c r="G1661" s="55" t="s">
        <v>2727</v>
      </c>
      <c r="H1661" s="55" t="s">
        <v>124</v>
      </c>
      <c r="I1661" s="59">
        <v>1.2</v>
      </c>
      <c r="J1661" s="60" t="s">
        <v>2728</v>
      </c>
      <c r="K1661" s="63" t="str">
        <f t="shared" si="179"/>
        <v>XBF-TC04SInput</v>
      </c>
      <c r="L1661" s="59">
        <f t="shared" si="182"/>
        <v>46</v>
      </c>
      <c r="M1661" s="59">
        <f t="shared" si="183"/>
        <v>38</v>
      </c>
      <c r="N1661" s="59">
        <f t="shared" si="178"/>
        <v>8</v>
      </c>
      <c r="O1661" s="60">
        <f t="shared" si="175"/>
        <v>1661</v>
      </c>
    </row>
    <row r="1662" spans="3:22">
      <c r="C1662" s="84" t="s">
        <v>108</v>
      </c>
      <c r="D1662" s="75"/>
      <c r="E1662" s="75"/>
      <c r="F1662" s="81" t="s">
        <v>151</v>
      </c>
      <c r="G1662" s="55" t="s">
        <v>2729</v>
      </c>
      <c r="H1662" s="55" t="s">
        <v>124</v>
      </c>
      <c r="I1662" s="59">
        <v>1.3</v>
      </c>
      <c r="J1662" s="60" t="s">
        <v>2730</v>
      </c>
      <c r="K1662" s="63" t="str">
        <f t="shared" si="179"/>
        <v>XBF-TC04SInput</v>
      </c>
      <c r="L1662" s="59">
        <f t="shared" si="182"/>
        <v>46</v>
      </c>
      <c r="M1662" s="59">
        <f t="shared" si="183"/>
        <v>38</v>
      </c>
      <c r="N1662" s="59">
        <f t="shared" si="178"/>
        <v>8</v>
      </c>
      <c r="O1662" s="60">
        <f t="shared" si="175"/>
        <v>1662</v>
      </c>
    </row>
    <row r="1663" spans="3:22">
      <c r="C1663" s="84" t="s">
        <v>108</v>
      </c>
      <c r="D1663" s="75"/>
      <c r="E1663" s="75"/>
      <c r="F1663" s="81" t="s">
        <v>151</v>
      </c>
      <c r="G1663" s="55" t="s">
        <v>2731</v>
      </c>
      <c r="H1663" s="55" t="s">
        <v>124</v>
      </c>
      <c r="I1663" s="59">
        <v>1.4</v>
      </c>
      <c r="J1663" s="60" t="s">
        <v>2732</v>
      </c>
      <c r="K1663" s="63" t="str">
        <f t="shared" si="179"/>
        <v>XBF-TC04SInput</v>
      </c>
      <c r="L1663" s="59">
        <f t="shared" si="182"/>
        <v>46</v>
      </c>
      <c r="M1663" s="59">
        <f t="shared" si="183"/>
        <v>38</v>
      </c>
      <c r="N1663" s="59">
        <f t="shared" si="178"/>
        <v>8</v>
      </c>
      <c r="O1663" s="60">
        <f t="shared" si="175"/>
        <v>1663</v>
      </c>
    </row>
    <row r="1664" spans="3:22">
      <c r="C1664" s="84" t="s">
        <v>108</v>
      </c>
      <c r="D1664" s="75"/>
      <c r="E1664" s="75"/>
      <c r="F1664" s="81" t="s">
        <v>151</v>
      </c>
      <c r="G1664" s="55" t="s">
        <v>2733</v>
      </c>
      <c r="H1664" s="55" t="s">
        <v>124</v>
      </c>
      <c r="I1664" s="59">
        <v>1.5</v>
      </c>
      <c r="J1664" s="60" t="s">
        <v>2734</v>
      </c>
      <c r="K1664" s="63" t="str">
        <f t="shared" si="179"/>
        <v>XBF-TC04SInput</v>
      </c>
      <c r="L1664" s="59">
        <f t="shared" si="182"/>
        <v>46</v>
      </c>
      <c r="M1664" s="59">
        <f t="shared" si="183"/>
        <v>38</v>
      </c>
      <c r="N1664" s="59">
        <f t="shared" si="178"/>
        <v>8</v>
      </c>
      <c r="O1664" s="60">
        <f t="shared" si="175"/>
        <v>1664</v>
      </c>
    </row>
    <row r="1665" spans="3:15">
      <c r="C1665" s="84" t="s">
        <v>108</v>
      </c>
      <c r="D1665" s="75"/>
      <c r="E1665" s="75"/>
      <c r="F1665" s="81" t="s">
        <v>151</v>
      </c>
      <c r="G1665" s="55" t="s">
        <v>2735</v>
      </c>
      <c r="H1665" s="55" t="s">
        <v>124</v>
      </c>
      <c r="I1665" s="59">
        <v>1.6</v>
      </c>
      <c r="J1665" s="60" t="s">
        <v>2736</v>
      </c>
      <c r="K1665" s="63" t="str">
        <f t="shared" si="179"/>
        <v>XBF-TC04SInput</v>
      </c>
      <c r="L1665" s="59">
        <f t="shared" si="182"/>
        <v>46</v>
      </c>
      <c r="M1665" s="59">
        <f t="shared" si="183"/>
        <v>38</v>
      </c>
      <c r="N1665" s="59">
        <f t="shared" si="178"/>
        <v>8</v>
      </c>
      <c r="O1665" s="60">
        <f t="shared" si="175"/>
        <v>1665</v>
      </c>
    </row>
    <row r="1666" spans="3:15">
      <c r="C1666" s="84" t="s">
        <v>108</v>
      </c>
      <c r="D1666" s="75"/>
      <c r="E1666" s="75"/>
      <c r="F1666" s="81" t="s">
        <v>151</v>
      </c>
      <c r="G1666" s="55" t="s">
        <v>2737</v>
      </c>
      <c r="H1666" s="55" t="s">
        <v>124</v>
      </c>
      <c r="I1666" s="59">
        <v>1.7</v>
      </c>
      <c r="J1666" s="60" t="s">
        <v>2738</v>
      </c>
      <c r="K1666" s="63" t="str">
        <f t="shared" si="179"/>
        <v>XBF-TC04SInput</v>
      </c>
      <c r="L1666" s="59">
        <f t="shared" si="182"/>
        <v>46</v>
      </c>
      <c r="M1666" s="59">
        <f t="shared" si="183"/>
        <v>38</v>
      </c>
      <c r="N1666" s="59">
        <f t="shared" si="178"/>
        <v>8</v>
      </c>
      <c r="O1666" s="60">
        <f t="shared" ref="O1666:O1729" si="184">ROW(C1666)</f>
        <v>1666</v>
      </c>
    </row>
    <row r="1667" spans="3:15">
      <c r="C1667" s="84" t="s">
        <v>108</v>
      </c>
      <c r="D1667" s="75"/>
      <c r="E1667" s="75"/>
      <c r="F1667" s="81" t="s">
        <v>151</v>
      </c>
      <c r="G1667" s="55" t="s">
        <v>2739</v>
      </c>
      <c r="H1667" s="55" t="s">
        <v>124</v>
      </c>
      <c r="I1667" s="59">
        <v>1.8</v>
      </c>
      <c r="J1667" s="60" t="s">
        <v>2740</v>
      </c>
      <c r="K1667" s="63" t="str">
        <f t="shared" si="179"/>
        <v>XBF-TC04SInput</v>
      </c>
      <c r="L1667" s="59">
        <f t="shared" si="182"/>
        <v>46</v>
      </c>
      <c r="M1667" s="59">
        <f t="shared" si="183"/>
        <v>38</v>
      </c>
      <c r="N1667" s="59">
        <f t="shared" ref="N1667:N1730" si="185">L1667-M1667</f>
        <v>8</v>
      </c>
      <c r="O1667" s="60">
        <f t="shared" si="184"/>
        <v>1667</v>
      </c>
    </row>
    <row r="1668" spans="3:15">
      <c r="C1668" s="84" t="s">
        <v>108</v>
      </c>
      <c r="D1668" s="75"/>
      <c r="E1668" s="75"/>
      <c r="F1668" s="81" t="s">
        <v>151</v>
      </c>
      <c r="G1668" s="55" t="s">
        <v>2741</v>
      </c>
      <c r="H1668" s="55" t="s">
        <v>124</v>
      </c>
      <c r="I1668" s="59">
        <v>1.9</v>
      </c>
      <c r="J1668" s="60" t="s">
        <v>2742</v>
      </c>
      <c r="K1668" s="63" t="str">
        <f t="shared" si="179"/>
        <v>XBF-TC04SInput</v>
      </c>
      <c r="L1668" s="59">
        <f t="shared" si="182"/>
        <v>46</v>
      </c>
      <c r="M1668" s="59">
        <f t="shared" si="183"/>
        <v>38</v>
      </c>
      <c r="N1668" s="59">
        <f t="shared" si="185"/>
        <v>8</v>
      </c>
      <c r="O1668" s="60">
        <f t="shared" si="184"/>
        <v>1668</v>
      </c>
    </row>
    <row r="1669" spans="3:15">
      <c r="C1669" s="84" t="s">
        <v>108</v>
      </c>
      <c r="D1669" s="75"/>
      <c r="E1669" s="75"/>
      <c r="F1669" s="81" t="s">
        <v>151</v>
      </c>
      <c r="G1669" s="55" t="s">
        <v>2743</v>
      </c>
      <c r="H1669" s="55" t="s">
        <v>124</v>
      </c>
      <c r="I1669" s="59" t="s">
        <v>136</v>
      </c>
      <c r="J1669" s="60" t="s">
        <v>2744</v>
      </c>
      <c r="K1669" s="63" t="str">
        <f t="shared" si="179"/>
        <v>XBF-TC04SInput</v>
      </c>
      <c r="L1669" s="59">
        <f t="shared" si="182"/>
        <v>46</v>
      </c>
      <c r="M1669" s="59">
        <f t="shared" si="183"/>
        <v>38</v>
      </c>
      <c r="N1669" s="59">
        <f t="shared" si="185"/>
        <v>8</v>
      </c>
      <c r="O1669" s="60">
        <f t="shared" si="184"/>
        <v>1669</v>
      </c>
    </row>
    <row r="1670" spans="3:15">
      <c r="C1670" s="84" t="s">
        <v>108</v>
      </c>
      <c r="D1670" s="75"/>
      <c r="E1670" s="75"/>
      <c r="F1670" s="81" t="s">
        <v>151</v>
      </c>
      <c r="G1670" s="55" t="s">
        <v>2745</v>
      </c>
      <c r="H1670" s="55" t="s">
        <v>124</v>
      </c>
      <c r="I1670" s="59" t="s">
        <v>138</v>
      </c>
      <c r="J1670" s="60" t="s">
        <v>2746</v>
      </c>
      <c r="K1670" s="63" t="str">
        <f t="shared" si="179"/>
        <v>XBF-TC04SInput</v>
      </c>
      <c r="L1670" s="59">
        <f t="shared" si="182"/>
        <v>46</v>
      </c>
      <c r="M1670" s="59">
        <f t="shared" si="183"/>
        <v>38</v>
      </c>
      <c r="N1670" s="59">
        <f t="shared" si="185"/>
        <v>8</v>
      </c>
      <c r="O1670" s="60">
        <f t="shared" si="184"/>
        <v>1670</v>
      </c>
    </row>
    <row r="1671" spans="3:15">
      <c r="C1671" s="84" t="s">
        <v>108</v>
      </c>
      <c r="D1671" s="75"/>
      <c r="E1671" s="75"/>
      <c r="F1671" s="81" t="s">
        <v>151</v>
      </c>
      <c r="G1671" s="62" t="s">
        <v>6</v>
      </c>
      <c r="H1671" s="55" t="s">
        <v>139</v>
      </c>
      <c r="I1671" s="59">
        <v>2</v>
      </c>
      <c r="J1671" s="60" t="s">
        <v>140</v>
      </c>
      <c r="K1671" s="63" t="str">
        <f t="shared" si="179"/>
        <v>XBF-TC04SInput</v>
      </c>
      <c r="L1671" s="59">
        <f t="shared" si="182"/>
        <v>46</v>
      </c>
      <c r="M1671" s="59">
        <f t="shared" si="183"/>
        <v>38</v>
      </c>
      <c r="N1671" s="59">
        <f t="shared" si="185"/>
        <v>8</v>
      </c>
      <c r="O1671" s="60">
        <f t="shared" si="184"/>
        <v>1671</v>
      </c>
    </row>
    <row r="1672" spans="3:15">
      <c r="C1672" s="84" t="s">
        <v>108</v>
      </c>
      <c r="D1672" s="75"/>
      <c r="E1672" s="75"/>
      <c r="F1672" s="81" t="s">
        <v>151</v>
      </c>
      <c r="G1672" s="62" t="s">
        <v>6</v>
      </c>
      <c r="H1672" s="55" t="s">
        <v>139</v>
      </c>
      <c r="I1672" s="59">
        <v>3</v>
      </c>
      <c r="J1672" s="60" t="s">
        <v>140</v>
      </c>
      <c r="K1672" s="63" t="str">
        <f t="shared" si="179"/>
        <v>XBF-TC04SInput</v>
      </c>
      <c r="L1672" s="59">
        <f t="shared" si="182"/>
        <v>46</v>
      </c>
      <c r="M1672" s="59">
        <f t="shared" si="183"/>
        <v>38</v>
      </c>
      <c r="N1672" s="59">
        <f t="shared" si="185"/>
        <v>8</v>
      </c>
      <c r="O1672" s="60">
        <f t="shared" si="184"/>
        <v>1672</v>
      </c>
    </row>
    <row r="1673" spans="3:15">
      <c r="C1673" s="84" t="s">
        <v>108</v>
      </c>
      <c r="D1673" s="75"/>
      <c r="E1673" s="75"/>
      <c r="F1673" s="81" t="s">
        <v>151</v>
      </c>
      <c r="G1673" s="55" t="s">
        <v>2747</v>
      </c>
      <c r="H1673" s="55" t="s">
        <v>139</v>
      </c>
      <c r="I1673" s="59">
        <v>4</v>
      </c>
      <c r="J1673" s="60" t="s">
        <v>2748</v>
      </c>
      <c r="K1673" s="63" t="str">
        <f t="shared" si="179"/>
        <v>XBF-TC04SInput</v>
      </c>
      <c r="L1673" s="59">
        <f t="shared" si="182"/>
        <v>46</v>
      </c>
      <c r="M1673" s="59">
        <f t="shared" si="183"/>
        <v>38</v>
      </c>
      <c r="N1673" s="59">
        <f t="shared" si="185"/>
        <v>8</v>
      </c>
      <c r="O1673" s="60">
        <f t="shared" si="184"/>
        <v>1673</v>
      </c>
    </row>
    <row r="1674" spans="3:15">
      <c r="C1674" s="84" t="s">
        <v>108</v>
      </c>
      <c r="D1674" s="75"/>
      <c r="E1674" s="75"/>
      <c r="F1674" s="81" t="s">
        <v>151</v>
      </c>
      <c r="G1674" s="55" t="s">
        <v>2749</v>
      </c>
      <c r="H1674" s="55" t="s">
        <v>139</v>
      </c>
      <c r="I1674" s="59">
        <v>5</v>
      </c>
      <c r="J1674" s="60" t="s">
        <v>2750</v>
      </c>
      <c r="K1674" s="63" t="str">
        <f t="shared" si="179"/>
        <v>XBF-TC04SInput</v>
      </c>
      <c r="L1674" s="59">
        <f t="shared" si="182"/>
        <v>46</v>
      </c>
      <c r="M1674" s="59">
        <f t="shared" si="183"/>
        <v>38</v>
      </c>
      <c r="N1674" s="59">
        <f t="shared" si="185"/>
        <v>8</v>
      </c>
      <c r="O1674" s="60">
        <f t="shared" si="184"/>
        <v>1674</v>
      </c>
    </row>
    <row r="1675" spans="3:15">
      <c r="C1675" s="84" t="s">
        <v>108</v>
      </c>
      <c r="D1675" s="75"/>
      <c r="E1675" s="75"/>
      <c r="F1675" s="81" t="s">
        <v>151</v>
      </c>
      <c r="G1675" s="55" t="s">
        <v>2751</v>
      </c>
      <c r="H1675" s="55" t="s">
        <v>139</v>
      </c>
      <c r="I1675" s="59">
        <v>6</v>
      </c>
      <c r="J1675" s="60" t="s">
        <v>2752</v>
      </c>
      <c r="K1675" s="63" t="str">
        <f t="shared" si="179"/>
        <v>XBF-TC04SInput</v>
      </c>
      <c r="L1675" s="59">
        <f t="shared" si="182"/>
        <v>46</v>
      </c>
      <c r="M1675" s="59">
        <f t="shared" si="183"/>
        <v>38</v>
      </c>
      <c r="N1675" s="59">
        <f t="shared" si="185"/>
        <v>8</v>
      </c>
      <c r="O1675" s="60">
        <f t="shared" si="184"/>
        <v>1675</v>
      </c>
    </row>
    <row r="1676" spans="3:15">
      <c r="C1676" s="84" t="s">
        <v>108</v>
      </c>
      <c r="D1676" s="75"/>
      <c r="E1676" s="75"/>
      <c r="F1676" s="81" t="s">
        <v>151</v>
      </c>
      <c r="G1676" s="55" t="s">
        <v>2753</v>
      </c>
      <c r="H1676" s="55" t="s">
        <v>139</v>
      </c>
      <c r="I1676" s="59">
        <v>7</v>
      </c>
      <c r="J1676" s="60" t="s">
        <v>2754</v>
      </c>
      <c r="K1676" s="63" t="str">
        <f t="shared" si="179"/>
        <v>XBF-TC04SInput</v>
      </c>
      <c r="L1676" s="59">
        <f t="shared" si="182"/>
        <v>46</v>
      </c>
      <c r="M1676" s="59">
        <f t="shared" si="183"/>
        <v>38</v>
      </c>
      <c r="N1676" s="59">
        <f t="shared" si="185"/>
        <v>8</v>
      </c>
      <c r="O1676" s="60">
        <f t="shared" si="184"/>
        <v>1676</v>
      </c>
    </row>
    <row r="1677" spans="3:15">
      <c r="C1677" s="84" t="s">
        <v>108</v>
      </c>
      <c r="D1677" s="75"/>
      <c r="E1677" s="75"/>
      <c r="F1677" s="81" t="s">
        <v>151</v>
      </c>
      <c r="G1677" s="55" t="s">
        <v>2755</v>
      </c>
      <c r="H1677" s="55" t="s">
        <v>139</v>
      </c>
      <c r="I1677" s="59">
        <v>8</v>
      </c>
      <c r="J1677" s="60" t="s">
        <v>2756</v>
      </c>
      <c r="K1677" s="63" t="str">
        <f t="shared" si="179"/>
        <v>XBF-TC04SInput</v>
      </c>
      <c r="L1677" s="59">
        <f t="shared" si="182"/>
        <v>46</v>
      </c>
      <c r="M1677" s="59">
        <f t="shared" si="183"/>
        <v>38</v>
      </c>
      <c r="N1677" s="59">
        <f t="shared" si="185"/>
        <v>8</v>
      </c>
      <c r="O1677" s="60">
        <f t="shared" si="184"/>
        <v>1677</v>
      </c>
    </row>
    <row r="1678" spans="3:15">
      <c r="C1678" s="84" t="s">
        <v>108</v>
      </c>
      <c r="D1678" s="75"/>
      <c r="E1678" s="75"/>
      <c r="F1678" s="81" t="s">
        <v>151</v>
      </c>
      <c r="G1678" s="55" t="s">
        <v>2757</v>
      </c>
      <c r="H1678" s="55" t="s">
        <v>139</v>
      </c>
      <c r="I1678" s="59">
        <v>9</v>
      </c>
      <c r="J1678" s="60" t="s">
        <v>2758</v>
      </c>
      <c r="K1678" s="63" t="str">
        <f t="shared" si="179"/>
        <v>XBF-TC04SInput</v>
      </c>
      <c r="L1678" s="59">
        <f t="shared" si="182"/>
        <v>46</v>
      </c>
      <c r="M1678" s="59">
        <f t="shared" si="183"/>
        <v>38</v>
      </c>
      <c r="N1678" s="59">
        <f t="shared" si="185"/>
        <v>8</v>
      </c>
      <c r="O1678" s="60">
        <f t="shared" si="184"/>
        <v>1678</v>
      </c>
    </row>
    <row r="1679" spans="3:15">
      <c r="C1679" s="84" t="s">
        <v>108</v>
      </c>
      <c r="D1679" s="75"/>
      <c r="E1679" s="75"/>
      <c r="F1679" s="81" t="s">
        <v>151</v>
      </c>
      <c r="G1679" s="55" t="s">
        <v>2759</v>
      </c>
      <c r="H1679" s="55" t="s">
        <v>139</v>
      </c>
      <c r="I1679" s="59">
        <v>10</v>
      </c>
      <c r="J1679" s="60" t="s">
        <v>2760</v>
      </c>
      <c r="K1679" s="63" t="str">
        <f t="shared" si="179"/>
        <v>XBF-TC04SInput</v>
      </c>
      <c r="L1679" s="59">
        <f t="shared" si="182"/>
        <v>46</v>
      </c>
      <c r="M1679" s="59">
        <f t="shared" si="183"/>
        <v>38</v>
      </c>
      <c r="N1679" s="59">
        <f t="shared" si="185"/>
        <v>8</v>
      </c>
      <c r="O1679" s="60">
        <f t="shared" si="184"/>
        <v>1679</v>
      </c>
    </row>
    <row r="1680" spans="3:15">
      <c r="C1680" s="84" t="s">
        <v>108</v>
      </c>
      <c r="D1680" s="75"/>
      <c r="E1680" s="75"/>
      <c r="F1680" s="81" t="s">
        <v>151</v>
      </c>
      <c r="G1680" s="55" t="s">
        <v>2761</v>
      </c>
      <c r="H1680" s="55" t="s">
        <v>139</v>
      </c>
      <c r="I1680" s="59">
        <v>11</v>
      </c>
      <c r="J1680" s="60" t="s">
        <v>2762</v>
      </c>
      <c r="K1680" s="63" t="str">
        <f t="shared" si="179"/>
        <v>XBF-TC04SInput</v>
      </c>
      <c r="L1680" s="59">
        <f t="shared" si="182"/>
        <v>46</v>
      </c>
      <c r="M1680" s="59">
        <f t="shared" si="183"/>
        <v>38</v>
      </c>
      <c r="N1680" s="59">
        <f t="shared" si="185"/>
        <v>8</v>
      </c>
      <c r="O1680" s="60">
        <f t="shared" si="184"/>
        <v>1680</v>
      </c>
    </row>
    <row r="1681" spans="3:16">
      <c r="C1681" s="84" t="s">
        <v>108</v>
      </c>
      <c r="D1681" s="75"/>
      <c r="E1681" s="75"/>
      <c r="F1681" s="81" t="s">
        <v>151</v>
      </c>
      <c r="G1681" s="55" t="s">
        <v>2763</v>
      </c>
      <c r="H1681" s="55" t="s">
        <v>139</v>
      </c>
      <c r="I1681" s="59">
        <v>12</v>
      </c>
      <c r="J1681" s="60" t="s">
        <v>2764</v>
      </c>
      <c r="K1681" s="63" t="str">
        <f t="shared" si="179"/>
        <v>XBF-TC04SInput</v>
      </c>
      <c r="L1681" s="59">
        <f t="shared" si="182"/>
        <v>46</v>
      </c>
      <c r="M1681" s="59">
        <f t="shared" si="183"/>
        <v>38</v>
      </c>
      <c r="N1681" s="59">
        <f t="shared" si="185"/>
        <v>8</v>
      </c>
      <c r="O1681" s="60">
        <f t="shared" si="184"/>
        <v>1681</v>
      </c>
    </row>
    <row r="1682" spans="3:16">
      <c r="C1682" s="84" t="s">
        <v>108</v>
      </c>
      <c r="D1682" s="75"/>
      <c r="E1682" s="75"/>
      <c r="F1682" s="81" t="s">
        <v>151</v>
      </c>
      <c r="G1682" s="55" t="s">
        <v>2765</v>
      </c>
      <c r="H1682" s="55" t="s">
        <v>139</v>
      </c>
      <c r="I1682" s="59">
        <v>13</v>
      </c>
      <c r="J1682" s="60" t="s">
        <v>2766</v>
      </c>
      <c r="K1682" s="63" t="str">
        <f t="shared" si="179"/>
        <v>XBF-TC04SInput</v>
      </c>
      <c r="L1682" s="59">
        <f t="shared" si="182"/>
        <v>46</v>
      </c>
      <c r="M1682" s="59">
        <f t="shared" si="183"/>
        <v>38</v>
      </c>
      <c r="N1682" s="59">
        <f t="shared" si="185"/>
        <v>8</v>
      </c>
      <c r="O1682" s="60">
        <f t="shared" si="184"/>
        <v>1682</v>
      </c>
    </row>
    <row r="1683" spans="3:16">
      <c r="C1683" s="84" t="s">
        <v>108</v>
      </c>
      <c r="D1683" s="75"/>
      <c r="E1683" s="75"/>
      <c r="F1683" s="81" t="s">
        <v>151</v>
      </c>
      <c r="G1683" s="55" t="s">
        <v>2767</v>
      </c>
      <c r="H1683" s="55" t="s">
        <v>139</v>
      </c>
      <c r="I1683" s="59">
        <v>14</v>
      </c>
      <c r="J1683" s="60" t="s">
        <v>2768</v>
      </c>
      <c r="K1683" s="63" t="str">
        <f t="shared" si="179"/>
        <v>XBF-TC04SInput</v>
      </c>
      <c r="L1683" s="59">
        <f t="shared" si="182"/>
        <v>46</v>
      </c>
      <c r="M1683" s="59">
        <f t="shared" si="183"/>
        <v>38</v>
      </c>
      <c r="N1683" s="59">
        <f t="shared" si="185"/>
        <v>8</v>
      </c>
      <c r="O1683" s="60">
        <f t="shared" si="184"/>
        <v>1683</v>
      </c>
    </row>
    <row r="1684" spans="3:16">
      <c r="C1684" s="84" t="s">
        <v>108</v>
      </c>
      <c r="D1684" s="75"/>
      <c r="E1684" s="75"/>
      <c r="F1684" s="81" t="s">
        <v>151</v>
      </c>
      <c r="G1684" s="55" t="s">
        <v>2769</v>
      </c>
      <c r="H1684" s="55" t="s">
        <v>139</v>
      </c>
      <c r="I1684" s="59">
        <v>15</v>
      </c>
      <c r="J1684" s="60" t="s">
        <v>2770</v>
      </c>
      <c r="K1684" s="63" t="str">
        <f t="shared" si="179"/>
        <v>XBF-TC04SInput</v>
      </c>
      <c r="L1684" s="59">
        <f t="shared" si="182"/>
        <v>46</v>
      </c>
      <c r="M1684" s="59">
        <f t="shared" si="183"/>
        <v>38</v>
      </c>
      <c r="N1684" s="59">
        <f t="shared" si="185"/>
        <v>8</v>
      </c>
      <c r="O1684" s="60">
        <f t="shared" si="184"/>
        <v>1684</v>
      </c>
    </row>
    <row r="1685" spans="3:16">
      <c r="C1685" s="84" t="s">
        <v>108</v>
      </c>
      <c r="D1685" s="75"/>
      <c r="E1685" s="75"/>
      <c r="F1685" s="81" t="s">
        <v>151</v>
      </c>
      <c r="G1685" s="55" t="s">
        <v>2771</v>
      </c>
      <c r="H1685" s="55" t="s">
        <v>139</v>
      </c>
      <c r="I1685" s="59">
        <v>16</v>
      </c>
      <c r="J1685" s="60" t="s">
        <v>2772</v>
      </c>
      <c r="K1685" s="63" t="str">
        <f t="shared" ref="K1685:K1748" si="186">C1685&amp;F1685</f>
        <v>XBF-TC04SInput</v>
      </c>
      <c r="L1685" s="59">
        <f t="shared" si="182"/>
        <v>46</v>
      </c>
      <c r="M1685" s="59">
        <f t="shared" si="183"/>
        <v>38</v>
      </c>
      <c r="N1685" s="59">
        <f t="shared" si="185"/>
        <v>8</v>
      </c>
      <c r="O1685" s="60">
        <f t="shared" si="184"/>
        <v>1685</v>
      </c>
    </row>
    <row r="1686" spans="3:16">
      <c r="C1686" s="84" t="s">
        <v>108</v>
      </c>
      <c r="D1686" s="75"/>
      <c r="E1686" s="75"/>
      <c r="F1686" s="81" t="s">
        <v>151</v>
      </c>
      <c r="G1686" s="55" t="s">
        <v>2773</v>
      </c>
      <c r="H1686" s="55" t="s">
        <v>139</v>
      </c>
      <c r="I1686" s="59">
        <v>17</v>
      </c>
      <c r="J1686" s="60" t="s">
        <v>2774</v>
      </c>
      <c r="K1686" s="63" t="str">
        <f t="shared" si="186"/>
        <v>XBF-TC04SInput</v>
      </c>
      <c r="L1686" s="59">
        <f t="shared" si="182"/>
        <v>46</v>
      </c>
      <c r="M1686" s="59">
        <f t="shared" si="183"/>
        <v>38</v>
      </c>
      <c r="N1686" s="59">
        <f t="shared" si="185"/>
        <v>8</v>
      </c>
      <c r="O1686" s="60">
        <f t="shared" si="184"/>
        <v>1686</v>
      </c>
    </row>
    <row r="1687" spans="3:16">
      <c r="C1687" s="84" t="s">
        <v>108</v>
      </c>
      <c r="D1687" s="75"/>
      <c r="E1687" s="75"/>
      <c r="F1687" s="81" t="s">
        <v>151</v>
      </c>
      <c r="G1687" s="55" t="s">
        <v>2775</v>
      </c>
      <c r="H1687" s="55" t="s">
        <v>139</v>
      </c>
      <c r="I1687" s="59">
        <v>18</v>
      </c>
      <c r="J1687" s="60" t="s">
        <v>2776</v>
      </c>
      <c r="K1687" s="63" t="str">
        <f t="shared" si="186"/>
        <v>XBF-TC04SInput</v>
      </c>
      <c r="L1687" s="59">
        <f t="shared" si="182"/>
        <v>46</v>
      </c>
      <c r="M1687" s="59">
        <f t="shared" si="183"/>
        <v>38</v>
      </c>
      <c r="N1687" s="59">
        <f t="shared" si="185"/>
        <v>8</v>
      </c>
      <c r="O1687" s="60">
        <f t="shared" si="184"/>
        <v>1687</v>
      </c>
    </row>
    <row r="1688" spans="3:16">
      <c r="C1688" s="84" t="s">
        <v>108</v>
      </c>
      <c r="D1688" s="75"/>
      <c r="E1688" s="75"/>
      <c r="F1688" s="81" t="s">
        <v>151</v>
      </c>
      <c r="G1688" s="55" t="s">
        <v>2777</v>
      </c>
      <c r="H1688" s="55" t="s">
        <v>139</v>
      </c>
      <c r="I1688" s="59">
        <v>19</v>
      </c>
      <c r="J1688" s="60" t="s">
        <v>2778</v>
      </c>
      <c r="K1688" s="63" t="str">
        <f t="shared" si="186"/>
        <v>XBF-TC04SInput</v>
      </c>
      <c r="L1688" s="59">
        <f t="shared" si="182"/>
        <v>46</v>
      </c>
      <c r="M1688" s="59">
        <f t="shared" si="183"/>
        <v>38</v>
      </c>
      <c r="N1688" s="59">
        <f t="shared" si="185"/>
        <v>8</v>
      </c>
      <c r="O1688" s="60">
        <f t="shared" si="184"/>
        <v>1688</v>
      </c>
    </row>
    <row r="1689" spans="3:16">
      <c r="C1689" s="84" t="s">
        <v>108</v>
      </c>
      <c r="D1689" s="75"/>
      <c r="E1689" s="75"/>
      <c r="F1689" s="81" t="s">
        <v>166</v>
      </c>
      <c r="G1689" s="55" t="s">
        <v>2779</v>
      </c>
      <c r="H1689" s="55" t="s">
        <v>124</v>
      </c>
      <c r="I1689" s="59">
        <v>0</v>
      </c>
      <c r="J1689" s="60" t="s">
        <v>2780</v>
      </c>
      <c r="K1689" s="63"/>
      <c r="L1689" s="59"/>
      <c r="M1689" s="59"/>
      <c r="N1689" s="59"/>
      <c r="O1689" s="60">
        <f t="shared" si="184"/>
        <v>1689</v>
      </c>
    </row>
    <row r="1690" spans="3:16">
      <c r="C1690" s="84" t="s">
        <v>108</v>
      </c>
      <c r="D1690" s="75"/>
      <c r="E1690" s="75"/>
      <c r="F1690" s="81" t="s">
        <v>166</v>
      </c>
      <c r="G1690" s="55" t="s">
        <v>2781</v>
      </c>
      <c r="H1690" s="55" t="s">
        <v>124</v>
      </c>
      <c r="I1690" s="59">
        <v>0.1</v>
      </c>
      <c r="J1690" s="60" t="s">
        <v>2782</v>
      </c>
      <c r="K1690" s="63"/>
      <c r="L1690" s="59"/>
      <c r="M1690" s="59"/>
      <c r="N1690" s="59"/>
      <c r="O1690" s="60">
        <f t="shared" si="184"/>
        <v>1690</v>
      </c>
    </row>
    <row r="1691" spans="3:16">
      <c r="C1691" s="84" t="s">
        <v>108</v>
      </c>
      <c r="D1691" s="75"/>
      <c r="E1691" s="75"/>
      <c r="F1691" s="81" t="s">
        <v>166</v>
      </c>
      <c r="G1691" s="55" t="s">
        <v>2783</v>
      </c>
      <c r="H1691" s="55" t="s">
        <v>124</v>
      </c>
      <c r="I1691" s="59">
        <v>0.2</v>
      </c>
      <c r="J1691" s="60" t="s">
        <v>2784</v>
      </c>
      <c r="K1691" s="63"/>
      <c r="L1691" s="59"/>
      <c r="M1691" s="59"/>
      <c r="N1691" s="59"/>
      <c r="O1691" s="60">
        <f t="shared" si="184"/>
        <v>1691</v>
      </c>
    </row>
    <row r="1692" spans="3:16">
      <c r="C1692" s="84" t="s">
        <v>108</v>
      </c>
      <c r="D1692" s="75"/>
      <c r="E1692" s="75"/>
      <c r="F1692" s="81" t="s">
        <v>166</v>
      </c>
      <c r="G1692" s="55" t="s">
        <v>2785</v>
      </c>
      <c r="H1692" s="55" t="s">
        <v>124</v>
      </c>
      <c r="I1692" s="59">
        <v>0.3</v>
      </c>
      <c r="J1692" s="60" t="s">
        <v>2786</v>
      </c>
      <c r="K1692" s="63"/>
      <c r="L1692" s="59"/>
      <c r="M1692" s="59"/>
      <c r="N1692" s="59"/>
      <c r="O1692" s="60">
        <f t="shared" si="184"/>
        <v>1692</v>
      </c>
    </row>
    <row r="1693" spans="3:16">
      <c r="C1693" s="84" t="s">
        <v>108</v>
      </c>
      <c r="D1693" s="75"/>
      <c r="E1693" s="75"/>
      <c r="F1693" s="81" t="s">
        <v>166</v>
      </c>
      <c r="G1693" s="55" t="s">
        <v>2787</v>
      </c>
      <c r="H1693" s="55" t="s">
        <v>124</v>
      </c>
      <c r="I1693" s="59">
        <v>0.8</v>
      </c>
      <c r="J1693" s="60" t="s">
        <v>2788</v>
      </c>
      <c r="K1693" s="63"/>
      <c r="L1693" s="59"/>
      <c r="M1693" s="59"/>
      <c r="N1693" s="59"/>
      <c r="O1693" s="60">
        <f t="shared" si="184"/>
        <v>1693</v>
      </c>
    </row>
    <row r="1694" spans="3:16">
      <c r="C1694" s="84" t="s">
        <v>108</v>
      </c>
      <c r="D1694" s="75"/>
      <c r="E1694" s="75"/>
      <c r="F1694" s="81" t="s">
        <v>166</v>
      </c>
      <c r="G1694" s="55" t="s">
        <v>2789</v>
      </c>
      <c r="H1694" s="55" t="s">
        <v>124</v>
      </c>
      <c r="I1694" s="59">
        <v>0.9</v>
      </c>
      <c r="J1694" s="60" t="s">
        <v>2790</v>
      </c>
      <c r="K1694" s="63"/>
      <c r="L1694" s="59"/>
      <c r="M1694" s="59"/>
      <c r="N1694" s="59"/>
      <c r="O1694" s="60">
        <f t="shared" si="184"/>
        <v>1694</v>
      </c>
    </row>
    <row r="1695" spans="3:16">
      <c r="C1695" s="84" t="s">
        <v>108</v>
      </c>
      <c r="D1695" s="75"/>
      <c r="E1695" s="75"/>
      <c r="F1695" s="81" t="s">
        <v>166</v>
      </c>
      <c r="G1695" s="55" t="s">
        <v>2791</v>
      </c>
      <c r="H1695" s="55" t="s">
        <v>124</v>
      </c>
      <c r="I1695" s="59" t="s">
        <v>988</v>
      </c>
      <c r="J1695" s="60" t="s">
        <v>2792</v>
      </c>
      <c r="K1695" s="63"/>
      <c r="L1695" s="59"/>
      <c r="M1695" s="59"/>
      <c r="N1695" s="59"/>
      <c r="O1695" s="60">
        <f t="shared" si="184"/>
        <v>1695</v>
      </c>
    </row>
    <row r="1696" spans="3:16">
      <c r="C1696" s="84" t="s">
        <v>108</v>
      </c>
      <c r="D1696" s="75"/>
      <c r="E1696" s="75"/>
      <c r="F1696" s="81" t="s">
        <v>166</v>
      </c>
      <c r="G1696" s="55" t="s">
        <v>2793</v>
      </c>
      <c r="H1696" s="55" t="s">
        <v>124</v>
      </c>
      <c r="I1696" s="59" t="s">
        <v>991</v>
      </c>
      <c r="J1696" s="60" t="s">
        <v>2794</v>
      </c>
      <c r="K1696" s="63"/>
      <c r="L1696" s="59"/>
      <c r="M1696" s="59"/>
      <c r="N1696" s="59"/>
      <c r="O1696" s="60">
        <f t="shared" si="184"/>
        <v>1696</v>
      </c>
      <c r="P1696" s="65"/>
    </row>
    <row r="1697" spans="3:22">
      <c r="C1697" s="84" t="s">
        <v>109</v>
      </c>
      <c r="D1697" s="76">
        <v>58</v>
      </c>
      <c r="E1697" s="76">
        <v>6</v>
      </c>
      <c r="F1697" s="82" t="s">
        <v>151</v>
      </c>
      <c r="G1697" s="55" t="s">
        <v>2858</v>
      </c>
      <c r="H1697" s="55" t="s">
        <v>124</v>
      </c>
      <c r="I1697" s="59">
        <v>0</v>
      </c>
      <c r="J1697" s="60" t="s">
        <v>2859</v>
      </c>
      <c r="K1697" s="63" t="str">
        <f t="shared" si="186"/>
        <v>XBF-LD02SInput</v>
      </c>
      <c r="L1697" s="59">
        <f t="shared" ref="L1697:L1728" si="187">COUNTIF($C$2:$C$2062,C1697)</f>
        <v>109</v>
      </c>
      <c r="M1697" s="59">
        <f t="shared" ref="M1697:M1728" si="188">COUNTIF($K$2:$K$2062,K1697)</f>
        <v>83</v>
      </c>
      <c r="N1697" s="59">
        <f t="shared" si="185"/>
        <v>26</v>
      </c>
      <c r="O1697" s="60">
        <f t="shared" si="184"/>
        <v>1697</v>
      </c>
      <c r="P1697" s="65" t="s">
        <v>3214</v>
      </c>
      <c r="Q1697">
        <f>O1697</f>
        <v>1697</v>
      </c>
      <c r="R1697" t="s">
        <v>3215</v>
      </c>
      <c r="S1697">
        <v>1806</v>
      </c>
      <c r="T1697" t="str">
        <f>P1697&amp;Q1697&amp;R1697&amp;S1697</f>
        <v>All data map'!$F$1697:$J$1806</v>
      </c>
      <c r="V1697" t="s">
        <v>3289</v>
      </c>
    </row>
    <row r="1698" spans="3:22">
      <c r="C1698" s="84" t="s">
        <v>109</v>
      </c>
      <c r="D1698" s="75"/>
      <c r="E1698" s="75"/>
      <c r="F1698" s="81" t="s">
        <v>151</v>
      </c>
      <c r="G1698" s="55" t="s">
        <v>2860</v>
      </c>
      <c r="H1698" s="55" t="s">
        <v>124</v>
      </c>
      <c r="I1698" s="59" t="s">
        <v>126</v>
      </c>
      <c r="J1698" s="60" t="s">
        <v>2861</v>
      </c>
      <c r="K1698" s="63" t="str">
        <f t="shared" si="186"/>
        <v>XBF-LD02SInput</v>
      </c>
      <c r="L1698" s="59">
        <f t="shared" si="187"/>
        <v>109</v>
      </c>
      <c r="M1698" s="59">
        <f t="shared" si="188"/>
        <v>83</v>
      </c>
      <c r="N1698" s="59">
        <f t="shared" si="185"/>
        <v>26</v>
      </c>
      <c r="O1698" s="60">
        <f t="shared" si="184"/>
        <v>1698</v>
      </c>
    </row>
    <row r="1699" spans="3:22">
      <c r="C1699" s="84" t="s">
        <v>109</v>
      </c>
      <c r="D1699" s="75"/>
      <c r="E1699" s="75"/>
      <c r="F1699" s="81" t="s">
        <v>151</v>
      </c>
      <c r="G1699" s="55" t="s">
        <v>2862</v>
      </c>
      <c r="H1699" s="55" t="s">
        <v>124</v>
      </c>
      <c r="I1699" s="59">
        <v>1</v>
      </c>
      <c r="J1699" s="60" t="s">
        <v>2863</v>
      </c>
      <c r="K1699" s="63" t="str">
        <f t="shared" si="186"/>
        <v>XBF-LD02SInput</v>
      </c>
      <c r="L1699" s="59">
        <f t="shared" si="187"/>
        <v>109</v>
      </c>
      <c r="M1699" s="59">
        <f t="shared" si="188"/>
        <v>83</v>
      </c>
      <c r="N1699" s="59">
        <f t="shared" si="185"/>
        <v>26</v>
      </c>
      <c r="O1699" s="60">
        <f t="shared" si="184"/>
        <v>1699</v>
      </c>
    </row>
    <row r="1700" spans="3:22">
      <c r="C1700" s="84" t="s">
        <v>109</v>
      </c>
      <c r="D1700" s="75"/>
      <c r="E1700" s="75"/>
      <c r="F1700" s="81" t="s">
        <v>151</v>
      </c>
      <c r="G1700" s="55" t="s">
        <v>2864</v>
      </c>
      <c r="H1700" s="55" t="s">
        <v>124</v>
      </c>
      <c r="I1700" s="59">
        <v>1.1000000000000001</v>
      </c>
      <c r="J1700" s="60" t="s">
        <v>2865</v>
      </c>
      <c r="K1700" s="63" t="str">
        <f t="shared" si="186"/>
        <v>XBF-LD02SInput</v>
      </c>
      <c r="L1700" s="59">
        <f t="shared" si="187"/>
        <v>109</v>
      </c>
      <c r="M1700" s="59">
        <f t="shared" si="188"/>
        <v>83</v>
      </c>
      <c r="N1700" s="59">
        <f t="shared" si="185"/>
        <v>26</v>
      </c>
      <c r="O1700" s="60">
        <f t="shared" si="184"/>
        <v>1700</v>
      </c>
    </row>
    <row r="1701" spans="3:22">
      <c r="C1701" s="84" t="s">
        <v>109</v>
      </c>
      <c r="D1701" s="75"/>
      <c r="E1701" s="75"/>
      <c r="F1701" s="81" t="s">
        <v>151</v>
      </c>
      <c r="G1701" s="55" t="s">
        <v>2866</v>
      </c>
      <c r="H1701" s="55" t="s">
        <v>124</v>
      </c>
      <c r="I1701" s="59">
        <v>1.8</v>
      </c>
      <c r="J1701" s="60" t="s">
        <v>2867</v>
      </c>
      <c r="K1701" s="63" t="str">
        <f t="shared" si="186"/>
        <v>XBF-LD02SInput</v>
      </c>
      <c r="L1701" s="59">
        <f t="shared" si="187"/>
        <v>109</v>
      </c>
      <c r="M1701" s="59">
        <f t="shared" si="188"/>
        <v>83</v>
      </c>
      <c r="N1701" s="59">
        <f t="shared" si="185"/>
        <v>26</v>
      </c>
      <c r="O1701" s="60">
        <f t="shared" si="184"/>
        <v>1701</v>
      </c>
    </row>
    <row r="1702" spans="3:22">
      <c r="C1702" s="84" t="s">
        <v>109</v>
      </c>
      <c r="D1702" s="75"/>
      <c r="E1702" s="75"/>
      <c r="F1702" s="81" t="s">
        <v>151</v>
      </c>
      <c r="G1702" s="55" t="s">
        <v>2868</v>
      </c>
      <c r="H1702" s="55" t="s">
        <v>124</v>
      </c>
      <c r="I1702" s="59">
        <v>1.9</v>
      </c>
      <c r="J1702" s="60" t="s">
        <v>2869</v>
      </c>
      <c r="K1702" s="63" t="str">
        <f t="shared" si="186"/>
        <v>XBF-LD02SInput</v>
      </c>
      <c r="L1702" s="59">
        <f t="shared" si="187"/>
        <v>109</v>
      </c>
      <c r="M1702" s="59">
        <f t="shared" si="188"/>
        <v>83</v>
      </c>
      <c r="N1702" s="59">
        <f t="shared" si="185"/>
        <v>26</v>
      </c>
      <c r="O1702" s="60">
        <f t="shared" si="184"/>
        <v>1702</v>
      </c>
    </row>
    <row r="1703" spans="3:22">
      <c r="C1703" s="84" t="s">
        <v>109</v>
      </c>
      <c r="D1703" s="75"/>
      <c r="E1703" s="75"/>
      <c r="F1703" s="81" t="s">
        <v>151</v>
      </c>
      <c r="G1703" s="55" t="s">
        <v>2870</v>
      </c>
      <c r="H1703" s="55" t="s">
        <v>124</v>
      </c>
      <c r="I1703" s="59" t="s">
        <v>207</v>
      </c>
      <c r="J1703" s="60" t="s">
        <v>2871</v>
      </c>
      <c r="K1703" s="63" t="str">
        <f t="shared" si="186"/>
        <v>XBF-LD02SInput</v>
      </c>
      <c r="L1703" s="59">
        <f t="shared" si="187"/>
        <v>109</v>
      </c>
      <c r="M1703" s="59">
        <f t="shared" si="188"/>
        <v>83</v>
      </c>
      <c r="N1703" s="59">
        <f t="shared" si="185"/>
        <v>26</v>
      </c>
      <c r="O1703" s="60">
        <f t="shared" si="184"/>
        <v>1703</v>
      </c>
    </row>
    <row r="1704" spans="3:22">
      <c r="C1704" s="84" t="s">
        <v>109</v>
      </c>
      <c r="D1704" s="75"/>
      <c r="E1704" s="75"/>
      <c r="F1704" s="81" t="s">
        <v>151</v>
      </c>
      <c r="G1704" s="55" t="s">
        <v>2872</v>
      </c>
      <c r="H1704" s="55" t="s">
        <v>124</v>
      </c>
      <c r="I1704" s="59" t="s">
        <v>210</v>
      </c>
      <c r="J1704" s="60" t="s">
        <v>2873</v>
      </c>
      <c r="K1704" s="63" t="str">
        <f t="shared" si="186"/>
        <v>XBF-LD02SInput</v>
      </c>
      <c r="L1704" s="59">
        <f t="shared" si="187"/>
        <v>109</v>
      </c>
      <c r="M1704" s="59">
        <f t="shared" si="188"/>
        <v>83</v>
      </c>
      <c r="N1704" s="59">
        <f t="shared" si="185"/>
        <v>26</v>
      </c>
      <c r="O1704" s="60">
        <f t="shared" si="184"/>
        <v>1704</v>
      </c>
    </row>
    <row r="1705" spans="3:22">
      <c r="C1705" s="84" t="s">
        <v>109</v>
      </c>
      <c r="D1705" s="75"/>
      <c r="E1705" s="75"/>
      <c r="F1705" s="81" t="s">
        <v>151</v>
      </c>
      <c r="G1705" s="55" t="s">
        <v>2874</v>
      </c>
      <c r="H1705" s="55" t="s">
        <v>124</v>
      </c>
      <c r="I1705" s="59">
        <v>2</v>
      </c>
      <c r="J1705" s="60" t="s">
        <v>2875</v>
      </c>
      <c r="K1705" s="63" t="str">
        <f t="shared" si="186"/>
        <v>XBF-LD02SInput</v>
      </c>
      <c r="L1705" s="59">
        <f t="shared" si="187"/>
        <v>109</v>
      </c>
      <c r="M1705" s="59">
        <f t="shared" si="188"/>
        <v>83</v>
      </c>
      <c r="N1705" s="59">
        <f t="shared" si="185"/>
        <v>26</v>
      </c>
      <c r="O1705" s="60">
        <f t="shared" si="184"/>
        <v>1705</v>
      </c>
    </row>
    <row r="1706" spans="3:22">
      <c r="C1706" s="84" t="s">
        <v>109</v>
      </c>
      <c r="D1706" s="75"/>
      <c r="E1706" s="75"/>
      <c r="F1706" s="81" t="s">
        <v>151</v>
      </c>
      <c r="G1706" s="55" t="s">
        <v>2876</v>
      </c>
      <c r="H1706" s="55" t="s">
        <v>124</v>
      </c>
      <c r="I1706" s="59">
        <v>2.1</v>
      </c>
      <c r="J1706" s="60" t="s">
        <v>2877</v>
      </c>
      <c r="K1706" s="63" t="str">
        <f t="shared" si="186"/>
        <v>XBF-LD02SInput</v>
      </c>
      <c r="L1706" s="59">
        <f t="shared" si="187"/>
        <v>109</v>
      </c>
      <c r="M1706" s="59">
        <f t="shared" si="188"/>
        <v>83</v>
      </c>
      <c r="N1706" s="59">
        <f t="shared" si="185"/>
        <v>26</v>
      </c>
      <c r="O1706" s="60">
        <f t="shared" si="184"/>
        <v>1706</v>
      </c>
    </row>
    <row r="1707" spans="3:22">
      <c r="C1707" s="84" t="s">
        <v>109</v>
      </c>
      <c r="D1707" s="75"/>
      <c r="E1707" s="75"/>
      <c r="F1707" s="81" t="s">
        <v>151</v>
      </c>
      <c r="G1707" s="55" t="s">
        <v>2878</v>
      </c>
      <c r="H1707" s="55" t="s">
        <v>124</v>
      </c>
      <c r="I1707" s="59">
        <v>2.2000000000000002</v>
      </c>
      <c r="J1707" s="60" t="s">
        <v>2879</v>
      </c>
      <c r="K1707" s="63" t="str">
        <f t="shared" si="186"/>
        <v>XBF-LD02SInput</v>
      </c>
      <c r="L1707" s="59">
        <f t="shared" si="187"/>
        <v>109</v>
      </c>
      <c r="M1707" s="59">
        <f t="shared" si="188"/>
        <v>83</v>
      </c>
      <c r="N1707" s="59">
        <f t="shared" si="185"/>
        <v>26</v>
      </c>
      <c r="O1707" s="60">
        <f t="shared" si="184"/>
        <v>1707</v>
      </c>
    </row>
    <row r="1708" spans="3:22">
      <c r="C1708" s="84" t="s">
        <v>109</v>
      </c>
      <c r="D1708" s="75"/>
      <c r="E1708" s="75"/>
      <c r="F1708" s="81" t="s">
        <v>151</v>
      </c>
      <c r="G1708" s="55" t="s">
        <v>2880</v>
      </c>
      <c r="H1708" s="55" t="s">
        <v>124</v>
      </c>
      <c r="I1708" s="59">
        <v>2.2999999999999998</v>
      </c>
      <c r="J1708" s="60" t="s">
        <v>2881</v>
      </c>
      <c r="K1708" s="63" t="str">
        <f t="shared" si="186"/>
        <v>XBF-LD02SInput</v>
      </c>
      <c r="L1708" s="59">
        <f t="shared" si="187"/>
        <v>109</v>
      </c>
      <c r="M1708" s="59">
        <f t="shared" si="188"/>
        <v>83</v>
      </c>
      <c r="N1708" s="59">
        <f t="shared" si="185"/>
        <v>26</v>
      </c>
      <c r="O1708" s="60">
        <f t="shared" si="184"/>
        <v>1708</v>
      </c>
    </row>
    <row r="1709" spans="3:22">
      <c r="C1709" s="84" t="s">
        <v>109</v>
      </c>
      <c r="D1709" s="75"/>
      <c r="E1709" s="75"/>
      <c r="F1709" s="81" t="s">
        <v>151</v>
      </c>
      <c r="G1709" s="55" t="s">
        <v>2882</v>
      </c>
      <c r="H1709" s="55" t="s">
        <v>124</v>
      </c>
      <c r="I1709" s="59">
        <v>2.4</v>
      </c>
      <c r="J1709" s="60" t="s">
        <v>2883</v>
      </c>
      <c r="K1709" s="63" t="str">
        <f t="shared" si="186"/>
        <v>XBF-LD02SInput</v>
      </c>
      <c r="L1709" s="59">
        <f t="shared" si="187"/>
        <v>109</v>
      </c>
      <c r="M1709" s="59">
        <f t="shared" si="188"/>
        <v>83</v>
      </c>
      <c r="N1709" s="59">
        <f t="shared" si="185"/>
        <v>26</v>
      </c>
      <c r="O1709" s="60">
        <f t="shared" si="184"/>
        <v>1709</v>
      </c>
    </row>
    <row r="1710" spans="3:22">
      <c r="C1710" s="84" t="s">
        <v>109</v>
      </c>
      <c r="D1710" s="75"/>
      <c r="E1710" s="75"/>
      <c r="F1710" s="81" t="s">
        <v>151</v>
      </c>
      <c r="G1710" s="55" t="s">
        <v>2884</v>
      </c>
      <c r="H1710" s="55" t="s">
        <v>124</v>
      </c>
      <c r="I1710" s="59">
        <v>2.5</v>
      </c>
      <c r="J1710" s="60" t="s">
        <v>2885</v>
      </c>
      <c r="K1710" s="63" t="str">
        <f t="shared" si="186"/>
        <v>XBF-LD02SInput</v>
      </c>
      <c r="L1710" s="59">
        <f t="shared" si="187"/>
        <v>109</v>
      </c>
      <c r="M1710" s="59">
        <f t="shared" si="188"/>
        <v>83</v>
      </c>
      <c r="N1710" s="59">
        <f t="shared" si="185"/>
        <v>26</v>
      </c>
      <c r="O1710" s="60">
        <f t="shared" si="184"/>
        <v>1710</v>
      </c>
    </row>
    <row r="1711" spans="3:22">
      <c r="C1711" s="84" t="s">
        <v>109</v>
      </c>
      <c r="D1711" s="75"/>
      <c r="E1711" s="75"/>
      <c r="F1711" s="81" t="s">
        <v>151</v>
      </c>
      <c r="G1711" s="55" t="s">
        <v>2886</v>
      </c>
      <c r="H1711" s="55" t="s">
        <v>124</v>
      </c>
      <c r="I1711" s="59">
        <v>2.6</v>
      </c>
      <c r="J1711" s="60" t="s">
        <v>2887</v>
      </c>
      <c r="K1711" s="63" t="str">
        <f t="shared" si="186"/>
        <v>XBF-LD02SInput</v>
      </c>
      <c r="L1711" s="59">
        <f t="shared" si="187"/>
        <v>109</v>
      </c>
      <c r="M1711" s="59">
        <f t="shared" si="188"/>
        <v>83</v>
      </c>
      <c r="N1711" s="59">
        <f t="shared" si="185"/>
        <v>26</v>
      </c>
      <c r="O1711" s="60">
        <f t="shared" si="184"/>
        <v>1711</v>
      </c>
    </row>
    <row r="1712" spans="3:22">
      <c r="C1712" s="84" t="s">
        <v>109</v>
      </c>
      <c r="D1712" s="75"/>
      <c r="E1712" s="75"/>
      <c r="F1712" s="81" t="s">
        <v>151</v>
      </c>
      <c r="G1712" s="55" t="s">
        <v>2888</v>
      </c>
      <c r="H1712" s="55" t="s">
        <v>124</v>
      </c>
      <c r="I1712" s="59">
        <v>2.7</v>
      </c>
      <c r="J1712" s="60" t="s">
        <v>2889</v>
      </c>
      <c r="K1712" s="63" t="str">
        <f t="shared" si="186"/>
        <v>XBF-LD02SInput</v>
      </c>
      <c r="L1712" s="59">
        <f t="shared" si="187"/>
        <v>109</v>
      </c>
      <c r="M1712" s="59">
        <f t="shared" si="188"/>
        <v>83</v>
      </c>
      <c r="N1712" s="59">
        <f t="shared" si="185"/>
        <v>26</v>
      </c>
      <c r="O1712" s="60">
        <f t="shared" si="184"/>
        <v>1712</v>
      </c>
    </row>
    <row r="1713" spans="3:15">
      <c r="C1713" s="84" t="s">
        <v>109</v>
      </c>
      <c r="D1713" s="75"/>
      <c r="E1713" s="75"/>
      <c r="F1713" s="81" t="s">
        <v>151</v>
      </c>
      <c r="G1713" s="55" t="s">
        <v>2890</v>
      </c>
      <c r="H1713" s="55" t="s">
        <v>124</v>
      </c>
      <c r="I1713" s="59">
        <v>2.8</v>
      </c>
      <c r="J1713" s="60" t="s">
        <v>2891</v>
      </c>
      <c r="K1713" s="63" t="str">
        <f t="shared" si="186"/>
        <v>XBF-LD02SInput</v>
      </c>
      <c r="L1713" s="59">
        <f t="shared" si="187"/>
        <v>109</v>
      </c>
      <c r="M1713" s="59">
        <f t="shared" si="188"/>
        <v>83</v>
      </c>
      <c r="N1713" s="59">
        <f t="shared" si="185"/>
        <v>26</v>
      </c>
      <c r="O1713" s="60">
        <f t="shared" si="184"/>
        <v>1713</v>
      </c>
    </row>
    <row r="1714" spans="3:15">
      <c r="C1714" s="84" t="s">
        <v>109</v>
      </c>
      <c r="D1714" s="75"/>
      <c r="E1714" s="75"/>
      <c r="F1714" s="81" t="s">
        <v>151</v>
      </c>
      <c r="G1714" s="55" t="s">
        <v>2892</v>
      </c>
      <c r="H1714" s="55" t="s">
        <v>124</v>
      </c>
      <c r="I1714" s="59">
        <v>2.9</v>
      </c>
      <c r="J1714" s="60" t="s">
        <v>2893</v>
      </c>
      <c r="K1714" s="63" t="str">
        <f t="shared" si="186"/>
        <v>XBF-LD02SInput</v>
      </c>
      <c r="L1714" s="59">
        <f t="shared" si="187"/>
        <v>109</v>
      </c>
      <c r="M1714" s="59">
        <f t="shared" si="188"/>
        <v>83</v>
      </c>
      <c r="N1714" s="59">
        <f t="shared" si="185"/>
        <v>26</v>
      </c>
      <c r="O1714" s="60">
        <f t="shared" si="184"/>
        <v>1714</v>
      </c>
    </row>
    <row r="1715" spans="3:15">
      <c r="C1715" s="84" t="s">
        <v>109</v>
      </c>
      <c r="D1715" s="75"/>
      <c r="E1715" s="75"/>
      <c r="F1715" s="81" t="s">
        <v>151</v>
      </c>
      <c r="G1715" s="55" t="s">
        <v>2894</v>
      </c>
      <c r="H1715" s="55" t="s">
        <v>124</v>
      </c>
      <c r="I1715" s="59" t="s">
        <v>1272</v>
      </c>
      <c r="J1715" s="60" t="s">
        <v>2895</v>
      </c>
      <c r="K1715" s="63" t="str">
        <f t="shared" si="186"/>
        <v>XBF-LD02SInput</v>
      </c>
      <c r="L1715" s="59">
        <f t="shared" si="187"/>
        <v>109</v>
      </c>
      <c r="M1715" s="59">
        <f t="shared" si="188"/>
        <v>83</v>
      </c>
      <c r="N1715" s="59">
        <f t="shared" si="185"/>
        <v>26</v>
      </c>
      <c r="O1715" s="60">
        <f t="shared" si="184"/>
        <v>1715</v>
      </c>
    </row>
    <row r="1716" spans="3:15">
      <c r="C1716" s="84" t="s">
        <v>109</v>
      </c>
      <c r="D1716" s="75"/>
      <c r="E1716" s="75"/>
      <c r="F1716" s="81" t="s">
        <v>151</v>
      </c>
      <c r="G1716" s="55" t="s">
        <v>2896</v>
      </c>
      <c r="H1716" s="55" t="s">
        <v>124</v>
      </c>
      <c r="I1716" s="59" t="s">
        <v>1275</v>
      </c>
      <c r="J1716" s="60" t="s">
        <v>2897</v>
      </c>
      <c r="K1716" s="63" t="str">
        <f t="shared" si="186"/>
        <v>XBF-LD02SInput</v>
      </c>
      <c r="L1716" s="59">
        <f t="shared" si="187"/>
        <v>109</v>
      </c>
      <c r="M1716" s="59">
        <f t="shared" si="188"/>
        <v>83</v>
      </c>
      <c r="N1716" s="59">
        <f t="shared" si="185"/>
        <v>26</v>
      </c>
      <c r="O1716" s="60">
        <f t="shared" si="184"/>
        <v>1716</v>
      </c>
    </row>
    <row r="1717" spans="3:15">
      <c r="C1717" s="84" t="s">
        <v>109</v>
      </c>
      <c r="D1717" s="75"/>
      <c r="E1717" s="75"/>
      <c r="F1717" s="81" t="s">
        <v>151</v>
      </c>
      <c r="G1717" s="55" t="s">
        <v>2898</v>
      </c>
      <c r="H1717" s="55" t="s">
        <v>124</v>
      </c>
      <c r="I1717" s="59" t="s">
        <v>1278</v>
      </c>
      <c r="J1717" s="60" t="s">
        <v>2899</v>
      </c>
      <c r="K1717" s="63" t="str">
        <f t="shared" si="186"/>
        <v>XBF-LD02SInput</v>
      </c>
      <c r="L1717" s="59">
        <f t="shared" si="187"/>
        <v>109</v>
      </c>
      <c r="M1717" s="59">
        <f t="shared" si="188"/>
        <v>83</v>
      </c>
      <c r="N1717" s="59">
        <f t="shared" si="185"/>
        <v>26</v>
      </c>
      <c r="O1717" s="60">
        <f t="shared" si="184"/>
        <v>1717</v>
      </c>
    </row>
    <row r="1718" spans="3:15">
      <c r="C1718" s="84" t="s">
        <v>109</v>
      </c>
      <c r="D1718" s="75"/>
      <c r="E1718" s="75"/>
      <c r="F1718" s="81" t="s">
        <v>151</v>
      </c>
      <c r="G1718" s="55" t="s">
        <v>2900</v>
      </c>
      <c r="H1718" s="55" t="s">
        <v>124</v>
      </c>
      <c r="I1718" s="59" t="s">
        <v>1409</v>
      </c>
      <c r="J1718" s="60" t="s">
        <v>2901</v>
      </c>
      <c r="K1718" s="63" t="str">
        <f t="shared" si="186"/>
        <v>XBF-LD02SInput</v>
      </c>
      <c r="L1718" s="59">
        <f t="shared" si="187"/>
        <v>109</v>
      </c>
      <c r="M1718" s="59">
        <f t="shared" si="188"/>
        <v>83</v>
      </c>
      <c r="N1718" s="59">
        <f t="shared" si="185"/>
        <v>26</v>
      </c>
      <c r="O1718" s="60">
        <f t="shared" si="184"/>
        <v>1718</v>
      </c>
    </row>
    <row r="1719" spans="3:15">
      <c r="C1719" s="84" t="s">
        <v>109</v>
      </c>
      <c r="D1719" s="75"/>
      <c r="E1719" s="75"/>
      <c r="F1719" s="81" t="s">
        <v>151</v>
      </c>
      <c r="G1719" s="55" t="s">
        <v>2902</v>
      </c>
      <c r="H1719" s="55" t="s">
        <v>124</v>
      </c>
      <c r="I1719" s="59" t="s">
        <v>1281</v>
      </c>
      <c r="J1719" s="60" t="s">
        <v>2903</v>
      </c>
      <c r="K1719" s="63" t="str">
        <f t="shared" si="186"/>
        <v>XBF-LD02SInput</v>
      </c>
      <c r="L1719" s="59">
        <f t="shared" si="187"/>
        <v>109</v>
      </c>
      <c r="M1719" s="59">
        <f t="shared" si="188"/>
        <v>83</v>
      </c>
      <c r="N1719" s="59">
        <f t="shared" si="185"/>
        <v>26</v>
      </c>
      <c r="O1719" s="60">
        <f t="shared" si="184"/>
        <v>1719</v>
      </c>
    </row>
    <row r="1720" spans="3:15">
      <c r="C1720" s="84" t="s">
        <v>109</v>
      </c>
      <c r="D1720" s="75"/>
      <c r="E1720" s="75"/>
      <c r="F1720" s="81" t="s">
        <v>151</v>
      </c>
      <c r="G1720" s="55" t="s">
        <v>2904</v>
      </c>
      <c r="H1720" s="55" t="s">
        <v>124</v>
      </c>
      <c r="I1720" s="59" t="s">
        <v>1414</v>
      </c>
      <c r="J1720" s="60" t="s">
        <v>2905</v>
      </c>
      <c r="K1720" s="63" t="str">
        <f t="shared" si="186"/>
        <v>XBF-LD02SInput</v>
      </c>
      <c r="L1720" s="59">
        <f t="shared" si="187"/>
        <v>109</v>
      </c>
      <c r="M1720" s="59">
        <f t="shared" si="188"/>
        <v>83</v>
      </c>
      <c r="N1720" s="59">
        <f t="shared" si="185"/>
        <v>26</v>
      </c>
      <c r="O1720" s="60">
        <f t="shared" si="184"/>
        <v>1720</v>
      </c>
    </row>
    <row r="1721" spans="3:15">
      <c r="C1721" s="84" t="s">
        <v>109</v>
      </c>
      <c r="D1721" s="75"/>
      <c r="E1721" s="75"/>
      <c r="F1721" s="81" t="s">
        <v>151</v>
      </c>
      <c r="G1721" s="55" t="s">
        <v>2906</v>
      </c>
      <c r="H1721" s="55" t="s">
        <v>124</v>
      </c>
      <c r="I1721" s="59">
        <v>3</v>
      </c>
      <c r="J1721" s="60" t="s">
        <v>2907</v>
      </c>
      <c r="K1721" s="63" t="str">
        <f t="shared" si="186"/>
        <v>XBF-LD02SInput</v>
      </c>
      <c r="L1721" s="59">
        <f t="shared" si="187"/>
        <v>109</v>
      </c>
      <c r="M1721" s="59">
        <f t="shared" si="188"/>
        <v>83</v>
      </c>
      <c r="N1721" s="59">
        <f t="shared" si="185"/>
        <v>26</v>
      </c>
      <c r="O1721" s="60">
        <f t="shared" si="184"/>
        <v>1721</v>
      </c>
    </row>
    <row r="1722" spans="3:15">
      <c r="C1722" s="84" t="s">
        <v>109</v>
      </c>
      <c r="D1722" s="75"/>
      <c r="E1722" s="75"/>
      <c r="F1722" s="81" t="s">
        <v>151</v>
      </c>
      <c r="G1722" s="55" t="s">
        <v>2908</v>
      </c>
      <c r="H1722" s="55" t="s">
        <v>124</v>
      </c>
      <c r="I1722" s="59">
        <v>3.1</v>
      </c>
      <c r="J1722" s="60" t="s">
        <v>2909</v>
      </c>
      <c r="K1722" s="63" t="str">
        <f t="shared" si="186"/>
        <v>XBF-LD02SInput</v>
      </c>
      <c r="L1722" s="59">
        <f t="shared" si="187"/>
        <v>109</v>
      </c>
      <c r="M1722" s="59">
        <f t="shared" si="188"/>
        <v>83</v>
      </c>
      <c r="N1722" s="59">
        <f t="shared" si="185"/>
        <v>26</v>
      </c>
      <c r="O1722" s="60">
        <f t="shared" si="184"/>
        <v>1722</v>
      </c>
    </row>
    <row r="1723" spans="3:15">
      <c r="C1723" s="84" t="s">
        <v>109</v>
      </c>
      <c r="D1723" s="75"/>
      <c r="E1723" s="75"/>
      <c r="F1723" s="81" t="s">
        <v>151</v>
      </c>
      <c r="G1723" s="55" t="s">
        <v>2910</v>
      </c>
      <c r="H1723" s="55" t="s">
        <v>124</v>
      </c>
      <c r="I1723" s="59">
        <v>3.2</v>
      </c>
      <c r="J1723" s="60" t="s">
        <v>2911</v>
      </c>
      <c r="K1723" s="63" t="str">
        <f t="shared" si="186"/>
        <v>XBF-LD02SInput</v>
      </c>
      <c r="L1723" s="59">
        <f t="shared" si="187"/>
        <v>109</v>
      </c>
      <c r="M1723" s="59">
        <f t="shared" si="188"/>
        <v>83</v>
      </c>
      <c r="N1723" s="59">
        <f t="shared" si="185"/>
        <v>26</v>
      </c>
      <c r="O1723" s="60">
        <f t="shared" si="184"/>
        <v>1723</v>
      </c>
    </row>
    <row r="1724" spans="3:15">
      <c r="C1724" s="84" t="s">
        <v>109</v>
      </c>
      <c r="D1724" s="75"/>
      <c r="E1724" s="75"/>
      <c r="F1724" s="81" t="s">
        <v>151</v>
      </c>
      <c r="G1724" s="55" t="s">
        <v>2912</v>
      </c>
      <c r="H1724" s="55" t="s">
        <v>124</v>
      </c>
      <c r="I1724" s="59">
        <v>3.3</v>
      </c>
      <c r="J1724" s="60" t="s">
        <v>2913</v>
      </c>
      <c r="K1724" s="63" t="str">
        <f t="shared" si="186"/>
        <v>XBF-LD02SInput</v>
      </c>
      <c r="L1724" s="59">
        <f t="shared" si="187"/>
        <v>109</v>
      </c>
      <c r="M1724" s="59">
        <f t="shared" si="188"/>
        <v>83</v>
      </c>
      <c r="N1724" s="59">
        <f t="shared" si="185"/>
        <v>26</v>
      </c>
      <c r="O1724" s="60">
        <f t="shared" si="184"/>
        <v>1724</v>
      </c>
    </row>
    <row r="1725" spans="3:15">
      <c r="C1725" s="84" t="s">
        <v>109</v>
      </c>
      <c r="D1725" s="75"/>
      <c r="E1725" s="75"/>
      <c r="F1725" s="81" t="s">
        <v>151</v>
      </c>
      <c r="G1725" s="55" t="s">
        <v>2914</v>
      </c>
      <c r="H1725" s="55" t="s">
        <v>124</v>
      </c>
      <c r="I1725" s="59">
        <v>3.4</v>
      </c>
      <c r="J1725" s="60" t="s">
        <v>2915</v>
      </c>
      <c r="K1725" s="63" t="str">
        <f t="shared" si="186"/>
        <v>XBF-LD02SInput</v>
      </c>
      <c r="L1725" s="59">
        <f t="shared" si="187"/>
        <v>109</v>
      </c>
      <c r="M1725" s="59">
        <f t="shared" si="188"/>
        <v>83</v>
      </c>
      <c r="N1725" s="59">
        <f t="shared" si="185"/>
        <v>26</v>
      </c>
      <c r="O1725" s="60">
        <f t="shared" si="184"/>
        <v>1725</v>
      </c>
    </row>
    <row r="1726" spans="3:15">
      <c r="C1726" s="84" t="s">
        <v>109</v>
      </c>
      <c r="D1726" s="75"/>
      <c r="E1726" s="75"/>
      <c r="F1726" s="81" t="s">
        <v>151</v>
      </c>
      <c r="G1726" s="55" t="s">
        <v>2916</v>
      </c>
      <c r="H1726" s="55" t="s">
        <v>124</v>
      </c>
      <c r="I1726" s="59">
        <v>3.5</v>
      </c>
      <c r="J1726" s="60" t="s">
        <v>2917</v>
      </c>
      <c r="K1726" s="63" t="str">
        <f t="shared" si="186"/>
        <v>XBF-LD02SInput</v>
      </c>
      <c r="L1726" s="59">
        <f t="shared" si="187"/>
        <v>109</v>
      </c>
      <c r="M1726" s="59">
        <f t="shared" si="188"/>
        <v>83</v>
      </c>
      <c r="N1726" s="59">
        <f t="shared" si="185"/>
        <v>26</v>
      </c>
      <c r="O1726" s="60">
        <f t="shared" si="184"/>
        <v>1726</v>
      </c>
    </row>
    <row r="1727" spans="3:15">
      <c r="C1727" s="84" t="s">
        <v>109</v>
      </c>
      <c r="D1727" s="75"/>
      <c r="E1727" s="75"/>
      <c r="F1727" s="81" t="s">
        <v>151</v>
      </c>
      <c r="G1727" s="55" t="s">
        <v>2918</v>
      </c>
      <c r="H1727" s="55" t="s">
        <v>124</v>
      </c>
      <c r="I1727" s="59">
        <v>3.6</v>
      </c>
      <c r="J1727" s="60" t="s">
        <v>2919</v>
      </c>
      <c r="K1727" s="63" t="str">
        <f t="shared" si="186"/>
        <v>XBF-LD02SInput</v>
      </c>
      <c r="L1727" s="59">
        <f t="shared" si="187"/>
        <v>109</v>
      </c>
      <c r="M1727" s="59">
        <f t="shared" si="188"/>
        <v>83</v>
      </c>
      <c r="N1727" s="59">
        <f t="shared" si="185"/>
        <v>26</v>
      </c>
      <c r="O1727" s="60">
        <f t="shared" si="184"/>
        <v>1727</v>
      </c>
    </row>
    <row r="1728" spans="3:15">
      <c r="C1728" s="84" t="s">
        <v>109</v>
      </c>
      <c r="D1728" s="75"/>
      <c r="E1728" s="75"/>
      <c r="F1728" s="81" t="s">
        <v>151</v>
      </c>
      <c r="G1728" s="55" t="s">
        <v>2920</v>
      </c>
      <c r="H1728" s="55" t="s">
        <v>124</v>
      </c>
      <c r="I1728" s="59">
        <v>3.7</v>
      </c>
      <c r="J1728" s="60" t="s">
        <v>2921</v>
      </c>
      <c r="K1728" s="63" t="str">
        <f t="shared" si="186"/>
        <v>XBF-LD02SInput</v>
      </c>
      <c r="L1728" s="59">
        <f t="shared" si="187"/>
        <v>109</v>
      </c>
      <c r="M1728" s="59">
        <f t="shared" si="188"/>
        <v>83</v>
      </c>
      <c r="N1728" s="59">
        <f t="shared" si="185"/>
        <v>26</v>
      </c>
      <c r="O1728" s="60">
        <f t="shared" si="184"/>
        <v>1728</v>
      </c>
    </row>
    <row r="1729" spans="3:15">
      <c r="C1729" s="84" t="s">
        <v>109</v>
      </c>
      <c r="D1729" s="75"/>
      <c r="E1729" s="75"/>
      <c r="F1729" s="81" t="s">
        <v>151</v>
      </c>
      <c r="G1729" s="55" t="s">
        <v>2922</v>
      </c>
      <c r="H1729" s="55" t="s">
        <v>124</v>
      </c>
      <c r="I1729" s="59">
        <v>4</v>
      </c>
      <c r="J1729" s="60" t="s">
        <v>2923</v>
      </c>
      <c r="K1729" s="63" t="str">
        <f t="shared" si="186"/>
        <v>XBF-LD02SInput</v>
      </c>
      <c r="L1729" s="59">
        <f t="shared" ref="L1729:L1760" si="189">COUNTIF($C$2:$C$2062,C1729)</f>
        <v>109</v>
      </c>
      <c r="M1729" s="59">
        <f t="shared" ref="M1729:M1760" si="190">COUNTIF($K$2:$K$2062,K1729)</f>
        <v>83</v>
      </c>
      <c r="N1729" s="59">
        <f t="shared" si="185"/>
        <v>26</v>
      </c>
      <c r="O1729" s="60">
        <f t="shared" si="184"/>
        <v>1729</v>
      </c>
    </row>
    <row r="1730" spans="3:15">
      <c r="C1730" s="84" t="s">
        <v>109</v>
      </c>
      <c r="D1730" s="75"/>
      <c r="E1730" s="75"/>
      <c r="F1730" s="81" t="s">
        <v>151</v>
      </c>
      <c r="G1730" s="55" t="s">
        <v>2924</v>
      </c>
      <c r="H1730" s="55" t="s">
        <v>124</v>
      </c>
      <c r="I1730" s="59">
        <v>4.0999999999999996</v>
      </c>
      <c r="J1730" s="60" t="s">
        <v>2925</v>
      </c>
      <c r="K1730" s="63" t="str">
        <f t="shared" si="186"/>
        <v>XBF-LD02SInput</v>
      </c>
      <c r="L1730" s="59">
        <f t="shared" si="189"/>
        <v>109</v>
      </c>
      <c r="M1730" s="59">
        <f t="shared" si="190"/>
        <v>83</v>
      </c>
      <c r="N1730" s="59">
        <f t="shared" si="185"/>
        <v>26</v>
      </c>
      <c r="O1730" s="60">
        <f t="shared" ref="O1730:O1793" si="191">ROW(C1730)</f>
        <v>1730</v>
      </c>
    </row>
    <row r="1731" spans="3:15">
      <c r="C1731" s="84" t="s">
        <v>109</v>
      </c>
      <c r="D1731" s="75"/>
      <c r="E1731" s="75"/>
      <c r="F1731" s="81" t="s">
        <v>151</v>
      </c>
      <c r="G1731" s="55" t="s">
        <v>2926</v>
      </c>
      <c r="H1731" s="55" t="s">
        <v>124</v>
      </c>
      <c r="I1731" s="59">
        <v>4.2</v>
      </c>
      <c r="J1731" s="60" t="s">
        <v>2927</v>
      </c>
      <c r="K1731" s="63" t="str">
        <f t="shared" si="186"/>
        <v>XBF-LD02SInput</v>
      </c>
      <c r="L1731" s="59">
        <f t="shared" si="189"/>
        <v>109</v>
      </c>
      <c r="M1731" s="59">
        <f t="shared" si="190"/>
        <v>83</v>
      </c>
      <c r="N1731" s="59">
        <f t="shared" ref="N1731:N1779" si="192">L1731-M1731</f>
        <v>26</v>
      </c>
      <c r="O1731" s="60">
        <f t="shared" si="191"/>
        <v>1731</v>
      </c>
    </row>
    <row r="1732" spans="3:15">
      <c r="C1732" s="84" t="s">
        <v>109</v>
      </c>
      <c r="D1732" s="75"/>
      <c r="E1732" s="75"/>
      <c r="F1732" s="81" t="s">
        <v>151</v>
      </c>
      <c r="G1732" s="55" t="s">
        <v>2928</v>
      </c>
      <c r="H1732" s="55" t="s">
        <v>124</v>
      </c>
      <c r="I1732" s="59">
        <v>4.3</v>
      </c>
      <c r="J1732" s="60" t="s">
        <v>2929</v>
      </c>
      <c r="K1732" s="63" t="str">
        <f t="shared" si="186"/>
        <v>XBF-LD02SInput</v>
      </c>
      <c r="L1732" s="59">
        <f t="shared" si="189"/>
        <v>109</v>
      </c>
      <c r="M1732" s="59">
        <f t="shared" si="190"/>
        <v>83</v>
      </c>
      <c r="N1732" s="59">
        <f t="shared" si="192"/>
        <v>26</v>
      </c>
      <c r="O1732" s="60">
        <f t="shared" si="191"/>
        <v>1732</v>
      </c>
    </row>
    <row r="1733" spans="3:15">
      <c r="C1733" s="84" t="s">
        <v>109</v>
      </c>
      <c r="D1733" s="75"/>
      <c r="E1733" s="75"/>
      <c r="F1733" s="81" t="s">
        <v>151</v>
      </c>
      <c r="G1733" s="55" t="s">
        <v>2930</v>
      </c>
      <c r="H1733" s="55" t="s">
        <v>124</v>
      </c>
      <c r="I1733" s="59">
        <v>4.4000000000000004</v>
      </c>
      <c r="J1733" s="60" t="s">
        <v>2931</v>
      </c>
      <c r="K1733" s="63" t="str">
        <f t="shared" si="186"/>
        <v>XBF-LD02SInput</v>
      </c>
      <c r="L1733" s="59">
        <f t="shared" si="189"/>
        <v>109</v>
      </c>
      <c r="M1733" s="59">
        <f t="shared" si="190"/>
        <v>83</v>
      </c>
      <c r="N1733" s="59">
        <f t="shared" si="192"/>
        <v>26</v>
      </c>
      <c r="O1733" s="60">
        <f t="shared" si="191"/>
        <v>1733</v>
      </c>
    </row>
    <row r="1734" spans="3:15">
      <c r="C1734" s="84" t="s">
        <v>109</v>
      </c>
      <c r="D1734" s="75"/>
      <c r="E1734" s="75"/>
      <c r="F1734" s="81" t="s">
        <v>151</v>
      </c>
      <c r="G1734" s="55" t="s">
        <v>2932</v>
      </c>
      <c r="H1734" s="55" t="s">
        <v>124</v>
      </c>
      <c r="I1734" s="59">
        <v>4.5</v>
      </c>
      <c r="J1734" s="60" t="s">
        <v>2933</v>
      </c>
      <c r="K1734" s="63" t="str">
        <f t="shared" si="186"/>
        <v>XBF-LD02SInput</v>
      </c>
      <c r="L1734" s="59">
        <f t="shared" si="189"/>
        <v>109</v>
      </c>
      <c r="M1734" s="59">
        <f t="shared" si="190"/>
        <v>83</v>
      </c>
      <c r="N1734" s="59">
        <f t="shared" si="192"/>
        <v>26</v>
      </c>
      <c r="O1734" s="60">
        <f t="shared" si="191"/>
        <v>1734</v>
      </c>
    </row>
    <row r="1735" spans="3:15">
      <c r="C1735" s="84" t="s">
        <v>109</v>
      </c>
      <c r="D1735" s="75"/>
      <c r="E1735" s="75"/>
      <c r="F1735" s="81" t="s">
        <v>151</v>
      </c>
      <c r="G1735" s="55" t="s">
        <v>2934</v>
      </c>
      <c r="H1735" s="55" t="s">
        <v>124</v>
      </c>
      <c r="I1735" s="59">
        <v>4.5999999999999996</v>
      </c>
      <c r="J1735" s="60" t="s">
        <v>2935</v>
      </c>
      <c r="K1735" s="63" t="str">
        <f t="shared" si="186"/>
        <v>XBF-LD02SInput</v>
      </c>
      <c r="L1735" s="59">
        <f t="shared" si="189"/>
        <v>109</v>
      </c>
      <c r="M1735" s="59">
        <f t="shared" si="190"/>
        <v>83</v>
      </c>
      <c r="N1735" s="59">
        <f t="shared" si="192"/>
        <v>26</v>
      </c>
      <c r="O1735" s="60">
        <f t="shared" si="191"/>
        <v>1735</v>
      </c>
    </row>
    <row r="1736" spans="3:15">
      <c r="C1736" s="84" t="s">
        <v>109</v>
      </c>
      <c r="D1736" s="75"/>
      <c r="E1736" s="75"/>
      <c r="F1736" s="81" t="s">
        <v>151</v>
      </c>
      <c r="G1736" s="55" t="s">
        <v>2936</v>
      </c>
      <c r="H1736" s="55" t="s">
        <v>124</v>
      </c>
      <c r="I1736" s="59">
        <v>4.7</v>
      </c>
      <c r="J1736" s="60" t="s">
        <v>2937</v>
      </c>
      <c r="K1736" s="63" t="str">
        <f t="shared" si="186"/>
        <v>XBF-LD02SInput</v>
      </c>
      <c r="L1736" s="59">
        <f t="shared" si="189"/>
        <v>109</v>
      </c>
      <c r="M1736" s="59">
        <f t="shared" si="190"/>
        <v>83</v>
      </c>
      <c r="N1736" s="59">
        <f t="shared" si="192"/>
        <v>26</v>
      </c>
      <c r="O1736" s="60">
        <f t="shared" si="191"/>
        <v>1736</v>
      </c>
    </row>
    <row r="1737" spans="3:15">
      <c r="C1737" s="84" t="s">
        <v>109</v>
      </c>
      <c r="D1737" s="75"/>
      <c r="E1737" s="75"/>
      <c r="F1737" s="81" t="s">
        <v>151</v>
      </c>
      <c r="G1737" s="55" t="s">
        <v>2938</v>
      </c>
      <c r="H1737" s="55" t="s">
        <v>124</v>
      </c>
      <c r="I1737" s="59">
        <v>4.8</v>
      </c>
      <c r="J1737" s="60" t="s">
        <v>2939</v>
      </c>
      <c r="K1737" s="63" t="str">
        <f t="shared" si="186"/>
        <v>XBF-LD02SInput</v>
      </c>
      <c r="L1737" s="59">
        <f t="shared" si="189"/>
        <v>109</v>
      </c>
      <c r="M1737" s="59">
        <f t="shared" si="190"/>
        <v>83</v>
      </c>
      <c r="N1737" s="59">
        <f t="shared" si="192"/>
        <v>26</v>
      </c>
      <c r="O1737" s="60">
        <f t="shared" si="191"/>
        <v>1737</v>
      </c>
    </row>
    <row r="1738" spans="3:15">
      <c r="C1738" s="84" t="s">
        <v>109</v>
      </c>
      <c r="D1738" s="75"/>
      <c r="E1738" s="75"/>
      <c r="F1738" s="81" t="s">
        <v>151</v>
      </c>
      <c r="G1738" s="55" t="s">
        <v>2940</v>
      </c>
      <c r="H1738" s="55" t="s">
        <v>124</v>
      </c>
      <c r="I1738" s="59">
        <v>4.9000000000000004</v>
      </c>
      <c r="J1738" s="60" t="s">
        <v>2941</v>
      </c>
      <c r="K1738" s="63" t="str">
        <f t="shared" si="186"/>
        <v>XBF-LD02SInput</v>
      </c>
      <c r="L1738" s="59">
        <f t="shared" si="189"/>
        <v>109</v>
      </c>
      <c r="M1738" s="59">
        <f t="shared" si="190"/>
        <v>83</v>
      </c>
      <c r="N1738" s="59">
        <f t="shared" si="192"/>
        <v>26</v>
      </c>
      <c r="O1738" s="60">
        <f t="shared" si="191"/>
        <v>1738</v>
      </c>
    </row>
    <row r="1739" spans="3:15">
      <c r="C1739" s="84" t="s">
        <v>109</v>
      </c>
      <c r="D1739" s="75"/>
      <c r="E1739" s="75"/>
      <c r="F1739" s="81" t="s">
        <v>151</v>
      </c>
      <c r="G1739" s="55" t="s">
        <v>2942</v>
      </c>
      <c r="H1739" s="55" t="s">
        <v>124</v>
      </c>
      <c r="I1739" s="59" t="s">
        <v>1571</v>
      </c>
      <c r="J1739" s="60" t="s">
        <v>2943</v>
      </c>
      <c r="K1739" s="63" t="str">
        <f t="shared" si="186"/>
        <v>XBF-LD02SInput</v>
      </c>
      <c r="L1739" s="59">
        <f t="shared" si="189"/>
        <v>109</v>
      </c>
      <c r="M1739" s="59">
        <f t="shared" si="190"/>
        <v>83</v>
      </c>
      <c r="N1739" s="59">
        <f t="shared" si="192"/>
        <v>26</v>
      </c>
      <c r="O1739" s="60">
        <f t="shared" si="191"/>
        <v>1739</v>
      </c>
    </row>
    <row r="1740" spans="3:15">
      <c r="C1740" s="84" t="s">
        <v>109</v>
      </c>
      <c r="D1740" s="75"/>
      <c r="E1740" s="75"/>
      <c r="F1740" s="81" t="s">
        <v>151</v>
      </c>
      <c r="G1740" s="55" t="s">
        <v>2944</v>
      </c>
      <c r="H1740" s="55" t="s">
        <v>124</v>
      </c>
      <c r="I1740" s="59" t="s">
        <v>1574</v>
      </c>
      <c r="J1740" s="60" t="s">
        <v>2945</v>
      </c>
      <c r="K1740" s="63" t="str">
        <f t="shared" si="186"/>
        <v>XBF-LD02SInput</v>
      </c>
      <c r="L1740" s="59">
        <f t="shared" si="189"/>
        <v>109</v>
      </c>
      <c r="M1740" s="59">
        <f t="shared" si="190"/>
        <v>83</v>
      </c>
      <c r="N1740" s="59">
        <f t="shared" si="192"/>
        <v>26</v>
      </c>
      <c r="O1740" s="60">
        <f t="shared" si="191"/>
        <v>1740</v>
      </c>
    </row>
    <row r="1741" spans="3:15">
      <c r="C1741" s="84" t="s">
        <v>109</v>
      </c>
      <c r="D1741" s="75"/>
      <c r="E1741" s="75"/>
      <c r="F1741" s="81" t="s">
        <v>151</v>
      </c>
      <c r="G1741" s="55" t="s">
        <v>2946</v>
      </c>
      <c r="H1741" s="55" t="s">
        <v>124</v>
      </c>
      <c r="I1741" s="59" t="s">
        <v>1577</v>
      </c>
      <c r="J1741" s="60" t="s">
        <v>2947</v>
      </c>
      <c r="K1741" s="63" t="str">
        <f t="shared" si="186"/>
        <v>XBF-LD02SInput</v>
      </c>
      <c r="L1741" s="59">
        <f t="shared" si="189"/>
        <v>109</v>
      </c>
      <c r="M1741" s="59">
        <f t="shared" si="190"/>
        <v>83</v>
      </c>
      <c r="N1741" s="59">
        <f t="shared" si="192"/>
        <v>26</v>
      </c>
      <c r="O1741" s="60">
        <f t="shared" si="191"/>
        <v>1741</v>
      </c>
    </row>
    <row r="1742" spans="3:15">
      <c r="C1742" s="84" t="s">
        <v>109</v>
      </c>
      <c r="D1742" s="75"/>
      <c r="E1742" s="75"/>
      <c r="F1742" s="81" t="s">
        <v>151</v>
      </c>
      <c r="G1742" s="55" t="s">
        <v>2948</v>
      </c>
      <c r="H1742" s="55" t="s">
        <v>124</v>
      </c>
      <c r="I1742" s="59" t="s">
        <v>1580</v>
      </c>
      <c r="J1742" s="60" t="s">
        <v>2949</v>
      </c>
      <c r="K1742" s="63" t="str">
        <f t="shared" si="186"/>
        <v>XBF-LD02SInput</v>
      </c>
      <c r="L1742" s="59">
        <f t="shared" si="189"/>
        <v>109</v>
      </c>
      <c r="M1742" s="59">
        <f t="shared" si="190"/>
        <v>83</v>
      </c>
      <c r="N1742" s="59">
        <f t="shared" si="192"/>
        <v>26</v>
      </c>
      <c r="O1742" s="60">
        <f t="shared" si="191"/>
        <v>1742</v>
      </c>
    </row>
    <row r="1743" spans="3:15">
      <c r="C1743" s="84" t="s">
        <v>109</v>
      </c>
      <c r="D1743" s="75"/>
      <c r="E1743" s="75"/>
      <c r="F1743" s="81" t="s">
        <v>151</v>
      </c>
      <c r="G1743" s="55" t="s">
        <v>2950</v>
      </c>
      <c r="H1743" s="55" t="s">
        <v>124</v>
      </c>
      <c r="I1743" s="59" t="s">
        <v>1583</v>
      </c>
      <c r="J1743" s="60" t="s">
        <v>2951</v>
      </c>
      <c r="K1743" s="63" t="str">
        <f t="shared" si="186"/>
        <v>XBF-LD02SInput</v>
      </c>
      <c r="L1743" s="59">
        <f t="shared" si="189"/>
        <v>109</v>
      </c>
      <c r="M1743" s="59">
        <f t="shared" si="190"/>
        <v>83</v>
      </c>
      <c r="N1743" s="59">
        <f t="shared" si="192"/>
        <v>26</v>
      </c>
      <c r="O1743" s="60">
        <f t="shared" si="191"/>
        <v>1743</v>
      </c>
    </row>
    <row r="1744" spans="3:15">
      <c r="C1744" s="84" t="s">
        <v>109</v>
      </c>
      <c r="D1744" s="75"/>
      <c r="E1744" s="75"/>
      <c r="F1744" s="81" t="s">
        <v>151</v>
      </c>
      <c r="G1744" s="55" t="s">
        <v>2952</v>
      </c>
      <c r="H1744" s="55" t="s">
        <v>124</v>
      </c>
      <c r="I1744" s="59" t="s">
        <v>1586</v>
      </c>
      <c r="J1744" s="60" t="s">
        <v>2953</v>
      </c>
      <c r="K1744" s="63" t="str">
        <f t="shared" si="186"/>
        <v>XBF-LD02SInput</v>
      </c>
      <c r="L1744" s="59">
        <f t="shared" si="189"/>
        <v>109</v>
      </c>
      <c r="M1744" s="59">
        <f t="shared" si="190"/>
        <v>83</v>
      </c>
      <c r="N1744" s="59">
        <f t="shared" si="192"/>
        <v>26</v>
      </c>
      <c r="O1744" s="60">
        <f t="shared" si="191"/>
        <v>1744</v>
      </c>
    </row>
    <row r="1745" spans="3:15">
      <c r="C1745" s="84" t="s">
        <v>109</v>
      </c>
      <c r="D1745" s="75"/>
      <c r="E1745" s="75"/>
      <c r="F1745" s="81" t="s">
        <v>151</v>
      </c>
      <c r="G1745" s="55" t="s">
        <v>2954</v>
      </c>
      <c r="H1745" s="55" t="s">
        <v>124</v>
      </c>
      <c r="I1745" s="59">
        <v>5</v>
      </c>
      <c r="J1745" s="60" t="s">
        <v>2955</v>
      </c>
      <c r="K1745" s="63" t="str">
        <f t="shared" si="186"/>
        <v>XBF-LD02SInput</v>
      </c>
      <c r="L1745" s="59">
        <f t="shared" si="189"/>
        <v>109</v>
      </c>
      <c r="M1745" s="59">
        <f t="shared" si="190"/>
        <v>83</v>
      </c>
      <c r="N1745" s="59">
        <f t="shared" si="192"/>
        <v>26</v>
      </c>
      <c r="O1745" s="60">
        <f t="shared" si="191"/>
        <v>1745</v>
      </c>
    </row>
    <row r="1746" spans="3:15">
      <c r="C1746" s="84" t="s">
        <v>109</v>
      </c>
      <c r="D1746" s="75"/>
      <c r="E1746" s="75"/>
      <c r="F1746" s="81" t="s">
        <v>151</v>
      </c>
      <c r="G1746" s="55" t="s">
        <v>2956</v>
      </c>
      <c r="H1746" s="55" t="s">
        <v>124</v>
      </c>
      <c r="I1746" s="59">
        <v>5.0999999999999996</v>
      </c>
      <c r="J1746" s="60" t="s">
        <v>2957</v>
      </c>
      <c r="K1746" s="63" t="str">
        <f t="shared" si="186"/>
        <v>XBF-LD02SInput</v>
      </c>
      <c r="L1746" s="59">
        <f t="shared" si="189"/>
        <v>109</v>
      </c>
      <c r="M1746" s="59">
        <f t="shared" si="190"/>
        <v>83</v>
      </c>
      <c r="N1746" s="59">
        <f t="shared" si="192"/>
        <v>26</v>
      </c>
      <c r="O1746" s="60">
        <f t="shared" si="191"/>
        <v>1746</v>
      </c>
    </row>
    <row r="1747" spans="3:15">
      <c r="C1747" s="84" t="s">
        <v>109</v>
      </c>
      <c r="D1747" s="75"/>
      <c r="E1747" s="75"/>
      <c r="F1747" s="81" t="s">
        <v>151</v>
      </c>
      <c r="G1747" s="55" t="s">
        <v>2958</v>
      </c>
      <c r="H1747" s="55" t="s">
        <v>124</v>
      </c>
      <c r="I1747" s="59">
        <v>5.2</v>
      </c>
      <c r="J1747" s="60" t="s">
        <v>2959</v>
      </c>
      <c r="K1747" s="63" t="str">
        <f t="shared" si="186"/>
        <v>XBF-LD02SInput</v>
      </c>
      <c r="L1747" s="59">
        <f t="shared" si="189"/>
        <v>109</v>
      </c>
      <c r="M1747" s="59">
        <f t="shared" si="190"/>
        <v>83</v>
      </c>
      <c r="N1747" s="59">
        <f t="shared" si="192"/>
        <v>26</v>
      </c>
      <c r="O1747" s="60">
        <f t="shared" si="191"/>
        <v>1747</v>
      </c>
    </row>
    <row r="1748" spans="3:15">
      <c r="C1748" s="84" t="s">
        <v>109</v>
      </c>
      <c r="D1748" s="75"/>
      <c r="E1748" s="75"/>
      <c r="F1748" s="81" t="s">
        <v>151</v>
      </c>
      <c r="G1748" s="55" t="s">
        <v>2960</v>
      </c>
      <c r="H1748" s="55" t="s">
        <v>124</v>
      </c>
      <c r="I1748" s="59">
        <v>5.3</v>
      </c>
      <c r="J1748" s="60" t="s">
        <v>2961</v>
      </c>
      <c r="K1748" s="63" t="str">
        <f t="shared" si="186"/>
        <v>XBF-LD02SInput</v>
      </c>
      <c r="L1748" s="59">
        <f t="shared" si="189"/>
        <v>109</v>
      </c>
      <c r="M1748" s="59">
        <f t="shared" si="190"/>
        <v>83</v>
      </c>
      <c r="N1748" s="59">
        <f t="shared" si="192"/>
        <v>26</v>
      </c>
      <c r="O1748" s="60">
        <f t="shared" si="191"/>
        <v>1748</v>
      </c>
    </row>
    <row r="1749" spans="3:15">
      <c r="C1749" s="84" t="s">
        <v>109</v>
      </c>
      <c r="D1749" s="75"/>
      <c r="E1749" s="75"/>
      <c r="F1749" s="81" t="s">
        <v>151</v>
      </c>
      <c r="G1749" s="55" t="s">
        <v>2962</v>
      </c>
      <c r="H1749" s="55" t="s">
        <v>124</v>
      </c>
      <c r="I1749" s="59">
        <v>5.8</v>
      </c>
      <c r="J1749" s="60" t="s">
        <v>2963</v>
      </c>
      <c r="K1749" s="63" t="str">
        <f t="shared" ref="K1749:K1812" si="193">C1749&amp;F1749</f>
        <v>XBF-LD02SInput</v>
      </c>
      <c r="L1749" s="59">
        <f t="shared" si="189"/>
        <v>109</v>
      </c>
      <c r="M1749" s="59">
        <f t="shared" si="190"/>
        <v>83</v>
      </c>
      <c r="N1749" s="59">
        <f t="shared" si="192"/>
        <v>26</v>
      </c>
      <c r="O1749" s="60">
        <f t="shared" si="191"/>
        <v>1749</v>
      </c>
    </row>
    <row r="1750" spans="3:15">
      <c r="C1750" s="84" t="s">
        <v>109</v>
      </c>
      <c r="D1750" s="75"/>
      <c r="E1750" s="75"/>
      <c r="F1750" s="81" t="s">
        <v>151</v>
      </c>
      <c r="G1750" s="55" t="s">
        <v>2964</v>
      </c>
      <c r="H1750" s="55" t="s">
        <v>124</v>
      </c>
      <c r="I1750" s="59">
        <v>5.9</v>
      </c>
      <c r="J1750" s="60" t="s">
        <v>2965</v>
      </c>
      <c r="K1750" s="63" t="str">
        <f t="shared" si="193"/>
        <v>XBF-LD02SInput</v>
      </c>
      <c r="L1750" s="59">
        <f t="shared" si="189"/>
        <v>109</v>
      </c>
      <c r="M1750" s="59">
        <f t="shared" si="190"/>
        <v>83</v>
      </c>
      <c r="N1750" s="59">
        <f t="shared" si="192"/>
        <v>26</v>
      </c>
      <c r="O1750" s="60">
        <f t="shared" si="191"/>
        <v>1750</v>
      </c>
    </row>
    <row r="1751" spans="3:15">
      <c r="C1751" s="84" t="s">
        <v>109</v>
      </c>
      <c r="D1751" s="75"/>
      <c r="E1751" s="75"/>
      <c r="F1751" s="81" t="s">
        <v>151</v>
      </c>
      <c r="G1751" s="55" t="s">
        <v>2966</v>
      </c>
      <c r="H1751" s="55" t="s">
        <v>124</v>
      </c>
      <c r="I1751" s="59" t="s">
        <v>1609</v>
      </c>
      <c r="J1751" s="60" t="s">
        <v>2967</v>
      </c>
      <c r="K1751" s="63" t="str">
        <f t="shared" si="193"/>
        <v>XBF-LD02SInput</v>
      </c>
      <c r="L1751" s="59">
        <f t="shared" si="189"/>
        <v>109</v>
      </c>
      <c r="M1751" s="59">
        <f t="shared" si="190"/>
        <v>83</v>
      </c>
      <c r="N1751" s="59">
        <f t="shared" si="192"/>
        <v>26</v>
      </c>
      <c r="O1751" s="60">
        <f t="shared" si="191"/>
        <v>1751</v>
      </c>
    </row>
    <row r="1752" spans="3:15">
      <c r="C1752" s="84" t="s">
        <v>109</v>
      </c>
      <c r="D1752" s="75"/>
      <c r="E1752" s="75"/>
      <c r="F1752" s="81" t="s">
        <v>151</v>
      </c>
      <c r="G1752" s="55" t="s">
        <v>2968</v>
      </c>
      <c r="H1752" s="55" t="s">
        <v>124</v>
      </c>
      <c r="I1752" s="59" t="s">
        <v>1612</v>
      </c>
      <c r="J1752" s="60" t="s">
        <v>2969</v>
      </c>
      <c r="K1752" s="63" t="str">
        <f t="shared" si="193"/>
        <v>XBF-LD02SInput</v>
      </c>
      <c r="L1752" s="59">
        <f t="shared" si="189"/>
        <v>109</v>
      </c>
      <c r="M1752" s="59">
        <f t="shared" si="190"/>
        <v>83</v>
      </c>
      <c r="N1752" s="59">
        <f t="shared" si="192"/>
        <v>26</v>
      </c>
      <c r="O1752" s="60">
        <f t="shared" si="191"/>
        <v>1752</v>
      </c>
    </row>
    <row r="1753" spans="3:15">
      <c r="C1753" s="84" t="s">
        <v>109</v>
      </c>
      <c r="D1753" s="75"/>
      <c r="E1753" s="75"/>
      <c r="F1753" s="81" t="s">
        <v>151</v>
      </c>
      <c r="G1753" s="55" t="s">
        <v>2970</v>
      </c>
      <c r="H1753" s="55" t="s">
        <v>124</v>
      </c>
      <c r="I1753" s="59" t="s">
        <v>1615</v>
      </c>
      <c r="J1753" s="60" t="s">
        <v>2971</v>
      </c>
      <c r="K1753" s="63" t="str">
        <f t="shared" si="193"/>
        <v>XBF-LD02SInput</v>
      </c>
      <c r="L1753" s="59">
        <f t="shared" si="189"/>
        <v>109</v>
      </c>
      <c r="M1753" s="59">
        <f t="shared" si="190"/>
        <v>83</v>
      </c>
      <c r="N1753" s="59">
        <f t="shared" si="192"/>
        <v>26</v>
      </c>
      <c r="O1753" s="60">
        <f t="shared" si="191"/>
        <v>1753</v>
      </c>
    </row>
    <row r="1754" spans="3:15">
      <c r="C1754" s="84" t="s">
        <v>109</v>
      </c>
      <c r="D1754" s="75"/>
      <c r="E1754" s="75"/>
      <c r="F1754" s="81" t="s">
        <v>151</v>
      </c>
      <c r="G1754" s="55" t="s">
        <v>2972</v>
      </c>
      <c r="H1754" s="55" t="s">
        <v>124</v>
      </c>
      <c r="I1754" s="59" t="s">
        <v>1618</v>
      </c>
      <c r="J1754" s="60" t="s">
        <v>2973</v>
      </c>
      <c r="K1754" s="63" t="str">
        <f t="shared" si="193"/>
        <v>XBF-LD02SInput</v>
      </c>
      <c r="L1754" s="59">
        <f t="shared" si="189"/>
        <v>109</v>
      </c>
      <c r="M1754" s="59">
        <f t="shared" si="190"/>
        <v>83</v>
      </c>
      <c r="N1754" s="59">
        <f t="shared" si="192"/>
        <v>26</v>
      </c>
      <c r="O1754" s="60">
        <f t="shared" si="191"/>
        <v>1754</v>
      </c>
    </row>
    <row r="1755" spans="3:15">
      <c r="C1755" s="84" t="s">
        <v>109</v>
      </c>
      <c r="D1755" s="75"/>
      <c r="E1755" s="75"/>
      <c r="F1755" s="81" t="s">
        <v>151</v>
      </c>
      <c r="G1755" s="55" t="s">
        <v>2974</v>
      </c>
      <c r="H1755" s="55" t="s">
        <v>124</v>
      </c>
      <c r="I1755" s="59" t="s">
        <v>1621</v>
      </c>
      <c r="J1755" s="60" t="s">
        <v>2975</v>
      </c>
      <c r="K1755" s="63" t="str">
        <f t="shared" si="193"/>
        <v>XBF-LD02SInput</v>
      </c>
      <c r="L1755" s="59">
        <f t="shared" si="189"/>
        <v>109</v>
      </c>
      <c r="M1755" s="59">
        <f t="shared" si="190"/>
        <v>83</v>
      </c>
      <c r="N1755" s="59">
        <f t="shared" si="192"/>
        <v>26</v>
      </c>
      <c r="O1755" s="60">
        <f t="shared" si="191"/>
        <v>1755</v>
      </c>
    </row>
    <row r="1756" spans="3:15">
      <c r="C1756" s="84" t="s">
        <v>109</v>
      </c>
      <c r="D1756" s="75"/>
      <c r="E1756" s="75"/>
      <c r="F1756" s="81" t="s">
        <v>151</v>
      </c>
      <c r="G1756" s="55" t="s">
        <v>2976</v>
      </c>
      <c r="H1756" s="55" t="s">
        <v>124</v>
      </c>
      <c r="I1756" s="59" t="s">
        <v>1624</v>
      </c>
      <c r="J1756" s="60" t="s">
        <v>2977</v>
      </c>
      <c r="K1756" s="63" t="str">
        <f t="shared" si="193"/>
        <v>XBF-LD02SInput</v>
      </c>
      <c r="L1756" s="59">
        <f t="shared" si="189"/>
        <v>109</v>
      </c>
      <c r="M1756" s="59">
        <f t="shared" si="190"/>
        <v>83</v>
      </c>
      <c r="N1756" s="59">
        <f t="shared" si="192"/>
        <v>26</v>
      </c>
      <c r="O1756" s="60">
        <f t="shared" si="191"/>
        <v>1756</v>
      </c>
    </row>
    <row r="1757" spans="3:15">
      <c r="C1757" s="84" t="s">
        <v>109</v>
      </c>
      <c r="D1757" s="75"/>
      <c r="E1757" s="75"/>
      <c r="F1757" s="81" t="s">
        <v>151</v>
      </c>
      <c r="G1757" s="55" t="s">
        <v>2978</v>
      </c>
      <c r="H1757" s="55" t="s">
        <v>139</v>
      </c>
      <c r="I1757" s="59">
        <v>6</v>
      </c>
      <c r="J1757" s="60" t="s">
        <v>2979</v>
      </c>
      <c r="K1757" s="63" t="str">
        <f t="shared" si="193"/>
        <v>XBF-LD02SInput</v>
      </c>
      <c r="L1757" s="59">
        <f t="shared" si="189"/>
        <v>109</v>
      </c>
      <c r="M1757" s="59">
        <f t="shared" si="190"/>
        <v>83</v>
      </c>
      <c r="N1757" s="59">
        <f t="shared" si="192"/>
        <v>26</v>
      </c>
      <c r="O1757" s="60">
        <f t="shared" si="191"/>
        <v>1757</v>
      </c>
    </row>
    <row r="1758" spans="3:15">
      <c r="C1758" s="84" t="s">
        <v>109</v>
      </c>
      <c r="D1758" s="75"/>
      <c r="E1758" s="75"/>
      <c r="F1758" s="81" t="s">
        <v>151</v>
      </c>
      <c r="G1758" s="55" t="s">
        <v>2980</v>
      </c>
      <c r="H1758" s="55" t="s">
        <v>139</v>
      </c>
      <c r="I1758" s="59">
        <v>7</v>
      </c>
      <c r="J1758" s="60" t="s">
        <v>2981</v>
      </c>
      <c r="K1758" s="63" t="str">
        <f t="shared" si="193"/>
        <v>XBF-LD02SInput</v>
      </c>
      <c r="L1758" s="59">
        <f t="shared" si="189"/>
        <v>109</v>
      </c>
      <c r="M1758" s="59">
        <f t="shared" si="190"/>
        <v>83</v>
      </c>
      <c r="N1758" s="59">
        <f t="shared" si="192"/>
        <v>26</v>
      </c>
      <c r="O1758" s="60">
        <f t="shared" si="191"/>
        <v>1758</v>
      </c>
    </row>
    <row r="1759" spans="3:15">
      <c r="C1759" s="84" t="s">
        <v>109</v>
      </c>
      <c r="D1759" s="75"/>
      <c r="E1759" s="75"/>
      <c r="F1759" s="81" t="s">
        <v>151</v>
      </c>
      <c r="G1759" s="55" t="s">
        <v>2982</v>
      </c>
      <c r="H1759" s="55" t="s">
        <v>139</v>
      </c>
      <c r="I1759" s="59">
        <v>8</v>
      </c>
      <c r="J1759" s="60" t="s">
        <v>2983</v>
      </c>
      <c r="K1759" s="63" t="str">
        <f t="shared" si="193"/>
        <v>XBF-LD02SInput</v>
      </c>
      <c r="L1759" s="59">
        <f t="shared" si="189"/>
        <v>109</v>
      </c>
      <c r="M1759" s="59">
        <f t="shared" si="190"/>
        <v>83</v>
      </c>
      <c r="N1759" s="59">
        <f t="shared" si="192"/>
        <v>26</v>
      </c>
      <c r="O1759" s="60">
        <f t="shared" si="191"/>
        <v>1759</v>
      </c>
    </row>
    <row r="1760" spans="3:15">
      <c r="C1760" s="84" t="s">
        <v>109</v>
      </c>
      <c r="D1760" s="75"/>
      <c r="E1760" s="75"/>
      <c r="F1760" s="81" t="s">
        <v>151</v>
      </c>
      <c r="G1760" s="55" t="s">
        <v>2984</v>
      </c>
      <c r="H1760" s="55" t="s">
        <v>139</v>
      </c>
      <c r="I1760" s="59">
        <v>9</v>
      </c>
      <c r="J1760" s="60" t="s">
        <v>2985</v>
      </c>
      <c r="K1760" s="63" t="str">
        <f t="shared" si="193"/>
        <v>XBF-LD02SInput</v>
      </c>
      <c r="L1760" s="59">
        <f t="shared" si="189"/>
        <v>109</v>
      </c>
      <c r="M1760" s="59">
        <f t="shared" si="190"/>
        <v>83</v>
      </c>
      <c r="N1760" s="59">
        <f t="shared" si="192"/>
        <v>26</v>
      </c>
      <c r="O1760" s="60">
        <f t="shared" si="191"/>
        <v>1760</v>
      </c>
    </row>
    <row r="1761" spans="3:15">
      <c r="C1761" s="84" t="s">
        <v>109</v>
      </c>
      <c r="D1761" s="75"/>
      <c r="E1761" s="75"/>
      <c r="F1761" s="81" t="s">
        <v>151</v>
      </c>
      <c r="G1761" s="55" t="s">
        <v>2986</v>
      </c>
      <c r="H1761" s="55" t="s">
        <v>139</v>
      </c>
      <c r="I1761" s="59">
        <v>10</v>
      </c>
      <c r="J1761" s="60" t="s">
        <v>2987</v>
      </c>
      <c r="K1761" s="63" t="str">
        <f t="shared" si="193"/>
        <v>XBF-LD02SInput</v>
      </c>
      <c r="L1761" s="59">
        <f t="shared" ref="L1761:L1779" si="194">COUNTIF($C$2:$C$2062,C1761)</f>
        <v>109</v>
      </c>
      <c r="M1761" s="59">
        <f t="shared" ref="M1761:M1779" si="195">COUNTIF($K$2:$K$2062,K1761)</f>
        <v>83</v>
      </c>
      <c r="N1761" s="59">
        <f t="shared" si="192"/>
        <v>26</v>
      </c>
      <c r="O1761" s="60">
        <f t="shared" si="191"/>
        <v>1761</v>
      </c>
    </row>
    <row r="1762" spans="3:15">
      <c r="C1762" s="84" t="s">
        <v>109</v>
      </c>
      <c r="D1762" s="75"/>
      <c r="E1762" s="75"/>
      <c r="F1762" s="81" t="s">
        <v>151</v>
      </c>
      <c r="G1762" s="55" t="s">
        <v>2988</v>
      </c>
      <c r="H1762" s="55" t="s">
        <v>139</v>
      </c>
      <c r="I1762" s="59">
        <v>11</v>
      </c>
      <c r="J1762" s="60" t="s">
        <v>2989</v>
      </c>
      <c r="K1762" s="63" t="str">
        <f t="shared" si="193"/>
        <v>XBF-LD02SInput</v>
      </c>
      <c r="L1762" s="59">
        <f t="shared" si="194"/>
        <v>109</v>
      </c>
      <c r="M1762" s="59">
        <f t="shared" si="195"/>
        <v>83</v>
      </c>
      <c r="N1762" s="59">
        <f t="shared" si="192"/>
        <v>26</v>
      </c>
      <c r="O1762" s="60">
        <f t="shared" si="191"/>
        <v>1762</v>
      </c>
    </row>
    <row r="1763" spans="3:15">
      <c r="C1763" s="84" t="s">
        <v>109</v>
      </c>
      <c r="D1763" s="75"/>
      <c r="E1763" s="75"/>
      <c r="F1763" s="81" t="s">
        <v>151</v>
      </c>
      <c r="G1763" s="55" t="s">
        <v>2990</v>
      </c>
      <c r="H1763" s="55" t="s">
        <v>139</v>
      </c>
      <c r="I1763" s="59">
        <v>12</v>
      </c>
      <c r="J1763" s="60" t="s">
        <v>2991</v>
      </c>
      <c r="K1763" s="63" t="str">
        <f t="shared" si="193"/>
        <v>XBF-LD02SInput</v>
      </c>
      <c r="L1763" s="59">
        <f t="shared" si="194"/>
        <v>109</v>
      </c>
      <c r="M1763" s="59">
        <f t="shared" si="195"/>
        <v>83</v>
      </c>
      <c r="N1763" s="59">
        <f t="shared" si="192"/>
        <v>26</v>
      </c>
      <c r="O1763" s="60">
        <f t="shared" si="191"/>
        <v>1763</v>
      </c>
    </row>
    <row r="1764" spans="3:15">
      <c r="C1764" s="84" t="s">
        <v>109</v>
      </c>
      <c r="D1764" s="75"/>
      <c r="E1764" s="75"/>
      <c r="F1764" s="81" t="s">
        <v>151</v>
      </c>
      <c r="G1764" s="55" t="s">
        <v>2992</v>
      </c>
      <c r="H1764" s="55" t="s">
        <v>139</v>
      </c>
      <c r="I1764" s="59">
        <v>13</v>
      </c>
      <c r="J1764" s="60" t="s">
        <v>2993</v>
      </c>
      <c r="K1764" s="63" t="str">
        <f t="shared" si="193"/>
        <v>XBF-LD02SInput</v>
      </c>
      <c r="L1764" s="59">
        <f t="shared" si="194"/>
        <v>109</v>
      </c>
      <c r="M1764" s="59">
        <f t="shared" si="195"/>
        <v>83</v>
      </c>
      <c r="N1764" s="59">
        <f t="shared" si="192"/>
        <v>26</v>
      </c>
      <c r="O1764" s="60">
        <f t="shared" si="191"/>
        <v>1764</v>
      </c>
    </row>
    <row r="1765" spans="3:15">
      <c r="C1765" s="84" t="s">
        <v>109</v>
      </c>
      <c r="D1765" s="75"/>
      <c r="E1765" s="75"/>
      <c r="F1765" s="81" t="s">
        <v>151</v>
      </c>
      <c r="G1765" s="55" t="s">
        <v>2994</v>
      </c>
      <c r="H1765" s="55" t="s">
        <v>139</v>
      </c>
      <c r="I1765" s="59">
        <v>14</v>
      </c>
      <c r="J1765" s="60" t="s">
        <v>2995</v>
      </c>
      <c r="K1765" s="63" t="str">
        <f t="shared" si="193"/>
        <v>XBF-LD02SInput</v>
      </c>
      <c r="L1765" s="59">
        <f t="shared" si="194"/>
        <v>109</v>
      </c>
      <c r="M1765" s="59">
        <f t="shared" si="195"/>
        <v>83</v>
      </c>
      <c r="N1765" s="59">
        <f t="shared" si="192"/>
        <v>26</v>
      </c>
      <c r="O1765" s="60">
        <f t="shared" si="191"/>
        <v>1765</v>
      </c>
    </row>
    <row r="1766" spans="3:15">
      <c r="C1766" s="84" t="s">
        <v>109</v>
      </c>
      <c r="D1766" s="75"/>
      <c r="E1766" s="75"/>
      <c r="F1766" s="81" t="s">
        <v>151</v>
      </c>
      <c r="G1766" s="55" t="s">
        <v>2996</v>
      </c>
      <c r="H1766" s="55" t="s">
        <v>139</v>
      </c>
      <c r="I1766" s="59">
        <v>15</v>
      </c>
      <c r="J1766" s="60" t="s">
        <v>2997</v>
      </c>
      <c r="K1766" s="63" t="str">
        <f t="shared" si="193"/>
        <v>XBF-LD02SInput</v>
      </c>
      <c r="L1766" s="59">
        <f t="shared" si="194"/>
        <v>109</v>
      </c>
      <c r="M1766" s="59">
        <f t="shared" si="195"/>
        <v>83</v>
      </c>
      <c r="N1766" s="59">
        <f t="shared" si="192"/>
        <v>26</v>
      </c>
      <c r="O1766" s="60">
        <f t="shared" si="191"/>
        <v>1766</v>
      </c>
    </row>
    <row r="1767" spans="3:15">
      <c r="C1767" s="84" t="s">
        <v>109</v>
      </c>
      <c r="D1767" s="75"/>
      <c r="E1767" s="75"/>
      <c r="F1767" s="81" t="s">
        <v>151</v>
      </c>
      <c r="G1767" s="55" t="s">
        <v>2998</v>
      </c>
      <c r="H1767" s="55" t="s">
        <v>139</v>
      </c>
      <c r="I1767" s="59">
        <v>16</v>
      </c>
      <c r="J1767" s="60" t="s">
        <v>2999</v>
      </c>
      <c r="K1767" s="63" t="str">
        <f t="shared" si="193"/>
        <v>XBF-LD02SInput</v>
      </c>
      <c r="L1767" s="59">
        <f t="shared" si="194"/>
        <v>109</v>
      </c>
      <c r="M1767" s="59">
        <f t="shared" si="195"/>
        <v>83</v>
      </c>
      <c r="N1767" s="59">
        <f t="shared" si="192"/>
        <v>26</v>
      </c>
      <c r="O1767" s="60">
        <f t="shared" si="191"/>
        <v>1767</v>
      </c>
    </row>
    <row r="1768" spans="3:15">
      <c r="C1768" s="84" t="s">
        <v>109</v>
      </c>
      <c r="D1768" s="75"/>
      <c r="E1768" s="75"/>
      <c r="F1768" s="81" t="s">
        <v>151</v>
      </c>
      <c r="G1768" s="55" t="s">
        <v>3000</v>
      </c>
      <c r="H1768" s="55" t="s">
        <v>139</v>
      </c>
      <c r="I1768" s="59">
        <v>17</v>
      </c>
      <c r="J1768" s="60" t="s">
        <v>3001</v>
      </c>
      <c r="K1768" s="63" t="str">
        <f t="shared" si="193"/>
        <v>XBF-LD02SInput</v>
      </c>
      <c r="L1768" s="59">
        <f t="shared" si="194"/>
        <v>109</v>
      </c>
      <c r="M1768" s="59">
        <f t="shared" si="195"/>
        <v>83</v>
      </c>
      <c r="N1768" s="59">
        <f t="shared" si="192"/>
        <v>26</v>
      </c>
      <c r="O1768" s="60">
        <f t="shared" si="191"/>
        <v>1768</v>
      </c>
    </row>
    <row r="1769" spans="3:15">
      <c r="C1769" s="84" t="s">
        <v>109</v>
      </c>
      <c r="D1769" s="75"/>
      <c r="E1769" s="75"/>
      <c r="F1769" s="81" t="s">
        <v>151</v>
      </c>
      <c r="G1769" s="55" t="s">
        <v>3002</v>
      </c>
      <c r="H1769" s="55" t="s">
        <v>139</v>
      </c>
      <c r="I1769" s="59">
        <v>18</v>
      </c>
      <c r="J1769" s="60" t="s">
        <v>3003</v>
      </c>
      <c r="K1769" s="63" t="str">
        <f t="shared" si="193"/>
        <v>XBF-LD02SInput</v>
      </c>
      <c r="L1769" s="59">
        <f t="shared" si="194"/>
        <v>109</v>
      </c>
      <c r="M1769" s="59">
        <f t="shared" si="195"/>
        <v>83</v>
      </c>
      <c r="N1769" s="59">
        <f t="shared" si="192"/>
        <v>26</v>
      </c>
      <c r="O1769" s="60">
        <f t="shared" si="191"/>
        <v>1769</v>
      </c>
    </row>
    <row r="1770" spans="3:15">
      <c r="C1770" s="84" t="s">
        <v>109</v>
      </c>
      <c r="D1770" s="75"/>
      <c r="E1770" s="75"/>
      <c r="F1770" s="81" t="s">
        <v>151</v>
      </c>
      <c r="G1770" s="55" t="s">
        <v>3004</v>
      </c>
      <c r="H1770" s="55" t="s">
        <v>139</v>
      </c>
      <c r="I1770" s="59">
        <v>19</v>
      </c>
      <c r="J1770" s="60" t="s">
        <v>3005</v>
      </c>
      <c r="K1770" s="63" t="str">
        <f t="shared" si="193"/>
        <v>XBF-LD02SInput</v>
      </c>
      <c r="L1770" s="59">
        <f t="shared" si="194"/>
        <v>109</v>
      </c>
      <c r="M1770" s="59">
        <f t="shared" si="195"/>
        <v>83</v>
      </c>
      <c r="N1770" s="59">
        <f t="shared" si="192"/>
        <v>26</v>
      </c>
      <c r="O1770" s="60">
        <f t="shared" si="191"/>
        <v>1770</v>
      </c>
    </row>
    <row r="1771" spans="3:15">
      <c r="C1771" s="84" t="s">
        <v>109</v>
      </c>
      <c r="D1771" s="75"/>
      <c r="E1771" s="75"/>
      <c r="F1771" s="81" t="s">
        <v>151</v>
      </c>
      <c r="G1771" s="55" t="s">
        <v>3006</v>
      </c>
      <c r="H1771" s="55" t="s">
        <v>139</v>
      </c>
      <c r="I1771" s="59">
        <v>20</v>
      </c>
      <c r="J1771" s="60" t="s">
        <v>3007</v>
      </c>
      <c r="K1771" s="63" t="str">
        <f t="shared" si="193"/>
        <v>XBF-LD02SInput</v>
      </c>
      <c r="L1771" s="59">
        <f t="shared" si="194"/>
        <v>109</v>
      </c>
      <c r="M1771" s="59">
        <f t="shared" si="195"/>
        <v>83</v>
      </c>
      <c r="N1771" s="59">
        <f t="shared" si="192"/>
        <v>26</v>
      </c>
      <c r="O1771" s="60">
        <f t="shared" si="191"/>
        <v>1771</v>
      </c>
    </row>
    <row r="1772" spans="3:15">
      <c r="C1772" s="84" t="s">
        <v>109</v>
      </c>
      <c r="D1772" s="75"/>
      <c r="E1772" s="75"/>
      <c r="F1772" s="81" t="s">
        <v>151</v>
      </c>
      <c r="G1772" s="55" t="s">
        <v>3008</v>
      </c>
      <c r="H1772" s="55" t="s">
        <v>139</v>
      </c>
      <c r="I1772" s="59">
        <v>21</v>
      </c>
      <c r="J1772" s="60" t="s">
        <v>3009</v>
      </c>
      <c r="K1772" s="63" t="str">
        <f t="shared" si="193"/>
        <v>XBF-LD02SInput</v>
      </c>
      <c r="L1772" s="59">
        <f t="shared" si="194"/>
        <v>109</v>
      </c>
      <c r="M1772" s="59">
        <f t="shared" si="195"/>
        <v>83</v>
      </c>
      <c r="N1772" s="59">
        <f t="shared" si="192"/>
        <v>26</v>
      </c>
      <c r="O1772" s="60">
        <f t="shared" si="191"/>
        <v>1772</v>
      </c>
    </row>
    <row r="1773" spans="3:15">
      <c r="C1773" s="84" t="s">
        <v>109</v>
      </c>
      <c r="D1773" s="75"/>
      <c r="E1773" s="75"/>
      <c r="F1773" s="81" t="s">
        <v>151</v>
      </c>
      <c r="G1773" s="55" t="s">
        <v>3010</v>
      </c>
      <c r="H1773" s="55" t="s">
        <v>139</v>
      </c>
      <c r="I1773" s="59">
        <v>22</v>
      </c>
      <c r="J1773" s="60" t="s">
        <v>3011</v>
      </c>
      <c r="K1773" s="63" t="str">
        <f t="shared" si="193"/>
        <v>XBF-LD02SInput</v>
      </c>
      <c r="L1773" s="59">
        <f t="shared" si="194"/>
        <v>109</v>
      </c>
      <c r="M1773" s="59">
        <f t="shared" si="195"/>
        <v>83</v>
      </c>
      <c r="N1773" s="59">
        <f t="shared" si="192"/>
        <v>26</v>
      </c>
      <c r="O1773" s="60">
        <f t="shared" si="191"/>
        <v>1773</v>
      </c>
    </row>
    <row r="1774" spans="3:15">
      <c r="C1774" s="84" t="s">
        <v>109</v>
      </c>
      <c r="D1774" s="75"/>
      <c r="E1774" s="75"/>
      <c r="F1774" s="81" t="s">
        <v>151</v>
      </c>
      <c r="G1774" s="55" t="s">
        <v>3012</v>
      </c>
      <c r="H1774" s="55" t="s">
        <v>139</v>
      </c>
      <c r="I1774" s="59">
        <v>23</v>
      </c>
      <c r="J1774" s="60" t="s">
        <v>3013</v>
      </c>
      <c r="K1774" s="63" t="str">
        <f t="shared" si="193"/>
        <v>XBF-LD02SInput</v>
      </c>
      <c r="L1774" s="59">
        <f t="shared" si="194"/>
        <v>109</v>
      </c>
      <c r="M1774" s="59">
        <f t="shared" si="195"/>
        <v>83</v>
      </c>
      <c r="N1774" s="59">
        <f t="shared" si="192"/>
        <v>26</v>
      </c>
      <c r="O1774" s="60">
        <f t="shared" si="191"/>
        <v>1774</v>
      </c>
    </row>
    <row r="1775" spans="3:15">
      <c r="C1775" s="84" t="s">
        <v>109</v>
      </c>
      <c r="D1775" s="75"/>
      <c r="E1775" s="75"/>
      <c r="F1775" s="81" t="s">
        <v>151</v>
      </c>
      <c r="G1775" s="55" t="s">
        <v>3014</v>
      </c>
      <c r="H1775" s="55" t="s">
        <v>139</v>
      </c>
      <c r="I1775" s="59">
        <v>24</v>
      </c>
      <c r="J1775" s="60" t="s">
        <v>3015</v>
      </c>
      <c r="K1775" s="63" t="str">
        <f t="shared" si="193"/>
        <v>XBF-LD02SInput</v>
      </c>
      <c r="L1775" s="59">
        <f t="shared" si="194"/>
        <v>109</v>
      </c>
      <c r="M1775" s="59">
        <f t="shared" si="195"/>
        <v>83</v>
      </c>
      <c r="N1775" s="59">
        <f t="shared" si="192"/>
        <v>26</v>
      </c>
      <c r="O1775" s="60">
        <f t="shared" si="191"/>
        <v>1775</v>
      </c>
    </row>
    <row r="1776" spans="3:15">
      <c r="C1776" s="84" t="s">
        <v>109</v>
      </c>
      <c r="D1776" s="75"/>
      <c r="E1776" s="75"/>
      <c r="F1776" s="81" t="s">
        <v>151</v>
      </c>
      <c r="G1776" s="55" t="s">
        <v>3016</v>
      </c>
      <c r="H1776" s="55" t="s">
        <v>139</v>
      </c>
      <c r="I1776" s="59">
        <v>25</v>
      </c>
      <c r="J1776" s="60" t="s">
        <v>3017</v>
      </c>
      <c r="K1776" s="63" t="str">
        <f t="shared" si="193"/>
        <v>XBF-LD02SInput</v>
      </c>
      <c r="L1776" s="59">
        <f t="shared" si="194"/>
        <v>109</v>
      </c>
      <c r="M1776" s="59">
        <f t="shared" si="195"/>
        <v>83</v>
      </c>
      <c r="N1776" s="59">
        <f t="shared" si="192"/>
        <v>26</v>
      </c>
      <c r="O1776" s="60">
        <f t="shared" si="191"/>
        <v>1776</v>
      </c>
    </row>
    <row r="1777" spans="3:15">
      <c r="C1777" s="84" t="s">
        <v>109</v>
      </c>
      <c r="D1777" s="75"/>
      <c r="E1777" s="75"/>
      <c r="F1777" s="81" t="s">
        <v>151</v>
      </c>
      <c r="G1777" s="55" t="s">
        <v>3018</v>
      </c>
      <c r="H1777" s="55" t="s">
        <v>139</v>
      </c>
      <c r="I1777" s="59">
        <v>26</v>
      </c>
      <c r="J1777" s="60" t="s">
        <v>3019</v>
      </c>
      <c r="K1777" s="63" t="str">
        <f t="shared" si="193"/>
        <v>XBF-LD02SInput</v>
      </c>
      <c r="L1777" s="59">
        <f t="shared" si="194"/>
        <v>109</v>
      </c>
      <c r="M1777" s="59">
        <f t="shared" si="195"/>
        <v>83</v>
      </c>
      <c r="N1777" s="59">
        <f t="shared" si="192"/>
        <v>26</v>
      </c>
      <c r="O1777" s="60">
        <f t="shared" si="191"/>
        <v>1777</v>
      </c>
    </row>
    <row r="1778" spans="3:15">
      <c r="C1778" s="84" t="s">
        <v>109</v>
      </c>
      <c r="D1778" s="75"/>
      <c r="E1778" s="75"/>
      <c r="F1778" s="81" t="s">
        <v>151</v>
      </c>
      <c r="G1778" s="55" t="s">
        <v>3020</v>
      </c>
      <c r="H1778" s="55" t="s">
        <v>139</v>
      </c>
      <c r="I1778" s="59">
        <v>27</v>
      </c>
      <c r="J1778" s="60" t="s">
        <v>3021</v>
      </c>
      <c r="K1778" s="63" t="str">
        <f t="shared" si="193"/>
        <v>XBF-LD02SInput</v>
      </c>
      <c r="L1778" s="59">
        <f t="shared" si="194"/>
        <v>109</v>
      </c>
      <c r="M1778" s="59">
        <f t="shared" si="195"/>
        <v>83</v>
      </c>
      <c r="N1778" s="59">
        <f t="shared" si="192"/>
        <v>26</v>
      </c>
      <c r="O1778" s="60">
        <f t="shared" si="191"/>
        <v>1778</v>
      </c>
    </row>
    <row r="1779" spans="3:15">
      <c r="C1779" s="84" t="s">
        <v>109</v>
      </c>
      <c r="D1779" s="75"/>
      <c r="E1779" s="75"/>
      <c r="F1779" s="81" t="s">
        <v>151</v>
      </c>
      <c r="G1779" s="55" t="s">
        <v>3022</v>
      </c>
      <c r="H1779" s="55" t="s">
        <v>139</v>
      </c>
      <c r="I1779" s="59">
        <v>28</v>
      </c>
      <c r="J1779" s="60" t="s">
        <v>3023</v>
      </c>
      <c r="K1779" s="63" t="str">
        <f t="shared" si="193"/>
        <v>XBF-LD02SInput</v>
      </c>
      <c r="L1779" s="59">
        <f t="shared" si="194"/>
        <v>109</v>
      </c>
      <c r="M1779" s="59">
        <f t="shared" si="195"/>
        <v>83</v>
      </c>
      <c r="N1779" s="59">
        <f t="shared" si="192"/>
        <v>26</v>
      </c>
      <c r="O1779" s="60">
        <f t="shared" si="191"/>
        <v>1779</v>
      </c>
    </row>
    <row r="1780" spans="3:15">
      <c r="C1780" s="84" t="s">
        <v>109</v>
      </c>
      <c r="D1780" s="75"/>
      <c r="E1780" s="75"/>
      <c r="F1780" s="81" t="s">
        <v>166</v>
      </c>
      <c r="G1780" s="55" t="s">
        <v>3024</v>
      </c>
      <c r="H1780" s="55" t="s">
        <v>124</v>
      </c>
      <c r="I1780" s="59">
        <v>0</v>
      </c>
      <c r="J1780" s="60" t="s">
        <v>3025</v>
      </c>
      <c r="K1780" s="63"/>
      <c r="L1780" s="59"/>
      <c r="M1780" s="59"/>
      <c r="N1780" s="59"/>
      <c r="O1780" s="60">
        <f t="shared" si="191"/>
        <v>1780</v>
      </c>
    </row>
    <row r="1781" spans="3:15">
      <c r="C1781" s="84" t="s">
        <v>109</v>
      </c>
      <c r="D1781" s="75"/>
      <c r="E1781" s="75"/>
      <c r="F1781" s="81" t="s">
        <v>166</v>
      </c>
      <c r="G1781" s="55" t="s">
        <v>3026</v>
      </c>
      <c r="H1781" s="55" t="s">
        <v>124</v>
      </c>
      <c r="I1781" s="59">
        <v>0.1</v>
      </c>
      <c r="J1781" s="60" t="s">
        <v>3027</v>
      </c>
      <c r="K1781" s="63"/>
      <c r="L1781" s="59"/>
      <c r="M1781" s="59"/>
      <c r="N1781" s="59"/>
      <c r="O1781" s="60">
        <f t="shared" si="191"/>
        <v>1781</v>
      </c>
    </row>
    <row r="1782" spans="3:15">
      <c r="C1782" s="84" t="s">
        <v>109</v>
      </c>
      <c r="D1782" s="75"/>
      <c r="E1782" s="75"/>
      <c r="F1782" s="81" t="s">
        <v>166</v>
      </c>
      <c r="G1782" s="55" t="s">
        <v>3028</v>
      </c>
      <c r="H1782" s="55" t="s">
        <v>124</v>
      </c>
      <c r="I1782" s="59">
        <v>0.2</v>
      </c>
      <c r="J1782" s="60" t="s">
        <v>3029</v>
      </c>
      <c r="K1782" s="63"/>
      <c r="L1782" s="59"/>
      <c r="M1782" s="59"/>
      <c r="N1782" s="59"/>
      <c r="O1782" s="60">
        <f t="shared" si="191"/>
        <v>1782</v>
      </c>
    </row>
    <row r="1783" spans="3:15">
      <c r="C1783" s="84" t="s">
        <v>109</v>
      </c>
      <c r="D1783" s="75"/>
      <c r="E1783" s="75"/>
      <c r="F1783" s="81" t="s">
        <v>166</v>
      </c>
      <c r="G1783" s="55" t="s">
        <v>3030</v>
      </c>
      <c r="H1783" s="55" t="s">
        <v>124</v>
      </c>
      <c r="I1783" s="59">
        <v>0.3</v>
      </c>
      <c r="J1783" s="60" t="s">
        <v>3031</v>
      </c>
      <c r="K1783" s="63"/>
      <c r="L1783" s="59"/>
      <c r="M1783" s="59"/>
      <c r="N1783" s="59"/>
      <c r="O1783" s="60">
        <f t="shared" si="191"/>
        <v>1783</v>
      </c>
    </row>
    <row r="1784" spans="3:15">
      <c r="C1784" s="84" t="s">
        <v>109</v>
      </c>
      <c r="D1784" s="75"/>
      <c r="E1784" s="75"/>
      <c r="F1784" s="81" t="s">
        <v>166</v>
      </c>
      <c r="G1784" s="55" t="s">
        <v>3032</v>
      </c>
      <c r="H1784" s="55" t="s">
        <v>124</v>
      </c>
      <c r="I1784" s="59">
        <v>0.4</v>
      </c>
      <c r="J1784" s="60" t="s">
        <v>3033</v>
      </c>
      <c r="K1784" s="63"/>
      <c r="L1784" s="59"/>
      <c r="M1784" s="59"/>
      <c r="N1784" s="59"/>
      <c r="O1784" s="60">
        <f t="shared" si="191"/>
        <v>1784</v>
      </c>
    </row>
    <row r="1785" spans="3:15">
      <c r="C1785" s="84" t="s">
        <v>109</v>
      </c>
      <c r="D1785" s="75"/>
      <c r="E1785" s="75"/>
      <c r="F1785" s="81" t="s">
        <v>166</v>
      </c>
      <c r="G1785" s="55" t="s">
        <v>3034</v>
      </c>
      <c r="H1785" s="55" t="s">
        <v>124</v>
      </c>
      <c r="I1785" s="59">
        <v>0.5</v>
      </c>
      <c r="J1785" s="60" t="s">
        <v>3035</v>
      </c>
      <c r="K1785" s="63"/>
      <c r="L1785" s="59"/>
      <c r="M1785" s="59"/>
      <c r="N1785" s="59"/>
      <c r="O1785" s="60">
        <f t="shared" si="191"/>
        <v>1785</v>
      </c>
    </row>
    <row r="1786" spans="3:15">
      <c r="C1786" s="84" t="s">
        <v>109</v>
      </c>
      <c r="D1786" s="75"/>
      <c r="E1786" s="75"/>
      <c r="F1786" s="81" t="s">
        <v>166</v>
      </c>
      <c r="G1786" s="55" t="s">
        <v>3036</v>
      </c>
      <c r="H1786" s="55" t="s">
        <v>124</v>
      </c>
      <c r="I1786" s="59">
        <v>1</v>
      </c>
      <c r="J1786" s="60" t="s">
        <v>3037</v>
      </c>
      <c r="K1786" s="63"/>
      <c r="L1786" s="59"/>
      <c r="M1786" s="59"/>
      <c r="N1786" s="59"/>
      <c r="O1786" s="60">
        <f t="shared" si="191"/>
        <v>1786</v>
      </c>
    </row>
    <row r="1787" spans="3:15">
      <c r="C1787" s="84" t="s">
        <v>109</v>
      </c>
      <c r="D1787" s="75"/>
      <c r="E1787" s="75"/>
      <c r="F1787" s="81" t="s">
        <v>166</v>
      </c>
      <c r="G1787" s="55" t="s">
        <v>3038</v>
      </c>
      <c r="H1787" s="55" t="s">
        <v>124</v>
      </c>
      <c r="I1787" s="59">
        <v>1.1000000000000001</v>
      </c>
      <c r="J1787" s="60" t="s">
        <v>3039</v>
      </c>
      <c r="K1787" s="63"/>
      <c r="L1787" s="59"/>
      <c r="M1787" s="59"/>
      <c r="N1787" s="59"/>
      <c r="O1787" s="60">
        <f t="shared" si="191"/>
        <v>1787</v>
      </c>
    </row>
    <row r="1788" spans="3:15">
      <c r="C1788" s="84" t="s">
        <v>109</v>
      </c>
      <c r="D1788" s="75"/>
      <c r="E1788" s="75"/>
      <c r="F1788" s="81" t="s">
        <v>166</v>
      </c>
      <c r="G1788" s="55" t="s">
        <v>3040</v>
      </c>
      <c r="H1788" s="55" t="s">
        <v>124</v>
      </c>
      <c r="I1788" s="59">
        <v>1.2</v>
      </c>
      <c r="J1788" s="60" t="s">
        <v>3041</v>
      </c>
      <c r="K1788" s="63"/>
      <c r="L1788" s="59"/>
      <c r="M1788" s="59"/>
      <c r="N1788" s="59"/>
      <c r="O1788" s="60">
        <f t="shared" si="191"/>
        <v>1788</v>
      </c>
    </row>
    <row r="1789" spans="3:15">
      <c r="C1789" s="84" t="s">
        <v>109</v>
      </c>
      <c r="D1789" s="75"/>
      <c r="E1789" s="75"/>
      <c r="F1789" s="81" t="s">
        <v>166</v>
      </c>
      <c r="G1789" s="55" t="s">
        <v>3042</v>
      </c>
      <c r="H1789" s="55" t="s">
        <v>124</v>
      </c>
      <c r="I1789" s="59">
        <v>1.3</v>
      </c>
      <c r="J1789" s="60" t="s">
        <v>3043</v>
      </c>
      <c r="K1789" s="63"/>
      <c r="L1789" s="59"/>
      <c r="M1789" s="59"/>
      <c r="N1789" s="59"/>
      <c r="O1789" s="60">
        <f t="shared" si="191"/>
        <v>1789</v>
      </c>
    </row>
    <row r="1790" spans="3:15">
      <c r="C1790" s="84" t="s">
        <v>109</v>
      </c>
      <c r="D1790" s="75"/>
      <c r="E1790" s="75"/>
      <c r="F1790" s="81" t="s">
        <v>166</v>
      </c>
      <c r="G1790" s="55" t="s">
        <v>3044</v>
      </c>
      <c r="H1790" s="55" t="s">
        <v>124</v>
      </c>
      <c r="I1790" s="59">
        <v>1.4</v>
      </c>
      <c r="J1790" s="60" t="s">
        <v>3045</v>
      </c>
      <c r="K1790" s="63"/>
      <c r="L1790" s="59"/>
      <c r="M1790" s="59"/>
      <c r="N1790" s="59"/>
      <c r="O1790" s="60">
        <f t="shared" si="191"/>
        <v>1790</v>
      </c>
    </row>
    <row r="1791" spans="3:15">
      <c r="C1791" s="84" t="s">
        <v>109</v>
      </c>
      <c r="D1791" s="75"/>
      <c r="E1791" s="75"/>
      <c r="F1791" s="81" t="s">
        <v>166</v>
      </c>
      <c r="G1791" s="55" t="s">
        <v>3046</v>
      </c>
      <c r="H1791" s="55" t="s">
        <v>124</v>
      </c>
      <c r="I1791" s="59">
        <v>1.5</v>
      </c>
      <c r="J1791" s="60" t="s">
        <v>3047</v>
      </c>
      <c r="K1791" s="63"/>
      <c r="L1791" s="59"/>
      <c r="M1791" s="59"/>
      <c r="N1791" s="59"/>
      <c r="O1791" s="60">
        <f t="shared" si="191"/>
        <v>1791</v>
      </c>
    </row>
    <row r="1792" spans="3:15">
      <c r="C1792" s="84" t="s">
        <v>109</v>
      </c>
      <c r="D1792" s="75"/>
      <c r="E1792" s="75"/>
      <c r="F1792" s="81" t="s">
        <v>166</v>
      </c>
      <c r="G1792" s="55" t="s">
        <v>3048</v>
      </c>
      <c r="H1792" s="55" t="s">
        <v>124</v>
      </c>
      <c r="I1792" s="59">
        <v>2</v>
      </c>
      <c r="J1792" s="60" t="s">
        <v>3049</v>
      </c>
      <c r="K1792" s="63"/>
      <c r="L1792" s="59"/>
      <c r="M1792" s="59"/>
      <c r="N1792" s="59"/>
      <c r="O1792" s="60">
        <f t="shared" si="191"/>
        <v>1792</v>
      </c>
    </row>
    <row r="1793" spans="3:22">
      <c r="C1793" s="84" t="s">
        <v>109</v>
      </c>
      <c r="D1793" s="75"/>
      <c r="E1793" s="75"/>
      <c r="F1793" s="81" t="s">
        <v>166</v>
      </c>
      <c r="G1793" s="55" t="s">
        <v>3050</v>
      </c>
      <c r="H1793" s="55" t="s">
        <v>124</v>
      </c>
      <c r="I1793" s="59">
        <v>2.1</v>
      </c>
      <c r="J1793" s="60" t="s">
        <v>3051</v>
      </c>
      <c r="K1793" s="63"/>
      <c r="L1793" s="59"/>
      <c r="M1793" s="59"/>
      <c r="N1793" s="59"/>
      <c r="O1793" s="60">
        <f t="shared" si="191"/>
        <v>1793</v>
      </c>
    </row>
    <row r="1794" spans="3:22">
      <c r="C1794" s="84" t="s">
        <v>109</v>
      </c>
      <c r="D1794" s="75"/>
      <c r="E1794" s="75"/>
      <c r="F1794" s="81" t="s">
        <v>166</v>
      </c>
      <c r="G1794" s="55" t="s">
        <v>3052</v>
      </c>
      <c r="H1794" s="55" t="s">
        <v>124</v>
      </c>
      <c r="I1794" s="59">
        <v>2.2000000000000002</v>
      </c>
      <c r="J1794" s="60" t="s">
        <v>3053</v>
      </c>
      <c r="K1794" s="63"/>
      <c r="L1794" s="59"/>
      <c r="M1794" s="59"/>
      <c r="N1794" s="59"/>
      <c r="O1794" s="60">
        <f t="shared" ref="O1794:O1857" si="196">ROW(C1794)</f>
        <v>1794</v>
      </c>
    </row>
    <row r="1795" spans="3:22">
      <c r="C1795" s="84" t="s">
        <v>109</v>
      </c>
      <c r="D1795" s="75"/>
      <c r="E1795" s="75"/>
      <c r="F1795" s="81" t="s">
        <v>166</v>
      </c>
      <c r="G1795" s="55" t="s">
        <v>3054</v>
      </c>
      <c r="H1795" s="55" t="s">
        <v>124</v>
      </c>
      <c r="I1795" s="59">
        <v>2.2999999999999998</v>
      </c>
      <c r="J1795" s="60" t="s">
        <v>3055</v>
      </c>
      <c r="K1795" s="63"/>
      <c r="L1795" s="59"/>
      <c r="M1795" s="59"/>
      <c r="N1795" s="59"/>
      <c r="O1795" s="60">
        <f t="shared" si="196"/>
        <v>1795</v>
      </c>
    </row>
    <row r="1796" spans="3:22">
      <c r="C1796" s="84" t="s">
        <v>109</v>
      </c>
      <c r="D1796" s="75"/>
      <c r="E1796" s="75"/>
      <c r="F1796" s="81" t="s">
        <v>166</v>
      </c>
      <c r="G1796" s="55" t="s">
        <v>3056</v>
      </c>
      <c r="H1796" s="55" t="s">
        <v>124</v>
      </c>
      <c r="I1796" s="59">
        <v>2.4</v>
      </c>
      <c r="J1796" s="60" t="s">
        <v>3057</v>
      </c>
      <c r="K1796" s="63"/>
      <c r="L1796" s="59"/>
      <c r="M1796" s="59"/>
      <c r="N1796" s="59"/>
      <c r="O1796" s="60">
        <f t="shared" si="196"/>
        <v>1796</v>
      </c>
    </row>
    <row r="1797" spans="3:22">
      <c r="C1797" s="84" t="s">
        <v>109</v>
      </c>
      <c r="D1797" s="75"/>
      <c r="E1797" s="75"/>
      <c r="F1797" s="81" t="s">
        <v>166</v>
      </c>
      <c r="G1797" s="55" t="s">
        <v>3058</v>
      </c>
      <c r="H1797" s="55" t="s">
        <v>124</v>
      </c>
      <c r="I1797" s="59">
        <v>2.5</v>
      </c>
      <c r="J1797" s="60" t="s">
        <v>3059</v>
      </c>
      <c r="K1797" s="63"/>
      <c r="L1797" s="59"/>
      <c r="M1797" s="59"/>
      <c r="N1797" s="59"/>
      <c r="O1797" s="60">
        <f t="shared" si="196"/>
        <v>1797</v>
      </c>
    </row>
    <row r="1798" spans="3:22">
      <c r="C1798" s="84" t="s">
        <v>109</v>
      </c>
      <c r="D1798" s="75"/>
      <c r="E1798" s="75"/>
      <c r="F1798" s="81" t="s">
        <v>166</v>
      </c>
      <c r="G1798" s="55" t="s">
        <v>3060</v>
      </c>
      <c r="H1798" s="55" t="s">
        <v>124</v>
      </c>
      <c r="I1798" s="59">
        <v>2.6</v>
      </c>
      <c r="J1798" s="60" t="s">
        <v>3061</v>
      </c>
      <c r="K1798" s="63"/>
      <c r="L1798" s="59"/>
      <c r="M1798" s="59"/>
      <c r="N1798" s="59"/>
      <c r="O1798" s="60">
        <f t="shared" si="196"/>
        <v>1798</v>
      </c>
    </row>
    <row r="1799" spans="3:22">
      <c r="C1799" s="84" t="s">
        <v>109</v>
      </c>
      <c r="D1799" s="75"/>
      <c r="E1799" s="75"/>
      <c r="F1799" s="81" t="s">
        <v>166</v>
      </c>
      <c r="G1799" s="55" t="s">
        <v>3062</v>
      </c>
      <c r="H1799" s="55" t="s">
        <v>124</v>
      </c>
      <c r="I1799" s="59">
        <v>2.7</v>
      </c>
      <c r="J1799" s="60" t="s">
        <v>3063</v>
      </c>
      <c r="K1799" s="63"/>
      <c r="L1799" s="59"/>
      <c r="M1799" s="59"/>
      <c r="N1799" s="59"/>
      <c r="O1799" s="60">
        <f t="shared" si="196"/>
        <v>1799</v>
      </c>
    </row>
    <row r="1800" spans="3:22">
      <c r="C1800" s="84" t="s">
        <v>109</v>
      </c>
      <c r="D1800" s="75"/>
      <c r="E1800" s="75"/>
      <c r="F1800" s="81" t="s">
        <v>166</v>
      </c>
      <c r="G1800" s="55" t="s">
        <v>3064</v>
      </c>
      <c r="H1800" s="55" t="s">
        <v>124</v>
      </c>
      <c r="I1800" s="59">
        <v>2.8</v>
      </c>
      <c r="J1800" s="60" t="s">
        <v>3065</v>
      </c>
      <c r="K1800" s="63"/>
      <c r="L1800" s="59"/>
      <c r="M1800" s="59"/>
      <c r="N1800" s="59"/>
      <c r="O1800" s="60">
        <f t="shared" si="196"/>
        <v>1800</v>
      </c>
    </row>
    <row r="1801" spans="3:22">
      <c r="C1801" s="84" t="s">
        <v>109</v>
      </c>
      <c r="D1801" s="75"/>
      <c r="E1801" s="75"/>
      <c r="F1801" s="81" t="s">
        <v>166</v>
      </c>
      <c r="G1801" s="55" t="s">
        <v>3066</v>
      </c>
      <c r="H1801" s="55" t="s">
        <v>124</v>
      </c>
      <c r="I1801" s="59">
        <v>2.9</v>
      </c>
      <c r="J1801" s="60" t="s">
        <v>3067</v>
      </c>
      <c r="K1801" s="63"/>
      <c r="L1801" s="59"/>
      <c r="M1801" s="59"/>
      <c r="N1801" s="59"/>
      <c r="O1801" s="60">
        <f t="shared" si="196"/>
        <v>1801</v>
      </c>
    </row>
    <row r="1802" spans="3:22">
      <c r="C1802" s="84" t="s">
        <v>109</v>
      </c>
      <c r="D1802" s="75"/>
      <c r="E1802" s="75"/>
      <c r="F1802" s="81" t="s">
        <v>166</v>
      </c>
      <c r="G1802" s="55" t="s">
        <v>3068</v>
      </c>
      <c r="H1802" s="55" t="s">
        <v>124</v>
      </c>
      <c r="I1802" s="59" t="s">
        <v>1272</v>
      </c>
      <c r="J1802" s="60" t="s">
        <v>3069</v>
      </c>
      <c r="K1802" s="63"/>
      <c r="L1802" s="59"/>
      <c r="M1802" s="59"/>
      <c r="N1802" s="59"/>
      <c r="O1802" s="60">
        <f t="shared" si="196"/>
        <v>1802</v>
      </c>
    </row>
    <row r="1803" spans="3:22">
      <c r="C1803" s="84" t="s">
        <v>109</v>
      </c>
      <c r="D1803" s="75"/>
      <c r="E1803" s="75"/>
      <c r="F1803" s="81" t="s">
        <v>166</v>
      </c>
      <c r="G1803" s="55" t="s">
        <v>3070</v>
      </c>
      <c r="H1803" s="55" t="s">
        <v>124</v>
      </c>
      <c r="I1803" s="59" t="s">
        <v>1275</v>
      </c>
      <c r="J1803" s="60" t="s">
        <v>3071</v>
      </c>
      <c r="K1803" s="63"/>
      <c r="L1803" s="59"/>
      <c r="M1803" s="59"/>
      <c r="N1803" s="59"/>
      <c r="O1803" s="60">
        <f t="shared" si="196"/>
        <v>1803</v>
      </c>
    </row>
    <row r="1804" spans="3:22">
      <c r="C1804" s="84" t="s">
        <v>109</v>
      </c>
      <c r="D1804" s="75"/>
      <c r="E1804" s="75"/>
      <c r="F1804" s="81" t="s">
        <v>166</v>
      </c>
      <c r="G1804" s="55" t="s">
        <v>3072</v>
      </c>
      <c r="H1804" s="55" t="s">
        <v>124</v>
      </c>
      <c r="I1804" s="59" t="s">
        <v>1278</v>
      </c>
      <c r="J1804" s="60" t="s">
        <v>3073</v>
      </c>
      <c r="K1804" s="63"/>
      <c r="L1804" s="59"/>
      <c r="M1804" s="59"/>
      <c r="N1804" s="59"/>
      <c r="O1804" s="60">
        <f t="shared" si="196"/>
        <v>1804</v>
      </c>
    </row>
    <row r="1805" spans="3:22">
      <c r="C1805" s="84" t="s">
        <v>109</v>
      </c>
      <c r="D1805" s="75"/>
      <c r="E1805" s="75"/>
      <c r="F1805" s="81" t="s">
        <v>166</v>
      </c>
      <c r="G1805" s="55" t="s">
        <v>3074</v>
      </c>
      <c r="H1805" s="55" t="s">
        <v>124</v>
      </c>
      <c r="I1805" s="59" t="s">
        <v>1409</v>
      </c>
      <c r="J1805" s="60" t="s">
        <v>3075</v>
      </c>
      <c r="K1805" s="63"/>
      <c r="L1805" s="59"/>
      <c r="M1805" s="59"/>
      <c r="N1805" s="59"/>
      <c r="O1805" s="60">
        <f t="shared" si="196"/>
        <v>1805</v>
      </c>
      <c r="P1805" s="65"/>
    </row>
    <row r="1806" spans="3:22">
      <c r="C1806" s="84" t="s">
        <v>110</v>
      </c>
      <c r="D1806" s="76">
        <v>44</v>
      </c>
      <c r="E1806" s="76">
        <v>4</v>
      </c>
      <c r="F1806" s="82" t="s">
        <v>14</v>
      </c>
      <c r="G1806" s="55" t="s">
        <v>2606</v>
      </c>
      <c r="H1806" s="55" t="s">
        <v>124</v>
      </c>
      <c r="I1806" s="59">
        <v>0</v>
      </c>
      <c r="J1806" s="60" t="s">
        <v>1036</v>
      </c>
      <c r="K1806" s="63" t="str">
        <f t="shared" si="193"/>
        <v>XBF-HO02AInput</v>
      </c>
      <c r="L1806" s="59">
        <f t="shared" ref="L1806:L1842" si="197">COUNTIF($C$2:$C$2062,C1806)</f>
        <v>61</v>
      </c>
      <c r="M1806" s="59">
        <f t="shared" ref="M1806:M1842" si="198">COUNTIF($K$2:$K$2062,K1806)</f>
        <v>37</v>
      </c>
      <c r="N1806" s="59">
        <f t="shared" ref="N1806:N1842" si="199">L1806-M1806</f>
        <v>24</v>
      </c>
      <c r="O1806" s="60">
        <f t="shared" si="196"/>
        <v>1806</v>
      </c>
      <c r="P1806" s="65" t="s">
        <v>3214</v>
      </c>
      <c r="Q1806">
        <f>O1806</f>
        <v>1806</v>
      </c>
      <c r="R1806" t="s">
        <v>3215</v>
      </c>
      <c r="S1806">
        <v>1867</v>
      </c>
      <c r="T1806" t="str">
        <f>P1806&amp;Q1806&amp;R1806&amp;S1806</f>
        <v>All data map'!$F$1806:$J$1867</v>
      </c>
      <c r="V1806" t="s">
        <v>3290</v>
      </c>
    </row>
    <row r="1807" spans="3:22">
      <c r="C1807" s="84" t="s">
        <v>110</v>
      </c>
      <c r="D1807" s="75"/>
      <c r="E1807" s="75"/>
      <c r="F1807" s="81" t="s">
        <v>151</v>
      </c>
      <c r="G1807" s="55" t="s">
        <v>2607</v>
      </c>
      <c r="H1807" s="55" t="s">
        <v>124</v>
      </c>
      <c r="I1807" s="59">
        <v>0.1</v>
      </c>
      <c r="J1807" s="60" t="s">
        <v>1038</v>
      </c>
      <c r="K1807" s="63" t="str">
        <f t="shared" si="193"/>
        <v>XBF-HO02AInput</v>
      </c>
      <c r="L1807" s="59">
        <f t="shared" si="197"/>
        <v>61</v>
      </c>
      <c r="M1807" s="59">
        <f t="shared" si="198"/>
        <v>37</v>
      </c>
      <c r="N1807" s="59">
        <f t="shared" si="199"/>
        <v>24</v>
      </c>
      <c r="O1807" s="60">
        <f t="shared" si="196"/>
        <v>1807</v>
      </c>
    </row>
    <row r="1808" spans="3:22">
      <c r="C1808" s="84" t="s">
        <v>110</v>
      </c>
      <c r="D1808" s="75"/>
      <c r="E1808" s="75"/>
      <c r="F1808" s="81" t="s">
        <v>151</v>
      </c>
      <c r="G1808" s="55" t="s">
        <v>2608</v>
      </c>
      <c r="H1808" s="55" t="s">
        <v>124</v>
      </c>
      <c r="I1808" s="59">
        <v>0.3</v>
      </c>
      <c r="J1808" s="60" t="s">
        <v>1040</v>
      </c>
      <c r="K1808" s="63" t="str">
        <f t="shared" si="193"/>
        <v>XBF-HO02AInput</v>
      </c>
      <c r="L1808" s="59">
        <f t="shared" si="197"/>
        <v>61</v>
      </c>
      <c r="M1808" s="59">
        <f t="shared" si="198"/>
        <v>37</v>
      </c>
      <c r="N1808" s="59">
        <f t="shared" si="199"/>
        <v>24</v>
      </c>
      <c r="O1808" s="60">
        <f t="shared" si="196"/>
        <v>1808</v>
      </c>
    </row>
    <row r="1809" spans="3:15">
      <c r="C1809" s="84" t="s">
        <v>110</v>
      </c>
      <c r="D1809" s="75"/>
      <c r="E1809" s="75"/>
      <c r="F1809" s="81" t="s">
        <v>151</v>
      </c>
      <c r="G1809" s="55" t="s">
        <v>2609</v>
      </c>
      <c r="H1809" s="55" t="s">
        <v>124</v>
      </c>
      <c r="I1809" s="59">
        <v>0.4</v>
      </c>
      <c r="J1809" s="60" t="s">
        <v>1042</v>
      </c>
      <c r="K1809" s="63" t="str">
        <f t="shared" si="193"/>
        <v>XBF-HO02AInput</v>
      </c>
      <c r="L1809" s="59">
        <f t="shared" si="197"/>
        <v>61</v>
      </c>
      <c r="M1809" s="59">
        <f t="shared" si="198"/>
        <v>37</v>
      </c>
      <c r="N1809" s="59">
        <f t="shared" si="199"/>
        <v>24</v>
      </c>
      <c r="O1809" s="60">
        <f t="shared" si="196"/>
        <v>1809</v>
      </c>
    </row>
    <row r="1810" spans="3:15">
      <c r="C1810" s="84" t="s">
        <v>110</v>
      </c>
      <c r="D1810" s="75"/>
      <c r="E1810" s="75"/>
      <c r="F1810" s="81" t="s">
        <v>151</v>
      </c>
      <c r="G1810" s="55" t="s">
        <v>2610</v>
      </c>
      <c r="H1810" s="55" t="s">
        <v>124</v>
      </c>
      <c r="I1810" s="59">
        <v>0.5</v>
      </c>
      <c r="J1810" s="60" t="s">
        <v>1044</v>
      </c>
      <c r="K1810" s="63" t="str">
        <f t="shared" si="193"/>
        <v>XBF-HO02AInput</v>
      </c>
      <c r="L1810" s="59">
        <f t="shared" si="197"/>
        <v>61</v>
      </c>
      <c r="M1810" s="59">
        <f t="shared" si="198"/>
        <v>37</v>
      </c>
      <c r="N1810" s="59">
        <f t="shared" si="199"/>
        <v>24</v>
      </c>
      <c r="O1810" s="60">
        <f t="shared" si="196"/>
        <v>1810</v>
      </c>
    </row>
    <row r="1811" spans="3:15">
      <c r="C1811" s="84" t="s">
        <v>110</v>
      </c>
      <c r="D1811" s="75"/>
      <c r="E1811" s="75"/>
      <c r="F1811" s="81" t="s">
        <v>151</v>
      </c>
      <c r="G1811" s="55" t="s">
        <v>2611</v>
      </c>
      <c r="H1811" s="55" t="s">
        <v>124</v>
      </c>
      <c r="I1811" s="59">
        <v>0.6</v>
      </c>
      <c r="J1811" s="60" t="s">
        <v>1046</v>
      </c>
      <c r="K1811" s="63" t="str">
        <f t="shared" si="193"/>
        <v>XBF-HO02AInput</v>
      </c>
      <c r="L1811" s="59">
        <f t="shared" si="197"/>
        <v>61</v>
      </c>
      <c r="M1811" s="59">
        <f t="shared" si="198"/>
        <v>37</v>
      </c>
      <c r="N1811" s="59">
        <f t="shared" si="199"/>
        <v>24</v>
      </c>
      <c r="O1811" s="60">
        <f t="shared" si="196"/>
        <v>1811</v>
      </c>
    </row>
    <row r="1812" spans="3:15">
      <c r="C1812" s="84" t="s">
        <v>110</v>
      </c>
      <c r="D1812" s="75"/>
      <c r="E1812" s="75"/>
      <c r="F1812" s="81" t="s">
        <v>151</v>
      </c>
      <c r="G1812" s="55" t="s">
        <v>2612</v>
      </c>
      <c r="H1812" s="55" t="s">
        <v>124</v>
      </c>
      <c r="I1812" s="59">
        <v>0.7</v>
      </c>
      <c r="J1812" s="60" t="s">
        <v>1048</v>
      </c>
      <c r="K1812" s="63" t="str">
        <f t="shared" si="193"/>
        <v>XBF-HO02AInput</v>
      </c>
      <c r="L1812" s="59">
        <f t="shared" si="197"/>
        <v>61</v>
      </c>
      <c r="M1812" s="59">
        <f t="shared" si="198"/>
        <v>37</v>
      </c>
      <c r="N1812" s="59">
        <f t="shared" si="199"/>
        <v>24</v>
      </c>
      <c r="O1812" s="60">
        <f t="shared" si="196"/>
        <v>1812</v>
      </c>
    </row>
    <row r="1813" spans="3:15">
      <c r="C1813" s="84" t="s">
        <v>110</v>
      </c>
      <c r="D1813" s="75"/>
      <c r="E1813" s="75"/>
      <c r="F1813" s="81" t="s">
        <v>151</v>
      </c>
      <c r="G1813" s="55" t="s">
        <v>2613</v>
      </c>
      <c r="H1813" s="55" t="s">
        <v>124</v>
      </c>
      <c r="I1813" s="59" t="s">
        <v>1050</v>
      </c>
      <c r="J1813" s="60" t="s">
        <v>1051</v>
      </c>
      <c r="K1813" s="63" t="str">
        <f t="shared" ref="K1813:K1876" si="200">C1813&amp;F1813</f>
        <v>XBF-HO02AInput</v>
      </c>
      <c r="L1813" s="59">
        <f t="shared" si="197"/>
        <v>61</v>
      </c>
      <c r="M1813" s="59">
        <f t="shared" si="198"/>
        <v>37</v>
      </c>
      <c r="N1813" s="59">
        <f t="shared" si="199"/>
        <v>24</v>
      </c>
      <c r="O1813" s="60">
        <f t="shared" si="196"/>
        <v>1813</v>
      </c>
    </row>
    <row r="1814" spans="3:15">
      <c r="C1814" s="84" t="s">
        <v>110</v>
      </c>
      <c r="D1814" s="75"/>
      <c r="E1814" s="75"/>
      <c r="F1814" s="81" t="s">
        <v>151</v>
      </c>
      <c r="G1814" s="55" t="s">
        <v>2614</v>
      </c>
      <c r="H1814" s="55" t="s">
        <v>124</v>
      </c>
      <c r="I1814" s="59" t="s">
        <v>126</v>
      </c>
      <c r="J1814" s="60" t="s">
        <v>1053</v>
      </c>
      <c r="K1814" s="63" t="str">
        <f t="shared" si="200"/>
        <v>XBF-HO02AInput</v>
      </c>
      <c r="L1814" s="59">
        <f t="shared" si="197"/>
        <v>61</v>
      </c>
      <c r="M1814" s="59">
        <f t="shared" si="198"/>
        <v>37</v>
      </c>
      <c r="N1814" s="59">
        <f t="shared" si="199"/>
        <v>24</v>
      </c>
      <c r="O1814" s="60">
        <f t="shared" si="196"/>
        <v>1814</v>
      </c>
    </row>
    <row r="1815" spans="3:15">
      <c r="C1815" s="84" t="s">
        <v>110</v>
      </c>
      <c r="D1815" s="75"/>
      <c r="E1815" s="75"/>
      <c r="F1815" s="81" t="s">
        <v>151</v>
      </c>
      <c r="G1815" s="55" t="s">
        <v>2615</v>
      </c>
      <c r="H1815" s="55" t="s">
        <v>124</v>
      </c>
      <c r="I1815" s="59">
        <v>1</v>
      </c>
      <c r="J1815" s="60" t="s">
        <v>1055</v>
      </c>
      <c r="K1815" s="63" t="str">
        <f t="shared" si="200"/>
        <v>XBF-HO02AInput</v>
      </c>
      <c r="L1815" s="59">
        <f t="shared" si="197"/>
        <v>61</v>
      </c>
      <c r="M1815" s="59">
        <f t="shared" si="198"/>
        <v>37</v>
      </c>
      <c r="N1815" s="59">
        <f t="shared" si="199"/>
        <v>24</v>
      </c>
      <c r="O1815" s="60">
        <f t="shared" si="196"/>
        <v>1815</v>
      </c>
    </row>
    <row r="1816" spans="3:15">
      <c r="C1816" s="84" t="s">
        <v>110</v>
      </c>
      <c r="D1816" s="75"/>
      <c r="E1816" s="75"/>
      <c r="F1816" s="81" t="s">
        <v>151</v>
      </c>
      <c r="G1816" s="55" t="s">
        <v>2616</v>
      </c>
      <c r="H1816" s="55" t="s">
        <v>124</v>
      </c>
      <c r="I1816" s="59">
        <v>1.1000000000000001</v>
      </c>
      <c r="J1816" s="60" t="s">
        <v>1057</v>
      </c>
      <c r="K1816" s="63" t="str">
        <f t="shared" si="200"/>
        <v>XBF-HO02AInput</v>
      </c>
      <c r="L1816" s="59">
        <f t="shared" si="197"/>
        <v>61</v>
      </c>
      <c r="M1816" s="59">
        <f t="shared" si="198"/>
        <v>37</v>
      </c>
      <c r="N1816" s="59">
        <f t="shared" si="199"/>
        <v>24</v>
      </c>
      <c r="O1816" s="60">
        <f t="shared" si="196"/>
        <v>1816</v>
      </c>
    </row>
    <row r="1817" spans="3:15">
      <c r="C1817" s="84" t="s">
        <v>110</v>
      </c>
      <c r="D1817" s="75"/>
      <c r="E1817" s="75"/>
      <c r="F1817" s="81" t="s">
        <v>151</v>
      </c>
      <c r="G1817" s="55" t="s">
        <v>2617</v>
      </c>
      <c r="H1817" s="55" t="s">
        <v>124</v>
      </c>
      <c r="I1817" s="59">
        <v>1.3</v>
      </c>
      <c r="J1817" s="60" t="s">
        <v>1059</v>
      </c>
      <c r="K1817" s="63" t="str">
        <f t="shared" si="200"/>
        <v>XBF-HO02AInput</v>
      </c>
      <c r="L1817" s="59">
        <f t="shared" si="197"/>
        <v>61</v>
      </c>
      <c r="M1817" s="59">
        <f t="shared" si="198"/>
        <v>37</v>
      </c>
      <c r="N1817" s="59">
        <f t="shared" si="199"/>
        <v>24</v>
      </c>
      <c r="O1817" s="60">
        <f t="shared" si="196"/>
        <v>1817</v>
      </c>
    </row>
    <row r="1818" spans="3:15">
      <c r="C1818" s="84" t="s">
        <v>110</v>
      </c>
      <c r="D1818" s="75"/>
      <c r="E1818" s="75"/>
      <c r="F1818" s="81" t="s">
        <v>151</v>
      </c>
      <c r="G1818" s="55" t="s">
        <v>2618</v>
      </c>
      <c r="H1818" s="55" t="s">
        <v>124</v>
      </c>
      <c r="I1818" s="59">
        <v>1.4</v>
      </c>
      <c r="J1818" s="60" t="s">
        <v>1061</v>
      </c>
      <c r="K1818" s="63" t="str">
        <f t="shared" si="200"/>
        <v>XBF-HO02AInput</v>
      </c>
      <c r="L1818" s="59">
        <f t="shared" si="197"/>
        <v>61</v>
      </c>
      <c r="M1818" s="59">
        <f t="shared" si="198"/>
        <v>37</v>
      </c>
      <c r="N1818" s="59">
        <f t="shared" si="199"/>
        <v>24</v>
      </c>
      <c r="O1818" s="60">
        <f t="shared" si="196"/>
        <v>1818</v>
      </c>
    </row>
    <row r="1819" spans="3:15">
      <c r="C1819" s="84" t="s">
        <v>110</v>
      </c>
      <c r="D1819" s="75"/>
      <c r="E1819" s="75"/>
      <c r="F1819" s="81" t="s">
        <v>151</v>
      </c>
      <c r="G1819" s="55" t="s">
        <v>2619</v>
      </c>
      <c r="H1819" s="55" t="s">
        <v>124</v>
      </c>
      <c r="I1819" s="59">
        <v>1.5</v>
      </c>
      <c r="J1819" s="60" t="s">
        <v>1063</v>
      </c>
      <c r="K1819" s="63" t="str">
        <f t="shared" si="200"/>
        <v>XBF-HO02AInput</v>
      </c>
      <c r="L1819" s="59">
        <f t="shared" si="197"/>
        <v>61</v>
      </c>
      <c r="M1819" s="59">
        <f t="shared" si="198"/>
        <v>37</v>
      </c>
      <c r="N1819" s="59">
        <f t="shared" si="199"/>
        <v>24</v>
      </c>
      <c r="O1819" s="60">
        <f t="shared" si="196"/>
        <v>1819</v>
      </c>
    </row>
    <row r="1820" spans="3:15">
      <c r="C1820" s="84" t="s">
        <v>110</v>
      </c>
      <c r="D1820" s="75"/>
      <c r="E1820" s="75"/>
      <c r="F1820" s="81" t="s">
        <v>151</v>
      </c>
      <c r="G1820" s="55" t="s">
        <v>2620</v>
      </c>
      <c r="H1820" s="55" t="s">
        <v>124</v>
      </c>
      <c r="I1820" s="59">
        <v>1.6</v>
      </c>
      <c r="J1820" s="60" t="s">
        <v>1065</v>
      </c>
      <c r="K1820" s="63" t="str">
        <f t="shared" si="200"/>
        <v>XBF-HO02AInput</v>
      </c>
      <c r="L1820" s="59">
        <f t="shared" si="197"/>
        <v>61</v>
      </c>
      <c r="M1820" s="59">
        <f t="shared" si="198"/>
        <v>37</v>
      </c>
      <c r="N1820" s="59">
        <f t="shared" si="199"/>
        <v>24</v>
      </c>
      <c r="O1820" s="60">
        <f t="shared" si="196"/>
        <v>1820</v>
      </c>
    </row>
    <row r="1821" spans="3:15">
      <c r="C1821" s="84" t="s">
        <v>110</v>
      </c>
      <c r="D1821" s="75"/>
      <c r="E1821" s="75"/>
      <c r="F1821" s="81" t="s">
        <v>151</v>
      </c>
      <c r="G1821" s="55" t="s">
        <v>2621</v>
      </c>
      <c r="H1821" s="55" t="s">
        <v>124</v>
      </c>
      <c r="I1821" s="59">
        <v>1.7</v>
      </c>
      <c r="J1821" s="60" t="s">
        <v>1067</v>
      </c>
      <c r="K1821" s="63" t="str">
        <f t="shared" si="200"/>
        <v>XBF-HO02AInput</v>
      </c>
      <c r="L1821" s="59">
        <f t="shared" si="197"/>
        <v>61</v>
      </c>
      <c r="M1821" s="59">
        <f t="shared" si="198"/>
        <v>37</v>
      </c>
      <c r="N1821" s="59">
        <f t="shared" si="199"/>
        <v>24</v>
      </c>
      <c r="O1821" s="60">
        <f t="shared" si="196"/>
        <v>1821</v>
      </c>
    </row>
    <row r="1822" spans="3:15">
      <c r="C1822" s="84" t="s">
        <v>110</v>
      </c>
      <c r="D1822" s="75"/>
      <c r="E1822" s="75"/>
      <c r="F1822" s="81" t="s">
        <v>151</v>
      </c>
      <c r="G1822" s="55" t="s">
        <v>2622</v>
      </c>
      <c r="H1822" s="55" t="s">
        <v>124</v>
      </c>
      <c r="I1822" s="59" t="s">
        <v>207</v>
      </c>
      <c r="J1822" s="60" t="s">
        <v>1069</v>
      </c>
      <c r="K1822" s="63" t="str">
        <f t="shared" si="200"/>
        <v>XBF-HO02AInput</v>
      </c>
      <c r="L1822" s="59">
        <f t="shared" si="197"/>
        <v>61</v>
      </c>
      <c r="M1822" s="59">
        <f t="shared" si="198"/>
        <v>37</v>
      </c>
      <c r="N1822" s="59">
        <f t="shared" si="199"/>
        <v>24</v>
      </c>
      <c r="O1822" s="60">
        <f t="shared" si="196"/>
        <v>1822</v>
      </c>
    </row>
    <row r="1823" spans="3:15">
      <c r="C1823" s="84" t="s">
        <v>110</v>
      </c>
      <c r="D1823" s="75"/>
      <c r="E1823" s="75"/>
      <c r="F1823" s="81" t="s">
        <v>151</v>
      </c>
      <c r="G1823" s="55" t="s">
        <v>2623</v>
      </c>
      <c r="H1823" s="55" t="s">
        <v>139</v>
      </c>
      <c r="I1823" s="59">
        <v>2</v>
      </c>
      <c r="J1823" s="60" t="s">
        <v>1071</v>
      </c>
      <c r="K1823" s="63" t="str">
        <f t="shared" si="200"/>
        <v>XBF-HO02AInput</v>
      </c>
      <c r="L1823" s="59">
        <f t="shared" si="197"/>
        <v>61</v>
      </c>
      <c r="M1823" s="59">
        <f t="shared" si="198"/>
        <v>37</v>
      </c>
      <c r="N1823" s="59">
        <f t="shared" si="199"/>
        <v>24</v>
      </c>
      <c r="O1823" s="60">
        <f t="shared" si="196"/>
        <v>1823</v>
      </c>
    </row>
    <row r="1824" spans="3:15">
      <c r="C1824" s="84" t="s">
        <v>110</v>
      </c>
      <c r="D1824" s="75"/>
      <c r="E1824" s="75"/>
      <c r="F1824" s="81" t="s">
        <v>151</v>
      </c>
      <c r="G1824" s="55" t="s">
        <v>2624</v>
      </c>
      <c r="H1824" s="55" t="s">
        <v>139</v>
      </c>
      <c r="I1824" s="59">
        <v>3</v>
      </c>
      <c r="J1824" s="60" t="s">
        <v>1073</v>
      </c>
      <c r="K1824" s="63" t="str">
        <f t="shared" si="200"/>
        <v>XBF-HO02AInput</v>
      </c>
      <c r="L1824" s="59">
        <f t="shared" si="197"/>
        <v>61</v>
      </c>
      <c r="M1824" s="59">
        <f t="shared" si="198"/>
        <v>37</v>
      </c>
      <c r="N1824" s="59">
        <f t="shared" si="199"/>
        <v>24</v>
      </c>
      <c r="O1824" s="60">
        <f t="shared" si="196"/>
        <v>1824</v>
      </c>
    </row>
    <row r="1825" spans="3:15">
      <c r="C1825" s="84" t="s">
        <v>110</v>
      </c>
      <c r="D1825" s="75"/>
      <c r="E1825" s="75"/>
      <c r="F1825" s="81" t="s">
        <v>151</v>
      </c>
      <c r="G1825" s="55" t="s">
        <v>2625</v>
      </c>
      <c r="H1825" s="55" t="s">
        <v>139</v>
      </c>
      <c r="I1825" s="59">
        <v>4</v>
      </c>
      <c r="J1825" s="60" t="s">
        <v>1075</v>
      </c>
      <c r="K1825" s="63" t="str">
        <f t="shared" si="200"/>
        <v>XBF-HO02AInput</v>
      </c>
      <c r="L1825" s="59">
        <f t="shared" si="197"/>
        <v>61</v>
      </c>
      <c r="M1825" s="59">
        <f t="shared" si="198"/>
        <v>37</v>
      </c>
      <c r="N1825" s="59">
        <f t="shared" si="199"/>
        <v>24</v>
      </c>
      <c r="O1825" s="60">
        <f t="shared" si="196"/>
        <v>1825</v>
      </c>
    </row>
    <row r="1826" spans="3:15">
      <c r="C1826" s="84" t="s">
        <v>110</v>
      </c>
      <c r="D1826" s="75"/>
      <c r="E1826" s="75"/>
      <c r="F1826" s="81" t="s">
        <v>151</v>
      </c>
      <c r="G1826" s="55" t="s">
        <v>2626</v>
      </c>
      <c r="H1826" s="55" t="s">
        <v>139</v>
      </c>
      <c r="I1826" s="59">
        <v>5</v>
      </c>
      <c r="J1826" s="60" t="s">
        <v>1077</v>
      </c>
      <c r="K1826" s="63" t="str">
        <f t="shared" si="200"/>
        <v>XBF-HO02AInput</v>
      </c>
      <c r="L1826" s="59">
        <f t="shared" si="197"/>
        <v>61</v>
      </c>
      <c r="M1826" s="59">
        <f t="shared" si="198"/>
        <v>37</v>
      </c>
      <c r="N1826" s="59">
        <f t="shared" si="199"/>
        <v>24</v>
      </c>
      <c r="O1826" s="60">
        <f t="shared" si="196"/>
        <v>1826</v>
      </c>
    </row>
    <row r="1827" spans="3:15">
      <c r="C1827" s="84" t="s">
        <v>110</v>
      </c>
      <c r="D1827" s="75"/>
      <c r="E1827" s="75"/>
      <c r="F1827" s="81" t="s">
        <v>151</v>
      </c>
      <c r="G1827" s="55" t="s">
        <v>2627</v>
      </c>
      <c r="H1827" s="55" t="s">
        <v>139</v>
      </c>
      <c r="I1827" s="59">
        <v>6</v>
      </c>
      <c r="J1827" s="60" t="s">
        <v>1079</v>
      </c>
      <c r="K1827" s="63" t="str">
        <f t="shared" si="200"/>
        <v>XBF-HO02AInput</v>
      </c>
      <c r="L1827" s="59">
        <f t="shared" si="197"/>
        <v>61</v>
      </c>
      <c r="M1827" s="59">
        <f t="shared" si="198"/>
        <v>37</v>
      </c>
      <c r="N1827" s="59">
        <f t="shared" si="199"/>
        <v>24</v>
      </c>
      <c r="O1827" s="60">
        <f t="shared" si="196"/>
        <v>1827</v>
      </c>
    </row>
    <row r="1828" spans="3:15">
      <c r="C1828" s="84" t="s">
        <v>110</v>
      </c>
      <c r="D1828" s="75"/>
      <c r="E1828" s="75"/>
      <c r="F1828" s="81" t="s">
        <v>151</v>
      </c>
      <c r="G1828" s="55" t="s">
        <v>2628</v>
      </c>
      <c r="H1828" s="55" t="s">
        <v>139</v>
      </c>
      <c r="I1828" s="59">
        <v>7</v>
      </c>
      <c r="J1828" s="60" t="s">
        <v>1081</v>
      </c>
      <c r="K1828" s="63" t="str">
        <f t="shared" si="200"/>
        <v>XBF-HO02AInput</v>
      </c>
      <c r="L1828" s="59">
        <f t="shared" si="197"/>
        <v>61</v>
      </c>
      <c r="M1828" s="59">
        <f t="shared" si="198"/>
        <v>37</v>
      </c>
      <c r="N1828" s="59">
        <f t="shared" si="199"/>
        <v>24</v>
      </c>
      <c r="O1828" s="60">
        <f t="shared" si="196"/>
        <v>1828</v>
      </c>
    </row>
    <row r="1829" spans="3:15">
      <c r="C1829" s="84" t="s">
        <v>110</v>
      </c>
      <c r="D1829" s="75"/>
      <c r="E1829" s="75"/>
      <c r="F1829" s="81" t="s">
        <v>151</v>
      </c>
      <c r="G1829" s="55" t="s">
        <v>2629</v>
      </c>
      <c r="H1829" s="55" t="s">
        <v>139</v>
      </c>
      <c r="I1829" s="59">
        <v>8</v>
      </c>
      <c r="J1829" s="60" t="s">
        <v>1083</v>
      </c>
      <c r="K1829" s="63" t="str">
        <f t="shared" si="200"/>
        <v>XBF-HO02AInput</v>
      </c>
      <c r="L1829" s="59">
        <f t="shared" si="197"/>
        <v>61</v>
      </c>
      <c r="M1829" s="59">
        <f t="shared" si="198"/>
        <v>37</v>
      </c>
      <c r="N1829" s="59">
        <f t="shared" si="199"/>
        <v>24</v>
      </c>
      <c r="O1829" s="60">
        <f t="shared" si="196"/>
        <v>1829</v>
      </c>
    </row>
    <row r="1830" spans="3:15">
      <c r="C1830" s="84" t="s">
        <v>110</v>
      </c>
      <c r="D1830" s="75"/>
      <c r="E1830" s="75"/>
      <c r="F1830" s="81" t="s">
        <v>151</v>
      </c>
      <c r="G1830" s="55" t="s">
        <v>2630</v>
      </c>
      <c r="H1830" s="55" t="s">
        <v>139</v>
      </c>
      <c r="I1830" s="59">
        <v>9</v>
      </c>
      <c r="J1830" s="60" t="s">
        <v>1085</v>
      </c>
      <c r="K1830" s="63" t="str">
        <f t="shared" si="200"/>
        <v>XBF-HO02AInput</v>
      </c>
      <c r="L1830" s="59">
        <f t="shared" si="197"/>
        <v>61</v>
      </c>
      <c r="M1830" s="59">
        <f t="shared" si="198"/>
        <v>37</v>
      </c>
      <c r="N1830" s="59">
        <f t="shared" si="199"/>
        <v>24</v>
      </c>
      <c r="O1830" s="60">
        <f t="shared" si="196"/>
        <v>1830</v>
      </c>
    </row>
    <row r="1831" spans="3:15">
      <c r="C1831" s="84" t="s">
        <v>110</v>
      </c>
      <c r="D1831" s="75"/>
      <c r="E1831" s="75"/>
      <c r="F1831" s="81" t="s">
        <v>151</v>
      </c>
      <c r="G1831" s="55" t="s">
        <v>2631</v>
      </c>
      <c r="H1831" s="55" t="s">
        <v>139</v>
      </c>
      <c r="I1831" s="59">
        <v>10</v>
      </c>
      <c r="J1831" s="60" t="s">
        <v>1087</v>
      </c>
      <c r="K1831" s="63" t="str">
        <f t="shared" si="200"/>
        <v>XBF-HO02AInput</v>
      </c>
      <c r="L1831" s="59">
        <f t="shared" si="197"/>
        <v>61</v>
      </c>
      <c r="M1831" s="59">
        <f t="shared" si="198"/>
        <v>37</v>
      </c>
      <c r="N1831" s="59">
        <f t="shared" si="199"/>
        <v>24</v>
      </c>
      <c r="O1831" s="60">
        <f t="shared" si="196"/>
        <v>1831</v>
      </c>
    </row>
    <row r="1832" spans="3:15">
      <c r="C1832" s="84" t="s">
        <v>110</v>
      </c>
      <c r="D1832" s="75"/>
      <c r="E1832" s="75"/>
      <c r="F1832" s="81" t="s">
        <v>151</v>
      </c>
      <c r="G1832" s="55" t="s">
        <v>2632</v>
      </c>
      <c r="H1832" s="55" t="s">
        <v>139</v>
      </c>
      <c r="I1832" s="59">
        <v>11</v>
      </c>
      <c r="J1832" s="60" t="s">
        <v>1089</v>
      </c>
      <c r="K1832" s="63" t="str">
        <f t="shared" si="200"/>
        <v>XBF-HO02AInput</v>
      </c>
      <c r="L1832" s="59">
        <f t="shared" si="197"/>
        <v>61</v>
      </c>
      <c r="M1832" s="59">
        <f t="shared" si="198"/>
        <v>37</v>
      </c>
      <c r="N1832" s="59">
        <f t="shared" si="199"/>
        <v>24</v>
      </c>
      <c r="O1832" s="60">
        <f t="shared" si="196"/>
        <v>1832</v>
      </c>
    </row>
    <row r="1833" spans="3:15">
      <c r="C1833" s="84" t="s">
        <v>110</v>
      </c>
      <c r="D1833" s="75"/>
      <c r="E1833" s="75"/>
      <c r="F1833" s="81" t="s">
        <v>151</v>
      </c>
      <c r="G1833" s="55" t="s">
        <v>2633</v>
      </c>
      <c r="H1833" s="55" t="s">
        <v>139</v>
      </c>
      <c r="I1833" s="59">
        <v>12</v>
      </c>
      <c r="J1833" s="60" t="s">
        <v>1091</v>
      </c>
      <c r="K1833" s="63" t="str">
        <f t="shared" si="200"/>
        <v>XBF-HO02AInput</v>
      </c>
      <c r="L1833" s="59">
        <f t="shared" si="197"/>
        <v>61</v>
      </c>
      <c r="M1833" s="59">
        <f t="shared" si="198"/>
        <v>37</v>
      </c>
      <c r="N1833" s="59">
        <f t="shared" si="199"/>
        <v>24</v>
      </c>
      <c r="O1833" s="60">
        <f t="shared" si="196"/>
        <v>1833</v>
      </c>
    </row>
    <row r="1834" spans="3:15">
      <c r="C1834" s="84" t="s">
        <v>110</v>
      </c>
      <c r="D1834" s="75"/>
      <c r="E1834" s="75"/>
      <c r="F1834" s="81" t="s">
        <v>151</v>
      </c>
      <c r="G1834" s="55" t="s">
        <v>2634</v>
      </c>
      <c r="H1834" s="55" t="s">
        <v>139</v>
      </c>
      <c r="I1834" s="59">
        <v>13</v>
      </c>
      <c r="J1834" s="60" t="s">
        <v>1093</v>
      </c>
      <c r="K1834" s="63" t="str">
        <f t="shared" si="200"/>
        <v>XBF-HO02AInput</v>
      </c>
      <c r="L1834" s="59">
        <f t="shared" si="197"/>
        <v>61</v>
      </c>
      <c r="M1834" s="59">
        <f t="shared" si="198"/>
        <v>37</v>
      </c>
      <c r="N1834" s="59">
        <f t="shared" si="199"/>
        <v>24</v>
      </c>
      <c r="O1834" s="60">
        <f t="shared" si="196"/>
        <v>1834</v>
      </c>
    </row>
    <row r="1835" spans="3:15">
      <c r="C1835" s="84" t="s">
        <v>110</v>
      </c>
      <c r="D1835" s="75"/>
      <c r="E1835" s="75"/>
      <c r="F1835" s="81" t="s">
        <v>151</v>
      </c>
      <c r="G1835" s="55" t="s">
        <v>2635</v>
      </c>
      <c r="H1835" s="55" t="s">
        <v>139</v>
      </c>
      <c r="I1835" s="59">
        <v>14</v>
      </c>
      <c r="J1835" s="60" t="s">
        <v>1095</v>
      </c>
      <c r="K1835" s="63" t="str">
        <f t="shared" si="200"/>
        <v>XBF-HO02AInput</v>
      </c>
      <c r="L1835" s="59">
        <f t="shared" si="197"/>
        <v>61</v>
      </c>
      <c r="M1835" s="59">
        <f t="shared" si="198"/>
        <v>37</v>
      </c>
      <c r="N1835" s="59">
        <f t="shared" si="199"/>
        <v>24</v>
      </c>
      <c r="O1835" s="60">
        <f t="shared" si="196"/>
        <v>1835</v>
      </c>
    </row>
    <row r="1836" spans="3:15">
      <c r="C1836" s="84" t="s">
        <v>110</v>
      </c>
      <c r="D1836" s="75"/>
      <c r="E1836" s="75"/>
      <c r="F1836" s="81" t="s">
        <v>151</v>
      </c>
      <c r="G1836" s="55" t="s">
        <v>2636</v>
      </c>
      <c r="H1836" s="55" t="s">
        <v>139</v>
      </c>
      <c r="I1836" s="59">
        <v>15</v>
      </c>
      <c r="J1836" s="60" t="s">
        <v>1097</v>
      </c>
      <c r="K1836" s="63" t="str">
        <f t="shared" si="200"/>
        <v>XBF-HO02AInput</v>
      </c>
      <c r="L1836" s="59">
        <f t="shared" si="197"/>
        <v>61</v>
      </c>
      <c r="M1836" s="59">
        <f t="shared" si="198"/>
        <v>37</v>
      </c>
      <c r="N1836" s="59">
        <f t="shared" si="199"/>
        <v>24</v>
      </c>
      <c r="O1836" s="60">
        <f t="shared" si="196"/>
        <v>1836</v>
      </c>
    </row>
    <row r="1837" spans="3:15">
      <c r="C1837" s="84" t="s">
        <v>110</v>
      </c>
      <c r="D1837" s="75"/>
      <c r="E1837" s="75"/>
      <c r="F1837" s="81" t="s">
        <v>151</v>
      </c>
      <c r="G1837" s="55" t="s">
        <v>2637</v>
      </c>
      <c r="H1837" s="55" t="s">
        <v>139</v>
      </c>
      <c r="I1837" s="59">
        <v>16</v>
      </c>
      <c r="J1837" s="60" t="s">
        <v>1099</v>
      </c>
      <c r="K1837" s="63" t="str">
        <f t="shared" si="200"/>
        <v>XBF-HO02AInput</v>
      </c>
      <c r="L1837" s="59">
        <f t="shared" si="197"/>
        <v>61</v>
      </c>
      <c r="M1837" s="59">
        <f t="shared" si="198"/>
        <v>37</v>
      </c>
      <c r="N1837" s="59">
        <f t="shared" si="199"/>
        <v>24</v>
      </c>
      <c r="O1837" s="60">
        <f t="shared" si="196"/>
        <v>1837</v>
      </c>
    </row>
    <row r="1838" spans="3:15">
      <c r="C1838" s="84" t="s">
        <v>110</v>
      </c>
      <c r="D1838" s="75"/>
      <c r="E1838" s="75"/>
      <c r="F1838" s="81" t="s">
        <v>151</v>
      </c>
      <c r="G1838" s="55" t="s">
        <v>2638</v>
      </c>
      <c r="H1838" s="55" t="s">
        <v>139</v>
      </c>
      <c r="I1838" s="59">
        <v>17</v>
      </c>
      <c r="J1838" s="60" t="s">
        <v>1101</v>
      </c>
      <c r="K1838" s="63" t="str">
        <f t="shared" si="200"/>
        <v>XBF-HO02AInput</v>
      </c>
      <c r="L1838" s="59">
        <f t="shared" si="197"/>
        <v>61</v>
      </c>
      <c r="M1838" s="59">
        <f t="shared" si="198"/>
        <v>37</v>
      </c>
      <c r="N1838" s="59">
        <f t="shared" si="199"/>
        <v>24</v>
      </c>
      <c r="O1838" s="60">
        <f t="shared" si="196"/>
        <v>1838</v>
      </c>
    </row>
    <row r="1839" spans="3:15">
      <c r="C1839" s="84" t="s">
        <v>110</v>
      </c>
      <c r="D1839" s="75"/>
      <c r="E1839" s="75"/>
      <c r="F1839" s="81" t="s">
        <v>151</v>
      </c>
      <c r="G1839" s="55" t="s">
        <v>2639</v>
      </c>
      <c r="H1839" s="55" t="s">
        <v>139</v>
      </c>
      <c r="I1839" s="59">
        <v>18</v>
      </c>
      <c r="J1839" s="60" t="s">
        <v>1103</v>
      </c>
      <c r="K1839" s="63" t="str">
        <f t="shared" si="200"/>
        <v>XBF-HO02AInput</v>
      </c>
      <c r="L1839" s="59">
        <f t="shared" si="197"/>
        <v>61</v>
      </c>
      <c r="M1839" s="59">
        <f t="shared" si="198"/>
        <v>37</v>
      </c>
      <c r="N1839" s="59">
        <f t="shared" si="199"/>
        <v>24</v>
      </c>
      <c r="O1839" s="60">
        <f t="shared" si="196"/>
        <v>1839</v>
      </c>
    </row>
    <row r="1840" spans="3:15">
      <c r="C1840" s="84" t="s">
        <v>110</v>
      </c>
      <c r="D1840" s="75"/>
      <c r="E1840" s="75"/>
      <c r="F1840" s="81" t="s">
        <v>151</v>
      </c>
      <c r="G1840" s="55" t="s">
        <v>2640</v>
      </c>
      <c r="H1840" s="55" t="s">
        <v>139</v>
      </c>
      <c r="I1840" s="59">
        <v>19</v>
      </c>
      <c r="J1840" s="60" t="s">
        <v>1105</v>
      </c>
      <c r="K1840" s="63" t="str">
        <f t="shared" si="200"/>
        <v>XBF-HO02AInput</v>
      </c>
      <c r="L1840" s="59">
        <f t="shared" si="197"/>
        <v>61</v>
      </c>
      <c r="M1840" s="59">
        <f t="shared" si="198"/>
        <v>37</v>
      </c>
      <c r="N1840" s="59">
        <f t="shared" si="199"/>
        <v>24</v>
      </c>
      <c r="O1840" s="60">
        <f t="shared" si="196"/>
        <v>1840</v>
      </c>
    </row>
    <row r="1841" spans="3:15">
      <c r="C1841" s="84" t="s">
        <v>110</v>
      </c>
      <c r="D1841" s="75"/>
      <c r="E1841" s="75"/>
      <c r="F1841" s="81" t="s">
        <v>151</v>
      </c>
      <c r="G1841" s="55" t="s">
        <v>2641</v>
      </c>
      <c r="H1841" s="55" t="s">
        <v>139</v>
      </c>
      <c r="I1841" s="59">
        <v>20</v>
      </c>
      <c r="J1841" s="60" t="s">
        <v>1107</v>
      </c>
      <c r="K1841" s="63" t="str">
        <f t="shared" si="200"/>
        <v>XBF-HO02AInput</v>
      </c>
      <c r="L1841" s="59">
        <f t="shared" si="197"/>
        <v>61</v>
      </c>
      <c r="M1841" s="59">
        <f t="shared" si="198"/>
        <v>37</v>
      </c>
      <c r="N1841" s="59">
        <f t="shared" si="199"/>
        <v>24</v>
      </c>
      <c r="O1841" s="60">
        <f t="shared" si="196"/>
        <v>1841</v>
      </c>
    </row>
    <row r="1842" spans="3:15">
      <c r="C1842" s="84" t="s">
        <v>110</v>
      </c>
      <c r="D1842" s="75"/>
      <c r="E1842" s="75"/>
      <c r="F1842" s="81" t="s">
        <v>151</v>
      </c>
      <c r="G1842" s="55" t="s">
        <v>2642</v>
      </c>
      <c r="H1842" s="55" t="s">
        <v>139</v>
      </c>
      <c r="I1842" s="59">
        <v>21</v>
      </c>
      <c r="J1842" s="60" t="s">
        <v>1109</v>
      </c>
      <c r="K1842" s="63" t="str">
        <f t="shared" si="200"/>
        <v>XBF-HO02AInput</v>
      </c>
      <c r="L1842" s="59">
        <f t="shared" si="197"/>
        <v>61</v>
      </c>
      <c r="M1842" s="59">
        <f t="shared" si="198"/>
        <v>37</v>
      </c>
      <c r="N1842" s="59">
        <f t="shared" si="199"/>
        <v>24</v>
      </c>
      <c r="O1842" s="60">
        <f t="shared" si="196"/>
        <v>1842</v>
      </c>
    </row>
    <row r="1843" spans="3:15">
      <c r="C1843" s="84" t="s">
        <v>110</v>
      </c>
      <c r="D1843" s="75"/>
      <c r="E1843" s="75"/>
      <c r="F1843" s="81" t="s">
        <v>166</v>
      </c>
      <c r="G1843" s="55" t="s">
        <v>2643</v>
      </c>
      <c r="H1843" s="55" t="s">
        <v>124</v>
      </c>
      <c r="I1843" s="59">
        <v>0</v>
      </c>
      <c r="J1843" s="60" t="s">
        <v>1111</v>
      </c>
      <c r="K1843" s="63"/>
      <c r="L1843" s="59"/>
      <c r="M1843" s="59"/>
      <c r="N1843" s="59"/>
      <c r="O1843" s="60">
        <f t="shared" si="196"/>
        <v>1843</v>
      </c>
    </row>
    <row r="1844" spans="3:15">
      <c r="C1844" s="84" t="s">
        <v>110</v>
      </c>
      <c r="D1844" s="75"/>
      <c r="E1844" s="75"/>
      <c r="F1844" s="81" t="s">
        <v>166</v>
      </c>
      <c r="G1844" s="55" t="s">
        <v>2644</v>
      </c>
      <c r="H1844" s="55" t="s">
        <v>124</v>
      </c>
      <c r="I1844" s="59">
        <v>0.1</v>
      </c>
      <c r="J1844" s="60" t="s">
        <v>1113</v>
      </c>
      <c r="K1844" s="63"/>
      <c r="L1844" s="59"/>
      <c r="M1844" s="59"/>
      <c r="N1844" s="59"/>
      <c r="O1844" s="60">
        <f t="shared" si="196"/>
        <v>1844</v>
      </c>
    </row>
    <row r="1845" spans="3:15">
      <c r="C1845" s="84" t="s">
        <v>110</v>
      </c>
      <c r="D1845" s="75"/>
      <c r="E1845" s="75"/>
      <c r="F1845" s="81" t="s">
        <v>166</v>
      </c>
      <c r="G1845" s="55" t="s">
        <v>2645</v>
      </c>
      <c r="H1845" s="55" t="s">
        <v>124</v>
      </c>
      <c r="I1845" s="59">
        <v>0.2</v>
      </c>
      <c r="J1845" s="60" t="s">
        <v>1115</v>
      </c>
      <c r="K1845" s="63"/>
      <c r="L1845" s="59"/>
      <c r="M1845" s="59"/>
      <c r="N1845" s="59"/>
      <c r="O1845" s="60">
        <f t="shared" si="196"/>
        <v>1845</v>
      </c>
    </row>
    <row r="1846" spans="3:15">
      <c r="C1846" s="84" t="s">
        <v>110</v>
      </c>
      <c r="D1846" s="75"/>
      <c r="E1846" s="75"/>
      <c r="F1846" s="81" t="s">
        <v>166</v>
      </c>
      <c r="G1846" s="72" t="s">
        <v>3509</v>
      </c>
      <c r="H1846" s="55" t="s">
        <v>124</v>
      </c>
      <c r="I1846" s="59">
        <v>0.3</v>
      </c>
      <c r="J1846" s="60" t="s">
        <v>1116</v>
      </c>
      <c r="K1846" s="63"/>
      <c r="L1846" s="59"/>
      <c r="M1846" s="59"/>
      <c r="N1846" s="59"/>
      <c r="O1846" s="60">
        <f t="shared" si="196"/>
        <v>1846</v>
      </c>
    </row>
    <row r="1847" spans="3:15">
      <c r="C1847" s="84" t="s">
        <v>110</v>
      </c>
      <c r="D1847" s="75"/>
      <c r="E1847" s="75"/>
      <c r="F1847" s="81" t="s">
        <v>166</v>
      </c>
      <c r="G1847" s="55" t="s">
        <v>2646</v>
      </c>
      <c r="H1847" s="55" t="s">
        <v>124</v>
      </c>
      <c r="I1847" s="59">
        <v>0.4</v>
      </c>
      <c r="J1847" s="60" t="s">
        <v>1118</v>
      </c>
      <c r="K1847" s="63"/>
      <c r="L1847" s="59"/>
      <c r="M1847" s="59"/>
      <c r="N1847" s="59"/>
      <c r="O1847" s="60">
        <f t="shared" si="196"/>
        <v>1847</v>
      </c>
    </row>
    <row r="1848" spans="3:15">
      <c r="C1848" s="84" t="s">
        <v>110</v>
      </c>
      <c r="D1848" s="75"/>
      <c r="E1848" s="75"/>
      <c r="F1848" s="81" t="s">
        <v>166</v>
      </c>
      <c r="G1848" s="55" t="s">
        <v>2647</v>
      </c>
      <c r="H1848" s="55" t="s">
        <v>124</v>
      </c>
      <c r="I1848" s="59">
        <v>0.5</v>
      </c>
      <c r="J1848" s="60" t="s">
        <v>1120</v>
      </c>
      <c r="K1848" s="63"/>
      <c r="L1848" s="59"/>
      <c r="M1848" s="59"/>
      <c r="N1848" s="59"/>
      <c r="O1848" s="60">
        <f t="shared" si="196"/>
        <v>1848</v>
      </c>
    </row>
    <row r="1849" spans="3:15">
      <c r="C1849" s="84" t="s">
        <v>110</v>
      </c>
      <c r="D1849" s="75"/>
      <c r="E1849" s="75"/>
      <c r="F1849" s="81" t="s">
        <v>166</v>
      </c>
      <c r="G1849" s="55" t="s">
        <v>2648</v>
      </c>
      <c r="H1849" s="55" t="s">
        <v>124</v>
      </c>
      <c r="I1849" s="59">
        <v>0.6</v>
      </c>
      <c r="J1849" s="60" t="s">
        <v>1122</v>
      </c>
      <c r="K1849" s="63"/>
      <c r="L1849" s="59"/>
      <c r="M1849" s="59"/>
      <c r="N1849" s="59"/>
      <c r="O1849" s="60">
        <f t="shared" si="196"/>
        <v>1849</v>
      </c>
    </row>
    <row r="1850" spans="3:15">
      <c r="C1850" s="84" t="s">
        <v>110</v>
      </c>
      <c r="D1850" s="75"/>
      <c r="E1850" s="75"/>
      <c r="F1850" s="81" t="s">
        <v>166</v>
      </c>
      <c r="G1850" s="55" t="s">
        <v>2649</v>
      </c>
      <c r="H1850" s="55" t="s">
        <v>124</v>
      </c>
      <c r="I1850" s="59">
        <v>0.7</v>
      </c>
      <c r="J1850" s="60" t="s">
        <v>1124</v>
      </c>
      <c r="K1850" s="63"/>
      <c r="L1850" s="59"/>
      <c r="M1850" s="59"/>
      <c r="N1850" s="59"/>
      <c r="O1850" s="60">
        <f t="shared" si="196"/>
        <v>1850</v>
      </c>
    </row>
    <row r="1851" spans="3:15">
      <c r="C1851" s="84" t="s">
        <v>110</v>
      </c>
      <c r="D1851" s="75"/>
      <c r="E1851" s="75"/>
      <c r="F1851" s="81" t="s">
        <v>166</v>
      </c>
      <c r="G1851" s="55" t="s">
        <v>2650</v>
      </c>
      <c r="H1851" s="55" t="s">
        <v>124</v>
      </c>
      <c r="I1851" s="59" t="s">
        <v>988</v>
      </c>
      <c r="J1851" s="60" t="s">
        <v>1126</v>
      </c>
      <c r="K1851" s="63"/>
      <c r="L1851" s="59"/>
      <c r="M1851" s="59"/>
      <c r="N1851" s="59"/>
      <c r="O1851" s="60">
        <f t="shared" si="196"/>
        <v>1851</v>
      </c>
    </row>
    <row r="1852" spans="3:15">
      <c r="C1852" s="84" t="s">
        <v>110</v>
      </c>
      <c r="D1852" s="75"/>
      <c r="E1852" s="75"/>
      <c r="F1852" s="81" t="s">
        <v>166</v>
      </c>
      <c r="G1852" s="55" t="s">
        <v>2651</v>
      </c>
      <c r="H1852" s="55" t="s">
        <v>124</v>
      </c>
      <c r="I1852" s="59" t="s">
        <v>991</v>
      </c>
      <c r="J1852" s="60" t="s">
        <v>1128</v>
      </c>
      <c r="K1852" s="63"/>
      <c r="L1852" s="59"/>
      <c r="M1852" s="59"/>
      <c r="N1852" s="59"/>
      <c r="O1852" s="60">
        <f t="shared" si="196"/>
        <v>1852</v>
      </c>
    </row>
    <row r="1853" spans="3:15">
      <c r="C1853" s="84" t="s">
        <v>110</v>
      </c>
      <c r="D1853" s="75"/>
      <c r="E1853" s="75"/>
      <c r="F1853" s="81" t="s">
        <v>166</v>
      </c>
      <c r="G1853" s="55" t="s">
        <v>2652</v>
      </c>
      <c r="H1853" s="55" t="s">
        <v>124</v>
      </c>
      <c r="I1853" s="59" t="s">
        <v>1130</v>
      </c>
      <c r="J1853" s="60" t="s">
        <v>1131</v>
      </c>
      <c r="K1853" s="63"/>
      <c r="L1853" s="59"/>
      <c r="M1853" s="59"/>
      <c r="N1853" s="59"/>
      <c r="O1853" s="60">
        <f t="shared" si="196"/>
        <v>1853</v>
      </c>
    </row>
    <row r="1854" spans="3:15">
      <c r="C1854" s="84" t="s">
        <v>110</v>
      </c>
      <c r="D1854" s="75"/>
      <c r="E1854" s="75"/>
      <c r="F1854" s="81" t="s">
        <v>166</v>
      </c>
      <c r="G1854" s="55" t="s">
        <v>2653</v>
      </c>
      <c r="H1854" s="55" t="s">
        <v>124</v>
      </c>
      <c r="I1854" s="59" t="s">
        <v>1133</v>
      </c>
      <c r="J1854" s="60" t="s">
        <v>1134</v>
      </c>
      <c r="K1854" s="63"/>
      <c r="L1854" s="59"/>
      <c r="M1854" s="59"/>
      <c r="N1854" s="59"/>
      <c r="O1854" s="60">
        <f t="shared" si="196"/>
        <v>1854</v>
      </c>
    </row>
    <row r="1855" spans="3:15">
      <c r="C1855" s="84" t="s">
        <v>110</v>
      </c>
      <c r="D1855" s="75"/>
      <c r="E1855" s="75"/>
      <c r="F1855" s="81" t="s">
        <v>166</v>
      </c>
      <c r="G1855" s="55" t="s">
        <v>2654</v>
      </c>
      <c r="H1855" s="55" t="s">
        <v>124</v>
      </c>
      <c r="I1855" s="59">
        <v>1</v>
      </c>
      <c r="J1855" s="60" t="s">
        <v>1136</v>
      </c>
      <c r="K1855" s="63"/>
      <c r="L1855" s="59"/>
      <c r="M1855" s="59"/>
      <c r="N1855" s="59"/>
      <c r="O1855" s="60">
        <f t="shared" si="196"/>
        <v>1855</v>
      </c>
    </row>
    <row r="1856" spans="3:15">
      <c r="C1856" s="84" t="s">
        <v>110</v>
      </c>
      <c r="D1856" s="75"/>
      <c r="E1856" s="75"/>
      <c r="F1856" s="81" t="s">
        <v>166</v>
      </c>
      <c r="G1856" s="55" t="s">
        <v>2655</v>
      </c>
      <c r="H1856" s="55" t="s">
        <v>124</v>
      </c>
      <c r="I1856" s="59">
        <v>1.1000000000000001</v>
      </c>
      <c r="J1856" s="60" t="s">
        <v>1138</v>
      </c>
      <c r="K1856" s="63"/>
      <c r="L1856" s="59"/>
      <c r="M1856" s="59"/>
      <c r="N1856" s="59"/>
      <c r="O1856" s="60">
        <f t="shared" si="196"/>
        <v>1856</v>
      </c>
    </row>
    <row r="1857" spans="3:22">
      <c r="C1857" s="84" t="s">
        <v>110</v>
      </c>
      <c r="D1857" s="75"/>
      <c r="E1857" s="75"/>
      <c r="F1857" s="81" t="s">
        <v>166</v>
      </c>
      <c r="G1857" s="55" t="s">
        <v>2656</v>
      </c>
      <c r="H1857" s="55" t="s">
        <v>124</v>
      </c>
      <c r="I1857" s="59">
        <v>1.2</v>
      </c>
      <c r="J1857" s="60" t="s">
        <v>1140</v>
      </c>
      <c r="K1857" s="63"/>
      <c r="L1857" s="59"/>
      <c r="M1857" s="59"/>
      <c r="N1857" s="59"/>
      <c r="O1857" s="60">
        <f t="shared" si="196"/>
        <v>1857</v>
      </c>
    </row>
    <row r="1858" spans="3:22">
      <c r="C1858" s="84" t="s">
        <v>110</v>
      </c>
      <c r="D1858" s="75"/>
      <c r="E1858" s="75"/>
      <c r="F1858" s="81" t="s">
        <v>166</v>
      </c>
      <c r="G1858" s="72" t="s">
        <v>3510</v>
      </c>
      <c r="H1858" s="55" t="s">
        <v>124</v>
      </c>
      <c r="I1858" s="59">
        <v>1.3</v>
      </c>
      <c r="J1858" s="60" t="s">
        <v>1141</v>
      </c>
      <c r="K1858" s="63"/>
      <c r="L1858" s="59"/>
      <c r="M1858" s="59"/>
      <c r="N1858" s="59"/>
      <c r="O1858" s="60">
        <f t="shared" ref="O1858:O1921" si="201">ROW(C1858)</f>
        <v>1858</v>
      </c>
    </row>
    <row r="1859" spans="3:22">
      <c r="C1859" s="84" t="s">
        <v>110</v>
      </c>
      <c r="D1859" s="75"/>
      <c r="E1859" s="75"/>
      <c r="F1859" s="81" t="s">
        <v>166</v>
      </c>
      <c r="G1859" s="55" t="s">
        <v>2657</v>
      </c>
      <c r="H1859" s="55" t="s">
        <v>124</v>
      </c>
      <c r="I1859" s="59">
        <v>1.4</v>
      </c>
      <c r="J1859" s="60" t="s">
        <v>1143</v>
      </c>
      <c r="K1859" s="63"/>
      <c r="L1859" s="59"/>
      <c r="M1859" s="59"/>
      <c r="N1859" s="59"/>
      <c r="O1859" s="60">
        <f t="shared" si="201"/>
        <v>1859</v>
      </c>
    </row>
    <row r="1860" spans="3:22">
      <c r="C1860" s="84" t="s">
        <v>110</v>
      </c>
      <c r="D1860" s="75"/>
      <c r="E1860" s="75"/>
      <c r="F1860" s="81" t="s">
        <v>166</v>
      </c>
      <c r="G1860" s="55" t="s">
        <v>2658</v>
      </c>
      <c r="H1860" s="55" t="s">
        <v>124</v>
      </c>
      <c r="I1860" s="59">
        <v>1.5</v>
      </c>
      <c r="J1860" s="60" t="s">
        <v>1145</v>
      </c>
      <c r="K1860" s="63"/>
      <c r="L1860" s="59"/>
      <c r="M1860" s="59"/>
      <c r="N1860" s="59"/>
      <c r="O1860" s="60">
        <f t="shared" si="201"/>
        <v>1860</v>
      </c>
    </row>
    <row r="1861" spans="3:22">
      <c r="C1861" s="84" t="s">
        <v>110</v>
      </c>
      <c r="D1861" s="75"/>
      <c r="E1861" s="75"/>
      <c r="F1861" s="81" t="s">
        <v>166</v>
      </c>
      <c r="G1861" s="55" t="s">
        <v>2659</v>
      </c>
      <c r="H1861" s="55" t="s">
        <v>124</v>
      </c>
      <c r="I1861" s="59">
        <v>1.6</v>
      </c>
      <c r="J1861" s="60" t="s">
        <v>1122</v>
      </c>
      <c r="K1861" s="63"/>
      <c r="L1861" s="59"/>
      <c r="M1861" s="59"/>
      <c r="N1861" s="59"/>
      <c r="O1861" s="60">
        <f t="shared" si="201"/>
        <v>1861</v>
      </c>
    </row>
    <row r="1862" spans="3:22">
      <c r="C1862" s="84" t="s">
        <v>110</v>
      </c>
      <c r="D1862" s="75"/>
      <c r="E1862" s="75"/>
      <c r="F1862" s="81" t="s">
        <v>166</v>
      </c>
      <c r="G1862" s="55" t="s">
        <v>2660</v>
      </c>
      <c r="H1862" s="55" t="s">
        <v>124</v>
      </c>
      <c r="I1862" s="59">
        <v>1.7</v>
      </c>
      <c r="J1862" s="60" t="s">
        <v>2601</v>
      </c>
      <c r="K1862" s="63"/>
      <c r="L1862" s="59"/>
      <c r="M1862" s="59"/>
      <c r="N1862" s="59"/>
      <c r="O1862" s="60">
        <f t="shared" si="201"/>
        <v>1862</v>
      </c>
    </row>
    <row r="1863" spans="3:22">
      <c r="C1863" s="84" t="s">
        <v>110</v>
      </c>
      <c r="D1863" s="75"/>
      <c r="E1863" s="75"/>
      <c r="F1863" s="81" t="s">
        <v>166</v>
      </c>
      <c r="G1863" s="55" t="s">
        <v>2661</v>
      </c>
      <c r="H1863" s="55" t="s">
        <v>124</v>
      </c>
      <c r="I1863" s="59" t="s">
        <v>136</v>
      </c>
      <c r="J1863" s="60" t="s">
        <v>1150</v>
      </c>
      <c r="K1863" s="63"/>
      <c r="L1863" s="59"/>
      <c r="M1863" s="59"/>
      <c r="N1863" s="59"/>
      <c r="O1863" s="60">
        <f t="shared" si="201"/>
        <v>1863</v>
      </c>
    </row>
    <row r="1864" spans="3:22">
      <c r="C1864" s="84" t="s">
        <v>110</v>
      </c>
      <c r="D1864" s="75"/>
      <c r="E1864" s="75"/>
      <c r="F1864" s="81" t="s">
        <v>166</v>
      </c>
      <c r="G1864" s="55" t="s">
        <v>2662</v>
      </c>
      <c r="H1864" s="55" t="s">
        <v>124</v>
      </c>
      <c r="I1864" s="59" t="s">
        <v>138</v>
      </c>
      <c r="J1864" s="60" t="s">
        <v>1152</v>
      </c>
      <c r="K1864" s="63"/>
      <c r="L1864" s="59"/>
      <c r="M1864" s="59"/>
      <c r="N1864" s="59"/>
      <c r="O1864" s="60">
        <f t="shared" si="201"/>
        <v>1864</v>
      </c>
    </row>
    <row r="1865" spans="3:22">
      <c r="C1865" s="84" t="s">
        <v>110</v>
      </c>
      <c r="D1865" s="75"/>
      <c r="E1865" s="75"/>
      <c r="F1865" s="81" t="s">
        <v>166</v>
      </c>
      <c r="G1865" s="55" t="s">
        <v>2663</v>
      </c>
      <c r="H1865" s="55" t="s">
        <v>124</v>
      </c>
      <c r="I1865" s="59" t="s">
        <v>201</v>
      </c>
      <c r="J1865" s="60" t="s">
        <v>1154</v>
      </c>
      <c r="K1865" s="63"/>
      <c r="L1865" s="59"/>
      <c r="M1865" s="59"/>
      <c r="N1865" s="59"/>
      <c r="O1865" s="60">
        <f t="shared" si="201"/>
        <v>1865</v>
      </c>
    </row>
    <row r="1866" spans="3:22">
      <c r="C1866" s="84" t="s">
        <v>110</v>
      </c>
      <c r="D1866" s="75"/>
      <c r="E1866" s="75"/>
      <c r="F1866" s="81" t="s">
        <v>166</v>
      </c>
      <c r="G1866" s="55" t="s">
        <v>2664</v>
      </c>
      <c r="H1866" s="55" t="s">
        <v>124</v>
      </c>
      <c r="I1866" s="59" t="s">
        <v>204</v>
      </c>
      <c r="J1866" s="60" t="s">
        <v>1156</v>
      </c>
      <c r="K1866" s="63"/>
      <c r="L1866" s="59"/>
      <c r="M1866" s="59"/>
      <c r="N1866" s="59"/>
      <c r="O1866" s="60">
        <f t="shared" si="201"/>
        <v>1866</v>
      </c>
      <c r="P1866" s="65"/>
    </row>
    <row r="1867" spans="3:22">
      <c r="C1867" s="84" t="s">
        <v>111</v>
      </c>
      <c r="D1867" s="76">
        <v>44</v>
      </c>
      <c r="E1867" s="76">
        <v>4</v>
      </c>
      <c r="F1867" s="82" t="s">
        <v>151</v>
      </c>
      <c r="G1867" s="55" t="s">
        <v>2545</v>
      </c>
      <c r="H1867" s="55" t="s">
        <v>124</v>
      </c>
      <c r="I1867" s="59">
        <v>0</v>
      </c>
      <c r="J1867" s="60" t="s">
        <v>1036</v>
      </c>
      <c r="K1867" s="63" t="str">
        <f t="shared" si="200"/>
        <v>XBF-HD02AInput</v>
      </c>
      <c r="L1867" s="59">
        <f t="shared" ref="L1867:L1903" si="202">COUNTIF($C$2:$C$2062,C1867)</f>
        <v>61</v>
      </c>
      <c r="M1867" s="59">
        <f t="shared" ref="M1867:M1903" si="203">COUNTIF($K$2:$K$2062,K1867)</f>
        <v>37</v>
      </c>
      <c r="N1867" s="59">
        <f t="shared" ref="N1867:N1903" si="204">L1867-M1867</f>
        <v>24</v>
      </c>
      <c r="O1867" s="60">
        <f t="shared" si="201"/>
        <v>1867</v>
      </c>
      <c r="P1867" s="65" t="s">
        <v>3214</v>
      </c>
      <c r="Q1867">
        <f>O1867</f>
        <v>1867</v>
      </c>
      <c r="R1867" t="s">
        <v>3215</v>
      </c>
      <c r="S1867">
        <v>1928</v>
      </c>
      <c r="T1867" t="str">
        <f>P1867&amp;Q1867&amp;R1867&amp;S1867</f>
        <v>All data map'!$F$1867:$J$1928</v>
      </c>
      <c r="V1867" t="s">
        <v>3291</v>
      </c>
    </row>
    <row r="1868" spans="3:22">
      <c r="C1868" s="84" t="s">
        <v>111</v>
      </c>
      <c r="D1868" s="75"/>
      <c r="E1868" s="75"/>
      <c r="F1868" s="81" t="s">
        <v>151</v>
      </c>
      <c r="G1868" s="55" t="s">
        <v>2546</v>
      </c>
      <c r="H1868" s="55" t="s">
        <v>124</v>
      </c>
      <c r="I1868" s="59">
        <v>0.1</v>
      </c>
      <c r="J1868" s="60" t="s">
        <v>1038</v>
      </c>
      <c r="K1868" s="63" t="str">
        <f t="shared" si="200"/>
        <v>XBF-HD02AInput</v>
      </c>
      <c r="L1868" s="59">
        <f t="shared" si="202"/>
        <v>61</v>
      </c>
      <c r="M1868" s="59">
        <f t="shared" si="203"/>
        <v>37</v>
      </c>
      <c r="N1868" s="59">
        <f t="shared" si="204"/>
        <v>24</v>
      </c>
      <c r="O1868" s="60">
        <f t="shared" si="201"/>
        <v>1868</v>
      </c>
    </row>
    <row r="1869" spans="3:22">
      <c r="C1869" s="84" t="s">
        <v>111</v>
      </c>
      <c r="D1869" s="75"/>
      <c r="E1869" s="75"/>
      <c r="F1869" s="81" t="s">
        <v>151</v>
      </c>
      <c r="G1869" s="55" t="s">
        <v>2547</v>
      </c>
      <c r="H1869" s="55" t="s">
        <v>124</v>
      </c>
      <c r="I1869" s="59">
        <v>0.3</v>
      </c>
      <c r="J1869" s="60" t="s">
        <v>1040</v>
      </c>
      <c r="K1869" s="63" t="str">
        <f t="shared" si="200"/>
        <v>XBF-HD02AInput</v>
      </c>
      <c r="L1869" s="59">
        <f t="shared" si="202"/>
        <v>61</v>
      </c>
      <c r="M1869" s="59">
        <f t="shared" si="203"/>
        <v>37</v>
      </c>
      <c r="N1869" s="59">
        <f t="shared" si="204"/>
        <v>24</v>
      </c>
      <c r="O1869" s="60">
        <f t="shared" si="201"/>
        <v>1869</v>
      </c>
    </row>
    <row r="1870" spans="3:22">
      <c r="C1870" s="84" t="s">
        <v>111</v>
      </c>
      <c r="D1870" s="75"/>
      <c r="E1870" s="75"/>
      <c r="F1870" s="81" t="s">
        <v>151</v>
      </c>
      <c r="G1870" s="55" t="s">
        <v>2548</v>
      </c>
      <c r="H1870" s="55" t="s">
        <v>124</v>
      </c>
      <c r="I1870" s="59">
        <v>0.4</v>
      </c>
      <c r="J1870" s="60" t="s">
        <v>1042</v>
      </c>
      <c r="K1870" s="63" t="str">
        <f t="shared" si="200"/>
        <v>XBF-HD02AInput</v>
      </c>
      <c r="L1870" s="59">
        <f t="shared" si="202"/>
        <v>61</v>
      </c>
      <c r="M1870" s="59">
        <f t="shared" si="203"/>
        <v>37</v>
      </c>
      <c r="N1870" s="59">
        <f t="shared" si="204"/>
        <v>24</v>
      </c>
      <c r="O1870" s="60">
        <f t="shared" si="201"/>
        <v>1870</v>
      </c>
    </row>
    <row r="1871" spans="3:22">
      <c r="C1871" s="84" t="s">
        <v>111</v>
      </c>
      <c r="D1871" s="75"/>
      <c r="E1871" s="75"/>
      <c r="F1871" s="81" t="s">
        <v>151</v>
      </c>
      <c r="G1871" s="55" t="s">
        <v>2549</v>
      </c>
      <c r="H1871" s="55" t="s">
        <v>124</v>
      </c>
      <c r="I1871" s="59">
        <v>0.5</v>
      </c>
      <c r="J1871" s="60" t="s">
        <v>1044</v>
      </c>
      <c r="K1871" s="63" t="str">
        <f t="shared" si="200"/>
        <v>XBF-HD02AInput</v>
      </c>
      <c r="L1871" s="59">
        <f t="shared" si="202"/>
        <v>61</v>
      </c>
      <c r="M1871" s="59">
        <f t="shared" si="203"/>
        <v>37</v>
      </c>
      <c r="N1871" s="59">
        <f t="shared" si="204"/>
        <v>24</v>
      </c>
      <c r="O1871" s="60">
        <f t="shared" si="201"/>
        <v>1871</v>
      </c>
    </row>
    <row r="1872" spans="3:22">
      <c r="C1872" s="84" t="s">
        <v>111</v>
      </c>
      <c r="D1872" s="75"/>
      <c r="E1872" s="75"/>
      <c r="F1872" s="81" t="s">
        <v>151</v>
      </c>
      <c r="G1872" s="55" t="s">
        <v>2550</v>
      </c>
      <c r="H1872" s="55" t="s">
        <v>124</v>
      </c>
      <c r="I1872" s="59">
        <v>0.6</v>
      </c>
      <c r="J1872" s="60" t="s">
        <v>1046</v>
      </c>
      <c r="K1872" s="63" t="str">
        <f t="shared" si="200"/>
        <v>XBF-HD02AInput</v>
      </c>
      <c r="L1872" s="59">
        <f t="shared" si="202"/>
        <v>61</v>
      </c>
      <c r="M1872" s="59">
        <f t="shared" si="203"/>
        <v>37</v>
      </c>
      <c r="N1872" s="59">
        <f t="shared" si="204"/>
        <v>24</v>
      </c>
      <c r="O1872" s="60">
        <f t="shared" si="201"/>
        <v>1872</v>
      </c>
    </row>
    <row r="1873" spans="3:15">
      <c r="C1873" s="84" t="s">
        <v>111</v>
      </c>
      <c r="D1873" s="75"/>
      <c r="E1873" s="75"/>
      <c r="F1873" s="81" t="s">
        <v>151</v>
      </c>
      <c r="G1873" s="55" t="s">
        <v>2551</v>
      </c>
      <c r="H1873" s="55" t="s">
        <v>124</v>
      </c>
      <c r="I1873" s="59">
        <v>0.7</v>
      </c>
      <c r="J1873" s="60" t="s">
        <v>1048</v>
      </c>
      <c r="K1873" s="63" t="str">
        <f t="shared" si="200"/>
        <v>XBF-HD02AInput</v>
      </c>
      <c r="L1873" s="59">
        <f t="shared" si="202"/>
        <v>61</v>
      </c>
      <c r="M1873" s="59">
        <f t="shared" si="203"/>
        <v>37</v>
      </c>
      <c r="N1873" s="59">
        <f t="shared" si="204"/>
        <v>24</v>
      </c>
      <c r="O1873" s="60">
        <f t="shared" si="201"/>
        <v>1873</v>
      </c>
    </row>
    <row r="1874" spans="3:15">
      <c r="C1874" s="84" t="s">
        <v>111</v>
      </c>
      <c r="D1874" s="75"/>
      <c r="E1874" s="75"/>
      <c r="F1874" s="81" t="s">
        <v>151</v>
      </c>
      <c r="G1874" s="55" t="s">
        <v>2552</v>
      </c>
      <c r="H1874" s="55" t="s">
        <v>124</v>
      </c>
      <c r="I1874" s="59" t="s">
        <v>1050</v>
      </c>
      <c r="J1874" s="60" t="s">
        <v>1051</v>
      </c>
      <c r="K1874" s="63" t="str">
        <f t="shared" si="200"/>
        <v>XBF-HD02AInput</v>
      </c>
      <c r="L1874" s="59">
        <f t="shared" si="202"/>
        <v>61</v>
      </c>
      <c r="M1874" s="59">
        <f t="shared" si="203"/>
        <v>37</v>
      </c>
      <c r="N1874" s="59">
        <f t="shared" si="204"/>
        <v>24</v>
      </c>
      <c r="O1874" s="60">
        <f t="shared" si="201"/>
        <v>1874</v>
      </c>
    </row>
    <row r="1875" spans="3:15">
      <c r="C1875" s="84" t="s">
        <v>111</v>
      </c>
      <c r="D1875" s="75"/>
      <c r="E1875" s="75"/>
      <c r="F1875" s="81" t="s">
        <v>151</v>
      </c>
      <c r="G1875" s="55" t="s">
        <v>2553</v>
      </c>
      <c r="H1875" s="55" t="s">
        <v>124</v>
      </c>
      <c r="I1875" s="59" t="s">
        <v>126</v>
      </c>
      <c r="J1875" s="60" t="s">
        <v>1053</v>
      </c>
      <c r="K1875" s="63" t="str">
        <f t="shared" si="200"/>
        <v>XBF-HD02AInput</v>
      </c>
      <c r="L1875" s="59">
        <f t="shared" si="202"/>
        <v>61</v>
      </c>
      <c r="M1875" s="59">
        <f t="shared" si="203"/>
        <v>37</v>
      </c>
      <c r="N1875" s="59">
        <f t="shared" si="204"/>
        <v>24</v>
      </c>
      <c r="O1875" s="60">
        <f t="shared" si="201"/>
        <v>1875</v>
      </c>
    </row>
    <row r="1876" spans="3:15">
      <c r="C1876" s="84" t="s">
        <v>111</v>
      </c>
      <c r="D1876" s="75"/>
      <c r="E1876" s="75"/>
      <c r="F1876" s="81" t="s">
        <v>151</v>
      </c>
      <c r="G1876" s="55" t="s">
        <v>2554</v>
      </c>
      <c r="H1876" s="55" t="s">
        <v>124</v>
      </c>
      <c r="I1876" s="59">
        <v>1</v>
      </c>
      <c r="J1876" s="60" t="s">
        <v>1055</v>
      </c>
      <c r="K1876" s="63" t="str">
        <f t="shared" si="200"/>
        <v>XBF-HD02AInput</v>
      </c>
      <c r="L1876" s="59">
        <f t="shared" si="202"/>
        <v>61</v>
      </c>
      <c r="M1876" s="59">
        <f t="shared" si="203"/>
        <v>37</v>
      </c>
      <c r="N1876" s="59">
        <f t="shared" si="204"/>
        <v>24</v>
      </c>
      <c r="O1876" s="60">
        <f t="shared" si="201"/>
        <v>1876</v>
      </c>
    </row>
    <row r="1877" spans="3:15">
      <c r="C1877" s="84" t="s">
        <v>111</v>
      </c>
      <c r="D1877" s="75"/>
      <c r="E1877" s="75"/>
      <c r="F1877" s="81" t="s">
        <v>151</v>
      </c>
      <c r="G1877" s="55" t="s">
        <v>2555</v>
      </c>
      <c r="H1877" s="55" t="s">
        <v>124</v>
      </c>
      <c r="I1877" s="59">
        <v>1.1000000000000001</v>
      </c>
      <c r="J1877" s="60" t="s">
        <v>1057</v>
      </c>
      <c r="K1877" s="63" t="str">
        <f t="shared" ref="K1877:K1940" si="205">C1877&amp;F1877</f>
        <v>XBF-HD02AInput</v>
      </c>
      <c r="L1877" s="59">
        <f t="shared" si="202"/>
        <v>61</v>
      </c>
      <c r="M1877" s="59">
        <f t="shared" si="203"/>
        <v>37</v>
      </c>
      <c r="N1877" s="59">
        <f t="shared" si="204"/>
        <v>24</v>
      </c>
      <c r="O1877" s="60">
        <f t="shared" si="201"/>
        <v>1877</v>
      </c>
    </row>
    <row r="1878" spans="3:15">
      <c r="C1878" s="84" t="s">
        <v>111</v>
      </c>
      <c r="D1878" s="75"/>
      <c r="E1878" s="75"/>
      <c r="F1878" s="81" t="s">
        <v>151</v>
      </c>
      <c r="G1878" s="55" t="s">
        <v>2556</v>
      </c>
      <c r="H1878" s="55" t="s">
        <v>124</v>
      </c>
      <c r="I1878" s="59">
        <v>1.3</v>
      </c>
      <c r="J1878" s="60" t="s">
        <v>1059</v>
      </c>
      <c r="K1878" s="63" t="str">
        <f t="shared" si="205"/>
        <v>XBF-HD02AInput</v>
      </c>
      <c r="L1878" s="59">
        <f t="shared" si="202"/>
        <v>61</v>
      </c>
      <c r="M1878" s="59">
        <f t="shared" si="203"/>
        <v>37</v>
      </c>
      <c r="N1878" s="59">
        <f t="shared" si="204"/>
        <v>24</v>
      </c>
      <c r="O1878" s="60">
        <f t="shared" si="201"/>
        <v>1878</v>
      </c>
    </row>
    <row r="1879" spans="3:15">
      <c r="C1879" s="84" t="s">
        <v>111</v>
      </c>
      <c r="D1879" s="75"/>
      <c r="E1879" s="75"/>
      <c r="F1879" s="81" t="s">
        <v>151</v>
      </c>
      <c r="G1879" s="55" t="s">
        <v>2557</v>
      </c>
      <c r="H1879" s="55" t="s">
        <v>124</v>
      </c>
      <c r="I1879" s="59">
        <v>1.4</v>
      </c>
      <c r="J1879" s="60" t="s">
        <v>1061</v>
      </c>
      <c r="K1879" s="63" t="str">
        <f t="shared" si="205"/>
        <v>XBF-HD02AInput</v>
      </c>
      <c r="L1879" s="59">
        <f t="shared" si="202"/>
        <v>61</v>
      </c>
      <c r="M1879" s="59">
        <f t="shared" si="203"/>
        <v>37</v>
      </c>
      <c r="N1879" s="59">
        <f t="shared" si="204"/>
        <v>24</v>
      </c>
      <c r="O1879" s="60">
        <f t="shared" si="201"/>
        <v>1879</v>
      </c>
    </row>
    <row r="1880" spans="3:15">
      <c r="C1880" s="84" t="s">
        <v>111</v>
      </c>
      <c r="D1880" s="75"/>
      <c r="E1880" s="75"/>
      <c r="F1880" s="81" t="s">
        <v>151</v>
      </c>
      <c r="G1880" s="55" t="s">
        <v>2558</v>
      </c>
      <c r="H1880" s="55" t="s">
        <v>124</v>
      </c>
      <c r="I1880" s="59">
        <v>1.5</v>
      </c>
      <c r="J1880" s="60" t="s">
        <v>1063</v>
      </c>
      <c r="K1880" s="63" t="str">
        <f t="shared" si="205"/>
        <v>XBF-HD02AInput</v>
      </c>
      <c r="L1880" s="59">
        <f t="shared" si="202"/>
        <v>61</v>
      </c>
      <c r="M1880" s="59">
        <f t="shared" si="203"/>
        <v>37</v>
      </c>
      <c r="N1880" s="59">
        <f t="shared" si="204"/>
        <v>24</v>
      </c>
      <c r="O1880" s="60">
        <f t="shared" si="201"/>
        <v>1880</v>
      </c>
    </row>
    <row r="1881" spans="3:15">
      <c r="C1881" s="84" t="s">
        <v>111</v>
      </c>
      <c r="D1881" s="75"/>
      <c r="E1881" s="75"/>
      <c r="F1881" s="81" t="s">
        <v>151</v>
      </c>
      <c r="G1881" s="55" t="s">
        <v>2559</v>
      </c>
      <c r="H1881" s="55" t="s">
        <v>124</v>
      </c>
      <c r="I1881" s="59">
        <v>1.6</v>
      </c>
      <c r="J1881" s="60" t="s">
        <v>1065</v>
      </c>
      <c r="K1881" s="63" t="str">
        <f t="shared" si="205"/>
        <v>XBF-HD02AInput</v>
      </c>
      <c r="L1881" s="59">
        <f t="shared" si="202"/>
        <v>61</v>
      </c>
      <c r="M1881" s="59">
        <f t="shared" si="203"/>
        <v>37</v>
      </c>
      <c r="N1881" s="59">
        <f t="shared" si="204"/>
        <v>24</v>
      </c>
      <c r="O1881" s="60">
        <f t="shared" si="201"/>
        <v>1881</v>
      </c>
    </row>
    <row r="1882" spans="3:15">
      <c r="C1882" s="84" t="s">
        <v>111</v>
      </c>
      <c r="D1882" s="75"/>
      <c r="E1882" s="75"/>
      <c r="F1882" s="81" t="s">
        <v>151</v>
      </c>
      <c r="G1882" s="55" t="s">
        <v>2560</v>
      </c>
      <c r="H1882" s="55" t="s">
        <v>124</v>
      </c>
      <c r="I1882" s="59">
        <v>1.7</v>
      </c>
      <c r="J1882" s="60" t="s">
        <v>1067</v>
      </c>
      <c r="K1882" s="63" t="str">
        <f t="shared" si="205"/>
        <v>XBF-HD02AInput</v>
      </c>
      <c r="L1882" s="59">
        <f t="shared" si="202"/>
        <v>61</v>
      </c>
      <c r="M1882" s="59">
        <f t="shared" si="203"/>
        <v>37</v>
      </c>
      <c r="N1882" s="59">
        <f t="shared" si="204"/>
        <v>24</v>
      </c>
      <c r="O1882" s="60">
        <f t="shared" si="201"/>
        <v>1882</v>
      </c>
    </row>
    <row r="1883" spans="3:15">
      <c r="C1883" s="84" t="s">
        <v>111</v>
      </c>
      <c r="D1883" s="75"/>
      <c r="E1883" s="75"/>
      <c r="F1883" s="81" t="s">
        <v>151</v>
      </c>
      <c r="G1883" s="55" t="s">
        <v>2561</v>
      </c>
      <c r="H1883" s="55" t="s">
        <v>124</v>
      </c>
      <c r="I1883" s="59" t="s">
        <v>207</v>
      </c>
      <c r="J1883" s="60" t="s">
        <v>1069</v>
      </c>
      <c r="K1883" s="63" t="str">
        <f t="shared" si="205"/>
        <v>XBF-HD02AInput</v>
      </c>
      <c r="L1883" s="59">
        <f t="shared" si="202"/>
        <v>61</v>
      </c>
      <c r="M1883" s="59">
        <f t="shared" si="203"/>
        <v>37</v>
      </c>
      <c r="N1883" s="59">
        <f t="shared" si="204"/>
        <v>24</v>
      </c>
      <c r="O1883" s="60">
        <f t="shared" si="201"/>
        <v>1883</v>
      </c>
    </row>
    <row r="1884" spans="3:15">
      <c r="C1884" s="84" t="s">
        <v>111</v>
      </c>
      <c r="D1884" s="75"/>
      <c r="E1884" s="75"/>
      <c r="F1884" s="81" t="s">
        <v>151</v>
      </c>
      <c r="G1884" s="55" t="s">
        <v>2562</v>
      </c>
      <c r="H1884" s="55" t="s">
        <v>139</v>
      </c>
      <c r="I1884" s="59">
        <v>2</v>
      </c>
      <c r="J1884" s="60" t="s">
        <v>1071</v>
      </c>
      <c r="K1884" s="63" t="str">
        <f t="shared" si="205"/>
        <v>XBF-HD02AInput</v>
      </c>
      <c r="L1884" s="59">
        <f t="shared" si="202"/>
        <v>61</v>
      </c>
      <c r="M1884" s="59">
        <f t="shared" si="203"/>
        <v>37</v>
      </c>
      <c r="N1884" s="59">
        <f t="shared" si="204"/>
        <v>24</v>
      </c>
      <c r="O1884" s="60">
        <f t="shared" si="201"/>
        <v>1884</v>
      </c>
    </row>
    <row r="1885" spans="3:15">
      <c r="C1885" s="84" t="s">
        <v>111</v>
      </c>
      <c r="D1885" s="75"/>
      <c r="E1885" s="75"/>
      <c r="F1885" s="81" t="s">
        <v>151</v>
      </c>
      <c r="G1885" s="55" t="s">
        <v>2563</v>
      </c>
      <c r="H1885" s="55" t="s">
        <v>139</v>
      </c>
      <c r="I1885" s="59">
        <v>3</v>
      </c>
      <c r="J1885" s="60" t="s">
        <v>1073</v>
      </c>
      <c r="K1885" s="63" t="str">
        <f t="shared" si="205"/>
        <v>XBF-HD02AInput</v>
      </c>
      <c r="L1885" s="59">
        <f t="shared" si="202"/>
        <v>61</v>
      </c>
      <c r="M1885" s="59">
        <f t="shared" si="203"/>
        <v>37</v>
      </c>
      <c r="N1885" s="59">
        <f t="shared" si="204"/>
        <v>24</v>
      </c>
      <c r="O1885" s="60">
        <f t="shared" si="201"/>
        <v>1885</v>
      </c>
    </row>
    <row r="1886" spans="3:15">
      <c r="C1886" s="84" t="s">
        <v>111</v>
      </c>
      <c r="D1886" s="75"/>
      <c r="E1886" s="75"/>
      <c r="F1886" s="81" t="s">
        <v>151</v>
      </c>
      <c r="G1886" s="55" t="s">
        <v>2564</v>
      </c>
      <c r="H1886" s="55" t="s">
        <v>139</v>
      </c>
      <c r="I1886" s="59">
        <v>4</v>
      </c>
      <c r="J1886" s="60" t="s">
        <v>1075</v>
      </c>
      <c r="K1886" s="63" t="str">
        <f t="shared" si="205"/>
        <v>XBF-HD02AInput</v>
      </c>
      <c r="L1886" s="59">
        <f t="shared" si="202"/>
        <v>61</v>
      </c>
      <c r="M1886" s="59">
        <f t="shared" si="203"/>
        <v>37</v>
      </c>
      <c r="N1886" s="59">
        <f t="shared" si="204"/>
        <v>24</v>
      </c>
      <c r="O1886" s="60">
        <f t="shared" si="201"/>
        <v>1886</v>
      </c>
    </row>
    <row r="1887" spans="3:15">
      <c r="C1887" s="84" t="s">
        <v>111</v>
      </c>
      <c r="D1887" s="75"/>
      <c r="E1887" s="75"/>
      <c r="F1887" s="81" t="s">
        <v>151</v>
      </c>
      <c r="G1887" s="55" t="s">
        <v>2565</v>
      </c>
      <c r="H1887" s="55" t="s">
        <v>139</v>
      </c>
      <c r="I1887" s="59">
        <v>5</v>
      </c>
      <c r="J1887" s="60" t="s">
        <v>1077</v>
      </c>
      <c r="K1887" s="63" t="str">
        <f t="shared" si="205"/>
        <v>XBF-HD02AInput</v>
      </c>
      <c r="L1887" s="59">
        <f t="shared" si="202"/>
        <v>61</v>
      </c>
      <c r="M1887" s="59">
        <f t="shared" si="203"/>
        <v>37</v>
      </c>
      <c r="N1887" s="59">
        <f t="shared" si="204"/>
        <v>24</v>
      </c>
      <c r="O1887" s="60">
        <f t="shared" si="201"/>
        <v>1887</v>
      </c>
    </row>
    <row r="1888" spans="3:15">
      <c r="C1888" s="84" t="s">
        <v>111</v>
      </c>
      <c r="D1888" s="75"/>
      <c r="E1888" s="75"/>
      <c r="F1888" s="81" t="s">
        <v>151</v>
      </c>
      <c r="G1888" s="55" t="s">
        <v>2566</v>
      </c>
      <c r="H1888" s="55" t="s">
        <v>139</v>
      </c>
      <c r="I1888" s="59">
        <v>6</v>
      </c>
      <c r="J1888" s="60" t="s">
        <v>1079</v>
      </c>
      <c r="K1888" s="63" t="str">
        <f t="shared" si="205"/>
        <v>XBF-HD02AInput</v>
      </c>
      <c r="L1888" s="59">
        <f t="shared" si="202"/>
        <v>61</v>
      </c>
      <c r="M1888" s="59">
        <f t="shared" si="203"/>
        <v>37</v>
      </c>
      <c r="N1888" s="59">
        <f t="shared" si="204"/>
        <v>24</v>
      </c>
      <c r="O1888" s="60">
        <f t="shared" si="201"/>
        <v>1888</v>
      </c>
    </row>
    <row r="1889" spans="3:15">
      <c r="C1889" s="84" t="s">
        <v>111</v>
      </c>
      <c r="D1889" s="75"/>
      <c r="E1889" s="75"/>
      <c r="F1889" s="81" t="s">
        <v>151</v>
      </c>
      <c r="G1889" s="55" t="s">
        <v>2567</v>
      </c>
      <c r="H1889" s="55" t="s">
        <v>139</v>
      </c>
      <c r="I1889" s="59">
        <v>7</v>
      </c>
      <c r="J1889" s="60" t="s">
        <v>1081</v>
      </c>
      <c r="K1889" s="63" t="str">
        <f t="shared" si="205"/>
        <v>XBF-HD02AInput</v>
      </c>
      <c r="L1889" s="59">
        <f t="shared" si="202"/>
        <v>61</v>
      </c>
      <c r="M1889" s="59">
        <f t="shared" si="203"/>
        <v>37</v>
      </c>
      <c r="N1889" s="59">
        <f t="shared" si="204"/>
        <v>24</v>
      </c>
      <c r="O1889" s="60">
        <f t="shared" si="201"/>
        <v>1889</v>
      </c>
    </row>
    <row r="1890" spans="3:15">
      <c r="C1890" s="84" t="s">
        <v>111</v>
      </c>
      <c r="D1890" s="75"/>
      <c r="E1890" s="75"/>
      <c r="F1890" s="81" t="s">
        <v>151</v>
      </c>
      <c r="G1890" s="55" t="s">
        <v>2568</v>
      </c>
      <c r="H1890" s="55" t="s">
        <v>139</v>
      </c>
      <c r="I1890" s="59">
        <v>8</v>
      </c>
      <c r="J1890" s="60" t="s">
        <v>1083</v>
      </c>
      <c r="K1890" s="63" t="str">
        <f t="shared" si="205"/>
        <v>XBF-HD02AInput</v>
      </c>
      <c r="L1890" s="59">
        <f t="shared" si="202"/>
        <v>61</v>
      </c>
      <c r="M1890" s="59">
        <f t="shared" si="203"/>
        <v>37</v>
      </c>
      <c r="N1890" s="59">
        <f t="shared" si="204"/>
        <v>24</v>
      </c>
      <c r="O1890" s="60">
        <f t="shared" si="201"/>
        <v>1890</v>
      </c>
    </row>
    <row r="1891" spans="3:15">
      <c r="C1891" s="84" t="s">
        <v>111</v>
      </c>
      <c r="D1891" s="75"/>
      <c r="E1891" s="75"/>
      <c r="F1891" s="81" t="s">
        <v>151</v>
      </c>
      <c r="G1891" s="55" t="s">
        <v>2569</v>
      </c>
      <c r="H1891" s="55" t="s">
        <v>139</v>
      </c>
      <c r="I1891" s="59">
        <v>9</v>
      </c>
      <c r="J1891" s="60" t="s">
        <v>1085</v>
      </c>
      <c r="K1891" s="63" t="str">
        <f t="shared" si="205"/>
        <v>XBF-HD02AInput</v>
      </c>
      <c r="L1891" s="59">
        <f t="shared" si="202"/>
        <v>61</v>
      </c>
      <c r="M1891" s="59">
        <f t="shared" si="203"/>
        <v>37</v>
      </c>
      <c r="N1891" s="59">
        <f t="shared" si="204"/>
        <v>24</v>
      </c>
      <c r="O1891" s="60">
        <f t="shared" si="201"/>
        <v>1891</v>
      </c>
    </row>
    <row r="1892" spans="3:15">
      <c r="C1892" s="84" t="s">
        <v>111</v>
      </c>
      <c r="D1892" s="75"/>
      <c r="E1892" s="75"/>
      <c r="F1892" s="81" t="s">
        <v>151</v>
      </c>
      <c r="G1892" s="55" t="s">
        <v>2570</v>
      </c>
      <c r="H1892" s="55" t="s">
        <v>139</v>
      </c>
      <c r="I1892" s="59">
        <v>10</v>
      </c>
      <c r="J1892" s="60" t="s">
        <v>1087</v>
      </c>
      <c r="K1892" s="63" t="str">
        <f t="shared" si="205"/>
        <v>XBF-HD02AInput</v>
      </c>
      <c r="L1892" s="59">
        <f t="shared" si="202"/>
        <v>61</v>
      </c>
      <c r="M1892" s="59">
        <f t="shared" si="203"/>
        <v>37</v>
      </c>
      <c r="N1892" s="59">
        <f t="shared" si="204"/>
        <v>24</v>
      </c>
      <c r="O1892" s="60">
        <f t="shared" si="201"/>
        <v>1892</v>
      </c>
    </row>
    <row r="1893" spans="3:15">
      <c r="C1893" s="84" t="s">
        <v>111</v>
      </c>
      <c r="D1893" s="75"/>
      <c r="E1893" s="75"/>
      <c r="F1893" s="81" t="s">
        <v>151</v>
      </c>
      <c r="G1893" s="55" t="s">
        <v>2571</v>
      </c>
      <c r="H1893" s="55" t="s">
        <v>139</v>
      </c>
      <c r="I1893" s="59">
        <v>11</v>
      </c>
      <c r="J1893" s="60" t="s">
        <v>1089</v>
      </c>
      <c r="K1893" s="63" t="str">
        <f t="shared" si="205"/>
        <v>XBF-HD02AInput</v>
      </c>
      <c r="L1893" s="59">
        <f t="shared" si="202"/>
        <v>61</v>
      </c>
      <c r="M1893" s="59">
        <f t="shared" si="203"/>
        <v>37</v>
      </c>
      <c r="N1893" s="59">
        <f t="shared" si="204"/>
        <v>24</v>
      </c>
      <c r="O1893" s="60">
        <f t="shared" si="201"/>
        <v>1893</v>
      </c>
    </row>
    <row r="1894" spans="3:15">
      <c r="C1894" s="84" t="s">
        <v>111</v>
      </c>
      <c r="D1894" s="75"/>
      <c r="E1894" s="75"/>
      <c r="F1894" s="81" t="s">
        <v>151</v>
      </c>
      <c r="G1894" s="55" t="s">
        <v>2572</v>
      </c>
      <c r="H1894" s="55" t="s">
        <v>139</v>
      </c>
      <c r="I1894" s="59">
        <v>12</v>
      </c>
      <c r="J1894" s="60" t="s">
        <v>1091</v>
      </c>
      <c r="K1894" s="63" t="str">
        <f t="shared" si="205"/>
        <v>XBF-HD02AInput</v>
      </c>
      <c r="L1894" s="59">
        <f t="shared" si="202"/>
        <v>61</v>
      </c>
      <c r="M1894" s="59">
        <f t="shared" si="203"/>
        <v>37</v>
      </c>
      <c r="N1894" s="59">
        <f t="shared" si="204"/>
        <v>24</v>
      </c>
      <c r="O1894" s="60">
        <f t="shared" si="201"/>
        <v>1894</v>
      </c>
    </row>
    <row r="1895" spans="3:15">
      <c r="C1895" s="84" t="s">
        <v>111</v>
      </c>
      <c r="D1895" s="75"/>
      <c r="E1895" s="75"/>
      <c r="F1895" s="81" t="s">
        <v>151</v>
      </c>
      <c r="G1895" s="55" t="s">
        <v>2573</v>
      </c>
      <c r="H1895" s="55" t="s">
        <v>139</v>
      </c>
      <c r="I1895" s="59">
        <v>13</v>
      </c>
      <c r="J1895" s="60" t="s">
        <v>1093</v>
      </c>
      <c r="K1895" s="63" t="str">
        <f t="shared" si="205"/>
        <v>XBF-HD02AInput</v>
      </c>
      <c r="L1895" s="59">
        <f t="shared" si="202"/>
        <v>61</v>
      </c>
      <c r="M1895" s="59">
        <f t="shared" si="203"/>
        <v>37</v>
      </c>
      <c r="N1895" s="59">
        <f t="shared" si="204"/>
        <v>24</v>
      </c>
      <c r="O1895" s="60">
        <f t="shared" si="201"/>
        <v>1895</v>
      </c>
    </row>
    <row r="1896" spans="3:15">
      <c r="C1896" s="84" t="s">
        <v>111</v>
      </c>
      <c r="D1896" s="75"/>
      <c r="E1896" s="75"/>
      <c r="F1896" s="81" t="s">
        <v>151</v>
      </c>
      <c r="G1896" s="55" t="s">
        <v>2574</v>
      </c>
      <c r="H1896" s="55" t="s">
        <v>139</v>
      </c>
      <c r="I1896" s="59">
        <v>14</v>
      </c>
      <c r="J1896" s="60" t="s">
        <v>1095</v>
      </c>
      <c r="K1896" s="63" t="str">
        <f t="shared" si="205"/>
        <v>XBF-HD02AInput</v>
      </c>
      <c r="L1896" s="59">
        <f t="shared" si="202"/>
        <v>61</v>
      </c>
      <c r="M1896" s="59">
        <f t="shared" si="203"/>
        <v>37</v>
      </c>
      <c r="N1896" s="59">
        <f t="shared" si="204"/>
        <v>24</v>
      </c>
      <c r="O1896" s="60">
        <f t="shared" si="201"/>
        <v>1896</v>
      </c>
    </row>
    <row r="1897" spans="3:15">
      <c r="C1897" s="84" t="s">
        <v>111</v>
      </c>
      <c r="D1897" s="75"/>
      <c r="E1897" s="75"/>
      <c r="F1897" s="81" t="s">
        <v>151</v>
      </c>
      <c r="G1897" s="55" t="s">
        <v>2575</v>
      </c>
      <c r="H1897" s="55" t="s">
        <v>139</v>
      </c>
      <c r="I1897" s="59">
        <v>15</v>
      </c>
      <c r="J1897" s="60" t="s">
        <v>1097</v>
      </c>
      <c r="K1897" s="63" t="str">
        <f t="shared" si="205"/>
        <v>XBF-HD02AInput</v>
      </c>
      <c r="L1897" s="59">
        <f t="shared" si="202"/>
        <v>61</v>
      </c>
      <c r="M1897" s="59">
        <f t="shared" si="203"/>
        <v>37</v>
      </c>
      <c r="N1897" s="59">
        <f t="shared" si="204"/>
        <v>24</v>
      </c>
      <c r="O1897" s="60">
        <f t="shared" si="201"/>
        <v>1897</v>
      </c>
    </row>
    <row r="1898" spans="3:15">
      <c r="C1898" s="84" t="s">
        <v>111</v>
      </c>
      <c r="D1898" s="75"/>
      <c r="E1898" s="75"/>
      <c r="F1898" s="81" t="s">
        <v>151</v>
      </c>
      <c r="G1898" s="55" t="s">
        <v>2576</v>
      </c>
      <c r="H1898" s="55" t="s">
        <v>139</v>
      </c>
      <c r="I1898" s="59">
        <v>16</v>
      </c>
      <c r="J1898" s="60" t="s">
        <v>1099</v>
      </c>
      <c r="K1898" s="63" t="str">
        <f t="shared" si="205"/>
        <v>XBF-HD02AInput</v>
      </c>
      <c r="L1898" s="59">
        <f t="shared" si="202"/>
        <v>61</v>
      </c>
      <c r="M1898" s="59">
        <f t="shared" si="203"/>
        <v>37</v>
      </c>
      <c r="N1898" s="59">
        <f t="shared" si="204"/>
        <v>24</v>
      </c>
      <c r="O1898" s="60">
        <f t="shared" si="201"/>
        <v>1898</v>
      </c>
    </row>
    <row r="1899" spans="3:15">
      <c r="C1899" s="84" t="s">
        <v>111</v>
      </c>
      <c r="D1899" s="75"/>
      <c r="E1899" s="75"/>
      <c r="F1899" s="81" t="s">
        <v>151</v>
      </c>
      <c r="G1899" s="55" t="s">
        <v>2577</v>
      </c>
      <c r="H1899" s="55" t="s">
        <v>139</v>
      </c>
      <c r="I1899" s="59">
        <v>17</v>
      </c>
      <c r="J1899" s="60" t="s">
        <v>1101</v>
      </c>
      <c r="K1899" s="63" t="str">
        <f t="shared" si="205"/>
        <v>XBF-HD02AInput</v>
      </c>
      <c r="L1899" s="59">
        <f t="shared" si="202"/>
        <v>61</v>
      </c>
      <c r="M1899" s="59">
        <f t="shared" si="203"/>
        <v>37</v>
      </c>
      <c r="N1899" s="59">
        <f t="shared" si="204"/>
        <v>24</v>
      </c>
      <c r="O1899" s="60">
        <f t="shared" si="201"/>
        <v>1899</v>
      </c>
    </row>
    <row r="1900" spans="3:15">
      <c r="C1900" s="84" t="s">
        <v>111</v>
      </c>
      <c r="D1900" s="75"/>
      <c r="E1900" s="75"/>
      <c r="F1900" s="81" t="s">
        <v>151</v>
      </c>
      <c r="G1900" s="55" t="s">
        <v>2578</v>
      </c>
      <c r="H1900" s="55" t="s">
        <v>139</v>
      </c>
      <c r="I1900" s="59">
        <v>18</v>
      </c>
      <c r="J1900" s="60" t="s">
        <v>1103</v>
      </c>
      <c r="K1900" s="63" t="str">
        <f t="shared" si="205"/>
        <v>XBF-HD02AInput</v>
      </c>
      <c r="L1900" s="59">
        <f t="shared" si="202"/>
        <v>61</v>
      </c>
      <c r="M1900" s="59">
        <f t="shared" si="203"/>
        <v>37</v>
      </c>
      <c r="N1900" s="59">
        <f t="shared" si="204"/>
        <v>24</v>
      </c>
      <c r="O1900" s="60">
        <f t="shared" si="201"/>
        <v>1900</v>
      </c>
    </row>
    <row r="1901" spans="3:15">
      <c r="C1901" s="84" t="s">
        <v>111</v>
      </c>
      <c r="D1901" s="75"/>
      <c r="E1901" s="75"/>
      <c r="F1901" s="81" t="s">
        <v>151</v>
      </c>
      <c r="G1901" s="55" t="s">
        <v>2579</v>
      </c>
      <c r="H1901" s="55" t="s">
        <v>139</v>
      </c>
      <c r="I1901" s="59">
        <v>19</v>
      </c>
      <c r="J1901" s="60" t="s">
        <v>1105</v>
      </c>
      <c r="K1901" s="63" t="str">
        <f t="shared" si="205"/>
        <v>XBF-HD02AInput</v>
      </c>
      <c r="L1901" s="59">
        <f t="shared" si="202"/>
        <v>61</v>
      </c>
      <c r="M1901" s="59">
        <f t="shared" si="203"/>
        <v>37</v>
      </c>
      <c r="N1901" s="59">
        <f t="shared" si="204"/>
        <v>24</v>
      </c>
      <c r="O1901" s="60">
        <f t="shared" si="201"/>
        <v>1901</v>
      </c>
    </row>
    <row r="1902" spans="3:15">
      <c r="C1902" s="84" t="s">
        <v>111</v>
      </c>
      <c r="D1902" s="75"/>
      <c r="E1902" s="75"/>
      <c r="F1902" s="81" t="s">
        <v>151</v>
      </c>
      <c r="G1902" s="55" t="s">
        <v>2580</v>
      </c>
      <c r="H1902" s="55" t="s">
        <v>139</v>
      </c>
      <c r="I1902" s="59">
        <v>20</v>
      </c>
      <c r="J1902" s="60" t="s">
        <v>1107</v>
      </c>
      <c r="K1902" s="63" t="str">
        <f t="shared" si="205"/>
        <v>XBF-HD02AInput</v>
      </c>
      <c r="L1902" s="59">
        <f t="shared" si="202"/>
        <v>61</v>
      </c>
      <c r="M1902" s="59">
        <f t="shared" si="203"/>
        <v>37</v>
      </c>
      <c r="N1902" s="59">
        <f t="shared" si="204"/>
        <v>24</v>
      </c>
      <c r="O1902" s="60">
        <f t="shared" si="201"/>
        <v>1902</v>
      </c>
    </row>
    <row r="1903" spans="3:15">
      <c r="C1903" s="84" t="s">
        <v>111</v>
      </c>
      <c r="D1903" s="75"/>
      <c r="E1903" s="75"/>
      <c r="F1903" s="81" t="s">
        <v>151</v>
      </c>
      <c r="G1903" s="55" t="s">
        <v>2581</v>
      </c>
      <c r="H1903" s="55" t="s">
        <v>139</v>
      </c>
      <c r="I1903" s="59">
        <v>21</v>
      </c>
      <c r="J1903" s="60" t="s">
        <v>1109</v>
      </c>
      <c r="K1903" s="63" t="str">
        <f t="shared" si="205"/>
        <v>XBF-HD02AInput</v>
      </c>
      <c r="L1903" s="59">
        <f t="shared" si="202"/>
        <v>61</v>
      </c>
      <c r="M1903" s="59">
        <f t="shared" si="203"/>
        <v>37</v>
      </c>
      <c r="N1903" s="59">
        <f t="shared" si="204"/>
        <v>24</v>
      </c>
      <c r="O1903" s="60">
        <f t="shared" si="201"/>
        <v>1903</v>
      </c>
    </row>
    <row r="1904" spans="3:15">
      <c r="C1904" s="84" t="s">
        <v>111</v>
      </c>
      <c r="D1904" s="75"/>
      <c r="E1904" s="75"/>
      <c r="F1904" s="81" t="s">
        <v>166</v>
      </c>
      <c r="G1904" s="55" t="s">
        <v>2582</v>
      </c>
      <c r="H1904" s="55" t="s">
        <v>124</v>
      </c>
      <c r="I1904" s="59">
        <v>0</v>
      </c>
      <c r="J1904" s="60" t="s">
        <v>1111</v>
      </c>
      <c r="K1904" s="63"/>
      <c r="L1904" s="59"/>
      <c r="M1904" s="59"/>
      <c r="N1904" s="59"/>
      <c r="O1904" s="60">
        <f t="shared" si="201"/>
        <v>1904</v>
      </c>
    </row>
    <row r="1905" spans="3:15">
      <c r="C1905" s="84" t="s">
        <v>111</v>
      </c>
      <c r="D1905" s="75"/>
      <c r="E1905" s="75"/>
      <c r="F1905" s="81" t="s">
        <v>166</v>
      </c>
      <c r="G1905" s="55" t="s">
        <v>2583</v>
      </c>
      <c r="H1905" s="55" t="s">
        <v>124</v>
      </c>
      <c r="I1905" s="59">
        <v>0.1</v>
      </c>
      <c r="J1905" s="60" t="s">
        <v>1113</v>
      </c>
      <c r="K1905" s="63"/>
      <c r="L1905" s="59"/>
      <c r="M1905" s="59"/>
      <c r="N1905" s="59"/>
      <c r="O1905" s="60">
        <f t="shared" si="201"/>
        <v>1905</v>
      </c>
    </row>
    <row r="1906" spans="3:15">
      <c r="C1906" s="84" t="s">
        <v>111</v>
      </c>
      <c r="D1906" s="75"/>
      <c r="E1906" s="75"/>
      <c r="F1906" s="81" t="s">
        <v>166</v>
      </c>
      <c r="G1906" s="55" t="s">
        <v>2584</v>
      </c>
      <c r="H1906" s="55" t="s">
        <v>124</v>
      </c>
      <c r="I1906" s="59">
        <v>0.2</v>
      </c>
      <c r="J1906" s="60" t="s">
        <v>1115</v>
      </c>
      <c r="K1906" s="63"/>
      <c r="L1906" s="59"/>
      <c r="M1906" s="59"/>
      <c r="N1906" s="59"/>
      <c r="O1906" s="60">
        <f t="shared" si="201"/>
        <v>1906</v>
      </c>
    </row>
    <row r="1907" spans="3:15">
      <c r="C1907" s="84" t="s">
        <v>111</v>
      </c>
      <c r="D1907" s="75"/>
      <c r="E1907" s="75"/>
      <c r="F1907" s="81" t="s">
        <v>166</v>
      </c>
      <c r="G1907" s="72" t="s">
        <v>3511</v>
      </c>
      <c r="H1907" s="55" t="s">
        <v>124</v>
      </c>
      <c r="I1907" s="59">
        <v>0.3</v>
      </c>
      <c r="J1907" s="60" t="s">
        <v>1116</v>
      </c>
      <c r="K1907" s="63"/>
      <c r="L1907" s="59"/>
      <c r="M1907" s="59"/>
      <c r="N1907" s="59"/>
      <c r="O1907" s="60">
        <f t="shared" si="201"/>
        <v>1907</v>
      </c>
    </row>
    <row r="1908" spans="3:15">
      <c r="C1908" s="84" t="s">
        <v>111</v>
      </c>
      <c r="D1908" s="75"/>
      <c r="E1908" s="75"/>
      <c r="F1908" s="81" t="s">
        <v>166</v>
      </c>
      <c r="G1908" s="55" t="s">
        <v>2585</v>
      </c>
      <c r="H1908" s="55" t="s">
        <v>124</v>
      </c>
      <c r="I1908" s="59">
        <v>0.4</v>
      </c>
      <c r="J1908" s="60" t="s">
        <v>1118</v>
      </c>
      <c r="K1908" s="63"/>
      <c r="L1908" s="59"/>
      <c r="M1908" s="59"/>
      <c r="N1908" s="59"/>
      <c r="O1908" s="60">
        <f t="shared" si="201"/>
        <v>1908</v>
      </c>
    </row>
    <row r="1909" spans="3:15">
      <c r="C1909" s="84" t="s">
        <v>111</v>
      </c>
      <c r="D1909" s="75"/>
      <c r="E1909" s="75"/>
      <c r="F1909" s="81" t="s">
        <v>166</v>
      </c>
      <c r="G1909" s="55" t="s">
        <v>2586</v>
      </c>
      <c r="H1909" s="55" t="s">
        <v>124</v>
      </c>
      <c r="I1909" s="59">
        <v>0.5</v>
      </c>
      <c r="J1909" s="60" t="s">
        <v>1120</v>
      </c>
      <c r="K1909" s="63"/>
      <c r="L1909" s="59"/>
      <c r="M1909" s="59"/>
      <c r="N1909" s="59"/>
      <c r="O1909" s="60">
        <f t="shared" si="201"/>
        <v>1909</v>
      </c>
    </row>
    <row r="1910" spans="3:15">
      <c r="C1910" s="84" t="s">
        <v>111</v>
      </c>
      <c r="D1910" s="75"/>
      <c r="E1910" s="75"/>
      <c r="F1910" s="81" t="s">
        <v>166</v>
      </c>
      <c r="G1910" s="55" t="s">
        <v>2587</v>
      </c>
      <c r="H1910" s="55" t="s">
        <v>124</v>
      </c>
      <c r="I1910" s="59">
        <v>0.6</v>
      </c>
      <c r="J1910" s="60" t="s">
        <v>1122</v>
      </c>
      <c r="K1910" s="63"/>
      <c r="L1910" s="59"/>
      <c r="M1910" s="59"/>
      <c r="N1910" s="59"/>
      <c r="O1910" s="60">
        <f t="shared" si="201"/>
        <v>1910</v>
      </c>
    </row>
    <row r="1911" spans="3:15">
      <c r="C1911" s="84" t="s">
        <v>111</v>
      </c>
      <c r="D1911" s="75"/>
      <c r="E1911" s="75"/>
      <c r="F1911" s="81" t="s">
        <v>166</v>
      </c>
      <c r="G1911" s="55" t="s">
        <v>2588</v>
      </c>
      <c r="H1911" s="55" t="s">
        <v>124</v>
      </c>
      <c r="I1911" s="59">
        <v>0.7</v>
      </c>
      <c r="J1911" s="60" t="s">
        <v>1124</v>
      </c>
      <c r="K1911" s="63"/>
      <c r="L1911" s="59"/>
      <c r="M1911" s="59"/>
      <c r="N1911" s="59"/>
      <c r="O1911" s="60">
        <f t="shared" si="201"/>
        <v>1911</v>
      </c>
    </row>
    <row r="1912" spans="3:15">
      <c r="C1912" s="84" t="s">
        <v>111</v>
      </c>
      <c r="D1912" s="75"/>
      <c r="E1912" s="75"/>
      <c r="F1912" s="81" t="s">
        <v>166</v>
      </c>
      <c r="G1912" s="55" t="s">
        <v>2589</v>
      </c>
      <c r="H1912" s="55" t="s">
        <v>124</v>
      </c>
      <c r="I1912" s="59" t="s">
        <v>988</v>
      </c>
      <c r="J1912" s="60" t="s">
        <v>1126</v>
      </c>
      <c r="K1912" s="63"/>
      <c r="L1912" s="59"/>
      <c r="M1912" s="59"/>
      <c r="N1912" s="59"/>
      <c r="O1912" s="60">
        <f t="shared" si="201"/>
        <v>1912</v>
      </c>
    </row>
    <row r="1913" spans="3:15">
      <c r="C1913" s="84" t="s">
        <v>111</v>
      </c>
      <c r="D1913" s="75"/>
      <c r="E1913" s="75"/>
      <c r="F1913" s="81" t="s">
        <v>166</v>
      </c>
      <c r="G1913" s="55" t="s">
        <v>2590</v>
      </c>
      <c r="H1913" s="55" t="s">
        <v>124</v>
      </c>
      <c r="I1913" s="59" t="s">
        <v>991</v>
      </c>
      <c r="J1913" s="60" t="s">
        <v>1128</v>
      </c>
      <c r="K1913" s="63"/>
      <c r="L1913" s="59"/>
      <c r="M1913" s="59"/>
      <c r="N1913" s="59"/>
      <c r="O1913" s="60">
        <f t="shared" si="201"/>
        <v>1913</v>
      </c>
    </row>
    <row r="1914" spans="3:15">
      <c r="C1914" s="84" t="s">
        <v>111</v>
      </c>
      <c r="D1914" s="75"/>
      <c r="E1914" s="75"/>
      <c r="F1914" s="81" t="s">
        <v>166</v>
      </c>
      <c r="G1914" s="55" t="s">
        <v>2591</v>
      </c>
      <c r="H1914" s="55" t="s">
        <v>124</v>
      </c>
      <c r="I1914" s="59" t="s">
        <v>1130</v>
      </c>
      <c r="J1914" s="60" t="s">
        <v>1131</v>
      </c>
      <c r="K1914" s="63"/>
      <c r="L1914" s="59"/>
      <c r="M1914" s="59"/>
      <c r="N1914" s="59"/>
      <c r="O1914" s="60">
        <f t="shared" si="201"/>
        <v>1914</v>
      </c>
    </row>
    <row r="1915" spans="3:15">
      <c r="C1915" s="84" t="s">
        <v>111</v>
      </c>
      <c r="D1915" s="75"/>
      <c r="E1915" s="75"/>
      <c r="F1915" s="81" t="s">
        <v>166</v>
      </c>
      <c r="G1915" s="55" t="s">
        <v>2592</v>
      </c>
      <c r="H1915" s="55" t="s">
        <v>124</v>
      </c>
      <c r="I1915" s="59" t="s">
        <v>1133</v>
      </c>
      <c r="J1915" s="60" t="s">
        <v>1134</v>
      </c>
      <c r="K1915" s="63"/>
      <c r="L1915" s="59"/>
      <c r="M1915" s="59"/>
      <c r="N1915" s="59"/>
      <c r="O1915" s="60">
        <f t="shared" si="201"/>
        <v>1915</v>
      </c>
    </row>
    <row r="1916" spans="3:15">
      <c r="C1916" s="84" t="s">
        <v>111</v>
      </c>
      <c r="D1916" s="75"/>
      <c r="E1916" s="75"/>
      <c r="F1916" s="81" t="s">
        <v>166</v>
      </c>
      <c r="G1916" s="55" t="s">
        <v>2593</v>
      </c>
      <c r="H1916" s="55" t="s">
        <v>124</v>
      </c>
      <c r="I1916" s="59">
        <v>1</v>
      </c>
      <c r="J1916" s="60" t="s">
        <v>1136</v>
      </c>
      <c r="K1916" s="63"/>
      <c r="L1916" s="59"/>
      <c r="M1916" s="59"/>
      <c r="N1916" s="59"/>
      <c r="O1916" s="60">
        <f t="shared" si="201"/>
        <v>1916</v>
      </c>
    </row>
    <row r="1917" spans="3:15">
      <c r="C1917" s="84" t="s">
        <v>111</v>
      </c>
      <c r="D1917" s="75"/>
      <c r="E1917" s="75"/>
      <c r="F1917" s="81" t="s">
        <v>166</v>
      </c>
      <c r="G1917" s="55" t="s">
        <v>2594</v>
      </c>
      <c r="H1917" s="55" t="s">
        <v>124</v>
      </c>
      <c r="I1917" s="59">
        <v>1.1000000000000001</v>
      </c>
      <c r="J1917" s="60" t="s">
        <v>1138</v>
      </c>
      <c r="K1917" s="63"/>
      <c r="L1917" s="59"/>
      <c r="M1917" s="59"/>
      <c r="N1917" s="59"/>
      <c r="O1917" s="60">
        <f t="shared" si="201"/>
        <v>1917</v>
      </c>
    </row>
    <row r="1918" spans="3:15">
      <c r="C1918" s="84" t="s">
        <v>111</v>
      </c>
      <c r="D1918" s="75"/>
      <c r="E1918" s="75"/>
      <c r="F1918" s="81" t="s">
        <v>166</v>
      </c>
      <c r="G1918" s="55" t="s">
        <v>2595</v>
      </c>
      <c r="H1918" s="55" t="s">
        <v>124</v>
      </c>
      <c r="I1918" s="59">
        <v>1.2</v>
      </c>
      <c r="J1918" s="60" t="s">
        <v>1140</v>
      </c>
      <c r="K1918" s="63"/>
      <c r="L1918" s="59"/>
      <c r="M1918" s="59"/>
      <c r="N1918" s="59"/>
      <c r="O1918" s="60">
        <f t="shared" si="201"/>
        <v>1918</v>
      </c>
    </row>
    <row r="1919" spans="3:15">
      <c r="C1919" s="84" t="s">
        <v>111</v>
      </c>
      <c r="D1919" s="75"/>
      <c r="E1919" s="75"/>
      <c r="F1919" s="81" t="s">
        <v>166</v>
      </c>
      <c r="G1919" s="72" t="s">
        <v>3512</v>
      </c>
      <c r="H1919" s="55" t="s">
        <v>124</v>
      </c>
      <c r="I1919" s="59">
        <v>1.3</v>
      </c>
      <c r="J1919" s="60" t="s">
        <v>2596</v>
      </c>
      <c r="K1919" s="63"/>
      <c r="L1919" s="59"/>
      <c r="M1919" s="59"/>
      <c r="N1919" s="59"/>
      <c r="O1919" s="60">
        <f t="shared" si="201"/>
        <v>1919</v>
      </c>
    </row>
    <row r="1920" spans="3:15">
      <c r="C1920" s="84" t="s">
        <v>111</v>
      </c>
      <c r="D1920" s="75"/>
      <c r="E1920" s="75"/>
      <c r="F1920" s="81" t="s">
        <v>166</v>
      </c>
      <c r="G1920" s="55" t="s">
        <v>2597</v>
      </c>
      <c r="H1920" s="55" t="s">
        <v>124</v>
      </c>
      <c r="I1920" s="59">
        <v>1.4</v>
      </c>
      <c r="J1920" s="60" t="s">
        <v>1143</v>
      </c>
      <c r="K1920" s="63"/>
      <c r="L1920" s="59"/>
      <c r="M1920" s="59"/>
      <c r="N1920" s="59"/>
      <c r="O1920" s="60">
        <f t="shared" si="201"/>
        <v>1920</v>
      </c>
    </row>
    <row r="1921" spans="2:22">
      <c r="C1921" s="84" t="s">
        <v>111</v>
      </c>
      <c r="D1921" s="75"/>
      <c r="E1921" s="75"/>
      <c r="F1921" s="81" t="s">
        <v>166</v>
      </c>
      <c r="G1921" s="55" t="s">
        <v>2598</v>
      </c>
      <c r="H1921" s="55" t="s">
        <v>124</v>
      </c>
      <c r="I1921" s="59">
        <v>1.5</v>
      </c>
      <c r="J1921" s="60" t="s">
        <v>1145</v>
      </c>
      <c r="K1921" s="63"/>
      <c r="L1921" s="59"/>
      <c r="M1921" s="59"/>
      <c r="N1921" s="59"/>
      <c r="O1921" s="60">
        <f t="shared" si="201"/>
        <v>1921</v>
      </c>
    </row>
    <row r="1922" spans="2:22">
      <c r="C1922" s="84" t="s">
        <v>111</v>
      </c>
      <c r="D1922" s="75"/>
      <c r="E1922" s="75"/>
      <c r="F1922" s="81" t="s">
        <v>166</v>
      </c>
      <c r="G1922" s="55" t="s">
        <v>2599</v>
      </c>
      <c r="H1922" s="55" t="s">
        <v>124</v>
      </c>
      <c r="I1922" s="59">
        <v>1.6</v>
      </c>
      <c r="J1922" s="60" t="s">
        <v>1122</v>
      </c>
      <c r="K1922" s="63"/>
      <c r="L1922" s="59"/>
      <c r="M1922" s="59"/>
      <c r="N1922" s="59"/>
      <c r="O1922" s="60">
        <f t="shared" ref="O1922:O1985" si="206">ROW(C1922)</f>
        <v>1922</v>
      </c>
    </row>
    <row r="1923" spans="2:22">
      <c r="C1923" s="84" t="s">
        <v>111</v>
      </c>
      <c r="D1923" s="75"/>
      <c r="E1923" s="75"/>
      <c r="F1923" s="81" t="s">
        <v>166</v>
      </c>
      <c r="G1923" s="55" t="s">
        <v>2600</v>
      </c>
      <c r="H1923" s="55" t="s">
        <v>124</v>
      </c>
      <c r="I1923" s="59">
        <v>1.7</v>
      </c>
      <c r="J1923" s="60" t="s">
        <v>2601</v>
      </c>
      <c r="K1923" s="63"/>
      <c r="L1923" s="59"/>
      <c r="M1923" s="59"/>
      <c r="N1923" s="59"/>
      <c r="O1923" s="60">
        <f t="shared" si="206"/>
        <v>1923</v>
      </c>
    </row>
    <row r="1924" spans="2:22">
      <c r="C1924" s="84" t="s">
        <v>111</v>
      </c>
      <c r="D1924" s="75"/>
      <c r="E1924" s="75"/>
      <c r="F1924" s="81" t="s">
        <v>166</v>
      </c>
      <c r="G1924" s="55" t="s">
        <v>2602</v>
      </c>
      <c r="H1924" s="55" t="s">
        <v>124</v>
      </c>
      <c r="I1924" s="59" t="s">
        <v>136</v>
      </c>
      <c r="J1924" s="60" t="s">
        <v>1150</v>
      </c>
      <c r="K1924" s="63"/>
      <c r="L1924" s="59"/>
      <c r="M1924" s="59"/>
      <c r="N1924" s="59"/>
      <c r="O1924" s="60">
        <f t="shared" si="206"/>
        <v>1924</v>
      </c>
    </row>
    <row r="1925" spans="2:22">
      <c r="C1925" s="84" t="s">
        <v>111</v>
      </c>
      <c r="D1925" s="75"/>
      <c r="E1925" s="75"/>
      <c r="F1925" s="81" t="s">
        <v>166</v>
      </c>
      <c r="G1925" s="55" t="s">
        <v>2603</v>
      </c>
      <c r="H1925" s="55" t="s">
        <v>124</v>
      </c>
      <c r="I1925" s="59" t="s">
        <v>138</v>
      </c>
      <c r="J1925" s="60" t="s">
        <v>1152</v>
      </c>
      <c r="K1925" s="63"/>
      <c r="L1925" s="59"/>
      <c r="M1925" s="59"/>
      <c r="N1925" s="59"/>
      <c r="O1925" s="60">
        <f t="shared" si="206"/>
        <v>1925</v>
      </c>
    </row>
    <row r="1926" spans="2:22">
      <c r="C1926" s="84" t="s">
        <v>111</v>
      </c>
      <c r="D1926" s="75"/>
      <c r="E1926" s="75"/>
      <c r="F1926" s="81" t="s">
        <v>166</v>
      </c>
      <c r="G1926" s="55" t="s">
        <v>2604</v>
      </c>
      <c r="H1926" s="55" t="s">
        <v>124</v>
      </c>
      <c r="I1926" s="59" t="s">
        <v>201</v>
      </c>
      <c r="J1926" s="60" t="s">
        <v>1154</v>
      </c>
      <c r="K1926" s="63"/>
      <c r="L1926" s="59"/>
      <c r="M1926" s="59"/>
      <c r="N1926" s="59"/>
      <c r="O1926" s="60">
        <f t="shared" si="206"/>
        <v>1926</v>
      </c>
    </row>
    <row r="1927" spans="2:22">
      <c r="C1927" s="84" t="s">
        <v>111</v>
      </c>
      <c r="D1927" s="75"/>
      <c r="E1927" s="75"/>
      <c r="F1927" s="81" t="s">
        <v>166</v>
      </c>
      <c r="G1927" s="55" t="s">
        <v>2605</v>
      </c>
      <c r="H1927" s="55" t="s">
        <v>124</v>
      </c>
      <c r="I1927" s="59" t="s">
        <v>204</v>
      </c>
      <c r="J1927" s="60" t="s">
        <v>1156</v>
      </c>
      <c r="K1927" s="63"/>
      <c r="L1927" s="59"/>
      <c r="M1927" s="59"/>
      <c r="N1927" s="59"/>
      <c r="O1927" s="60">
        <f t="shared" si="206"/>
        <v>1927</v>
      </c>
      <c r="P1927" s="65"/>
    </row>
    <row r="1928" spans="2:22">
      <c r="B1928" t="s">
        <v>115</v>
      </c>
      <c r="C1928" s="83" t="s">
        <v>363</v>
      </c>
      <c r="D1928" s="75">
        <v>4</v>
      </c>
      <c r="E1928" s="75">
        <v>0</v>
      </c>
      <c r="F1928" s="81" t="s">
        <v>14</v>
      </c>
      <c r="G1928" s="62" t="s">
        <v>3616</v>
      </c>
      <c r="H1928" s="55" t="s">
        <v>139</v>
      </c>
      <c r="I1928" s="59">
        <v>0</v>
      </c>
      <c r="J1928" s="60" t="s">
        <v>3204</v>
      </c>
      <c r="K1928" s="63" t="str">
        <f t="shared" si="205"/>
        <v>GEL-D24CInput</v>
      </c>
      <c r="L1928" s="59">
        <f>COUNTIF($C$2:$C$2062,C1928)</f>
        <v>1</v>
      </c>
      <c r="M1928" s="59">
        <f>COUNTIF($K$2:$K$2062,K1928)</f>
        <v>1</v>
      </c>
      <c r="N1928" s="59">
        <f t="shared" ref="N1928:N1986" si="207">L1928-M1928</f>
        <v>0</v>
      </c>
      <c r="O1928" s="60">
        <f t="shared" si="206"/>
        <v>1928</v>
      </c>
      <c r="P1928" s="65" t="s">
        <v>3214</v>
      </c>
      <c r="Q1928">
        <f>O1928</f>
        <v>1928</v>
      </c>
      <c r="R1928" t="s">
        <v>3215</v>
      </c>
      <c r="S1928">
        <v>1929</v>
      </c>
      <c r="T1928" t="str">
        <f>P1928&amp;Q1928&amp;R1928&amp;S1928</f>
        <v>All data map'!$F$1928:$J$1929</v>
      </c>
      <c r="V1928" t="s">
        <v>3292</v>
      </c>
    </row>
    <row r="1929" spans="2:22">
      <c r="C1929" s="83" t="s">
        <v>364</v>
      </c>
      <c r="D1929" s="75">
        <v>0</v>
      </c>
      <c r="E1929" s="75">
        <v>2</v>
      </c>
      <c r="F1929" s="81" t="s">
        <v>15</v>
      </c>
      <c r="G1929" s="62" t="s">
        <v>3614</v>
      </c>
      <c r="H1929" s="55" t="s">
        <v>139</v>
      </c>
      <c r="I1929" s="59">
        <v>0</v>
      </c>
      <c r="J1929" s="60" t="s">
        <v>3205</v>
      </c>
      <c r="K1929" s="63"/>
      <c r="L1929" s="59">
        <f>COUNTIF($C$2:$C$2062,C1929)</f>
        <v>1</v>
      </c>
      <c r="M1929" s="59">
        <f>COUNTIF($K$2:$K$2062,K1929)</f>
        <v>0</v>
      </c>
      <c r="N1929" s="59">
        <f t="shared" si="207"/>
        <v>1</v>
      </c>
      <c r="O1929" s="60">
        <f t="shared" si="206"/>
        <v>1929</v>
      </c>
      <c r="P1929" s="65" t="s">
        <v>3214</v>
      </c>
      <c r="Q1929">
        <f>O1929</f>
        <v>1929</v>
      </c>
      <c r="R1929" t="s">
        <v>3215</v>
      </c>
      <c r="S1929">
        <v>1930</v>
      </c>
      <c r="T1929" t="str">
        <f>P1929&amp;Q1929&amp;R1929&amp;S1929</f>
        <v>All data map'!$F$1929:$J$1930</v>
      </c>
      <c r="V1929" t="s">
        <v>3293</v>
      </c>
    </row>
    <row r="1930" spans="2:22">
      <c r="C1930" s="83" t="s">
        <v>365</v>
      </c>
      <c r="D1930" s="75">
        <v>0</v>
      </c>
      <c r="E1930" s="75">
        <v>4</v>
      </c>
      <c r="F1930" s="81" t="s">
        <v>15</v>
      </c>
      <c r="G1930" s="62" t="s">
        <v>3618</v>
      </c>
      <c r="H1930" s="55" t="s">
        <v>139</v>
      </c>
      <c r="I1930" s="59">
        <v>0</v>
      </c>
      <c r="J1930" s="60" t="s">
        <v>3205</v>
      </c>
      <c r="K1930" s="63"/>
      <c r="L1930" s="59">
        <f>COUNTIF($C$2:$C$2062,C1930)</f>
        <v>1</v>
      </c>
      <c r="M1930" s="59">
        <f>COUNTIF($K$2:$K$2062,K1930)</f>
        <v>0</v>
      </c>
      <c r="N1930" s="59">
        <f t="shared" si="207"/>
        <v>1</v>
      </c>
      <c r="O1930" s="60">
        <f t="shared" si="206"/>
        <v>1930</v>
      </c>
      <c r="P1930" s="65" t="s">
        <v>3214</v>
      </c>
      <c r="Q1930">
        <f>O1930</f>
        <v>1930</v>
      </c>
      <c r="R1930" t="s">
        <v>3215</v>
      </c>
      <c r="S1930">
        <v>1931</v>
      </c>
      <c r="T1930" t="str">
        <f>P1930&amp;Q1930&amp;R1930&amp;S1930</f>
        <v>All data map'!$F$1930:$J$1931</v>
      </c>
      <c r="V1930" t="s">
        <v>3294</v>
      </c>
    </row>
    <row r="1931" spans="2:22">
      <c r="C1931" s="83" t="s">
        <v>366</v>
      </c>
      <c r="D1931" s="75">
        <v>2</v>
      </c>
      <c r="E1931" s="75">
        <v>2</v>
      </c>
      <c r="F1931" s="81" t="s">
        <v>14</v>
      </c>
      <c r="G1931" s="62" t="s">
        <v>3612</v>
      </c>
      <c r="H1931" s="55" t="s">
        <v>139</v>
      </c>
      <c r="I1931" s="59">
        <v>0</v>
      </c>
      <c r="J1931" s="60" t="s">
        <v>3204</v>
      </c>
      <c r="K1931" s="63" t="str">
        <f t="shared" si="205"/>
        <v>GEL-DT4C1Input</v>
      </c>
      <c r="L1931" s="59">
        <f>COUNTIF($C$2:$C$2062,C1931)</f>
        <v>2</v>
      </c>
      <c r="M1931" s="59">
        <f>COUNTIF($K$2:$K$2062,K1931)</f>
        <v>1</v>
      </c>
      <c r="N1931" s="59">
        <f t="shared" si="207"/>
        <v>1</v>
      </c>
      <c r="O1931" s="60">
        <f t="shared" si="206"/>
        <v>1931</v>
      </c>
      <c r="P1931" s="65" t="s">
        <v>3214</v>
      </c>
      <c r="Q1931">
        <f>O1931</f>
        <v>1931</v>
      </c>
      <c r="R1931" t="s">
        <v>3215</v>
      </c>
      <c r="S1931">
        <v>1933</v>
      </c>
      <c r="T1931" t="str">
        <f>P1931&amp;Q1931&amp;R1931&amp;S1931</f>
        <v>All data map'!$F$1931:$J$1933</v>
      </c>
      <c r="V1931" t="s">
        <v>3295</v>
      </c>
    </row>
    <row r="1932" spans="2:22">
      <c r="C1932" s="83" t="s">
        <v>366</v>
      </c>
      <c r="D1932" s="75"/>
      <c r="E1932" s="75"/>
      <c r="F1932" s="81" t="s">
        <v>15</v>
      </c>
      <c r="G1932" s="62" t="s">
        <v>3614</v>
      </c>
      <c r="H1932" s="55" t="s">
        <v>139</v>
      </c>
      <c r="I1932" s="59">
        <v>0</v>
      </c>
      <c r="J1932" s="60" t="s">
        <v>3205</v>
      </c>
      <c r="K1932" s="63"/>
      <c r="L1932" s="59"/>
      <c r="M1932" s="59"/>
      <c r="N1932" s="59"/>
      <c r="O1932" s="60">
        <f t="shared" si="206"/>
        <v>1932</v>
      </c>
      <c r="P1932" s="65"/>
    </row>
    <row r="1933" spans="2:22">
      <c r="C1933" s="83" t="s">
        <v>367</v>
      </c>
      <c r="D1933" s="75">
        <v>26</v>
      </c>
      <c r="E1933" s="75">
        <v>2</v>
      </c>
      <c r="F1933" s="81" t="s">
        <v>151</v>
      </c>
      <c r="G1933" s="55" t="s">
        <v>3127</v>
      </c>
      <c r="H1933" s="55" t="s">
        <v>124</v>
      </c>
      <c r="I1933" s="59">
        <v>0</v>
      </c>
      <c r="J1933" s="60" t="s">
        <v>173</v>
      </c>
      <c r="K1933" s="63" t="str">
        <f t="shared" si="205"/>
        <v>GEL-AC8CInput</v>
      </c>
      <c r="L1933" s="59">
        <f t="shared" ref="L1933:L1974" si="208">COUNTIF($C$2:$C$2062,C1933)</f>
        <v>43</v>
      </c>
      <c r="M1933" s="59">
        <f t="shared" ref="M1933:M1974" si="209">COUNTIF($K$2:$K$2062,K1933)</f>
        <v>42</v>
      </c>
      <c r="N1933" s="59">
        <f t="shared" si="207"/>
        <v>1</v>
      </c>
      <c r="O1933" s="60">
        <f t="shared" si="206"/>
        <v>1933</v>
      </c>
      <c r="P1933" s="65" t="s">
        <v>3214</v>
      </c>
      <c r="Q1933">
        <f>O1933</f>
        <v>1933</v>
      </c>
      <c r="R1933" t="s">
        <v>3215</v>
      </c>
      <c r="S1933">
        <v>1976</v>
      </c>
      <c r="T1933" t="str">
        <f>P1933&amp;Q1933&amp;R1933&amp;S1933</f>
        <v>All data map'!$F$1933:$J$1976</v>
      </c>
      <c r="V1933" t="s">
        <v>3296</v>
      </c>
    </row>
    <row r="1934" spans="2:22">
      <c r="C1934" s="83" t="s">
        <v>367</v>
      </c>
      <c r="D1934" s="75"/>
      <c r="E1934" s="75"/>
      <c r="F1934" s="81" t="s">
        <v>151</v>
      </c>
      <c r="G1934" s="55" t="s">
        <v>3128</v>
      </c>
      <c r="H1934" s="55" t="s">
        <v>124</v>
      </c>
      <c r="I1934" s="59" t="s">
        <v>126</v>
      </c>
      <c r="J1934" s="60" t="s">
        <v>175</v>
      </c>
      <c r="K1934" s="63" t="str">
        <f t="shared" si="205"/>
        <v>GEL-AC8CInput</v>
      </c>
      <c r="L1934" s="59">
        <f t="shared" si="208"/>
        <v>43</v>
      </c>
      <c r="M1934" s="59">
        <f t="shared" si="209"/>
        <v>42</v>
      </c>
      <c r="N1934" s="59">
        <f t="shared" si="207"/>
        <v>1</v>
      </c>
      <c r="O1934" s="60">
        <f t="shared" si="206"/>
        <v>1934</v>
      </c>
      <c r="P1934" s="65"/>
    </row>
    <row r="1935" spans="2:22">
      <c r="C1935" s="83" t="s">
        <v>367</v>
      </c>
      <c r="D1935" s="75"/>
      <c r="E1935" s="75"/>
      <c r="F1935" s="81" t="s">
        <v>151</v>
      </c>
      <c r="G1935" s="55" t="s">
        <v>3129</v>
      </c>
      <c r="H1935" s="55" t="s">
        <v>124</v>
      </c>
      <c r="I1935" s="59">
        <v>1</v>
      </c>
      <c r="J1935" s="60" t="s">
        <v>177</v>
      </c>
      <c r="K1935" s="63" t="str">
        <f t="shared" si="205"/>
        <v>GEL-AC8CInput</v>
      </c>
      <c r="L1935" s="59">
        <f t="shared" si="208"/>
        <v>43</v>
      </c>
      <c r="M1935" s="59">
        <f t="shared" si="209"/>
        <v>42</v>
      </c>
      <c r="N1935" s="59">
        <f t="shared" si="207"/>
        <v>1</v>
      </c>
      <c r="O1935" s="60">
        <f t="shared" si="206"/>
        <v>1935</v>
      </c>
      <c r="P1935" s="65"/>
    </row>
    <row r="1936" spans="2:22">
      <c r="C1936" s="83" t="s">
        <v>367</v>
      </c>
      <c r="D1936" s="75"/>
      <c r="E1936" s="75"/>
      <c r="F1936" s="81" t="s">
        <v>151</v>
      </c>
      <c r="G1936" s="55" t="s">
        <v>3130</v>
      </c>
      <c r="H1936" s="55" t="s">
        <v>124</v>
      </c>
      <c r="I1936" s="59">
        <v>1.1000000000000001</v>
      </c>
      <c r="J1936" s="60" t="s">
        <v>179</v>
      </c>
      <c r="K1936" s="63" t="str">
        <f t="shared" si="205"/>
        <v>GEL-AC8CInput</v>
      </c>
      <c r="L1936" s="59">
        <f t="shared" si="208"/>
        <v>43</v>
      </c>
      <c r="M1936" s="59">
        <f t="shared" si="209"/>
        <v>42</v>
      </c>
      <c r="N1936" s="59">
        <f t="shared" si="207"/>
        <v>1</v>
      </c>
      <c r="O1936" s="60">
        <f t="shared" si="206"/>
        <v>1936</v>
      </c>
      <c r="P1936" s="65"/>
    </row>
    <row r="1937" spans="3:16">
      <c r="C1937" s="83" t="s">
        <v>367</v>
      </c>
      <c r="D1937" s="75"/>
      <c r="E1937" s="75"/>
      <c r="F1937" s="81" t="s">
        <v>151</v>
      </c>
      <c r="G1937" s="55" t="s">
        <v>3131</v>
      </c>
      <c r="H1937" s="55" t="s">
        <v>124</v>
      </c>
      <c r="I1937" s="59">
        <v>1.2</v>
      </c>
      <c r="J1937" s="60" t="s">
        <v>181</v>
      </c>
      <c r="K1937" s="63" t="str">
        <f t="shared" si="205"/>
        <v>GEL-AC8CInput</v>
      </c>
      <c r="L1937" s="59">
        <f t="shared" si="208"/>
        <v>43</v>
      </c>
      <c r="M1937" s="59">
        <f t="shared" si="209"/>
        <v>42</v>
      </c>
      <c r="N1937" s="59">
        <f t="shared" si="207"/>
        <v>1</v>
      </c>
      <c r="O1937" s="60">
        <f t="shared" si="206"/>
        <v>1937</v>
      </c>
      <c r="P1937" s="65"/>
    </row>
    <row r="1938" spans="3:16">
      <c r="C1938" s="83" t="s">
        <v>367</v>
      </c>
      <c r="D1938" s="75"/>
      <c r="E1938" s="75"/>
      <c r="F1938" s="81" t="s">
        <v>151</v>
      </c>
      <c r="G1938" s="55" t="s">
        <v>3132</v>
      </c>
      <c r="H1938" s="55" t="s">
        <v>124</v>
      </c>
      <c r="I1938" s="59">
        <v>1.3</v>
      </c>
      <c r="J1938" s="60" t="s">
        <v>183</v>
      </c>
      <c r="K1938" s="63" t="str">
        <f t="shared" si="205"/>
        <v>GEL-AC8CInput</v>
      </c>
      <c r="L1938" s="59">
        <f t="shared" si="208"/>
        <v>43</v>
      </c>
      <c r="M1938" s="59">
        <f t="shared" si="209"/>
        <v>42</v>
      </c>
      <c r="N1938" s="59">
        <f t="shared" si="207"/>
        <v>1</v>
      </c>
      <c r="O1938" s="60">
        <f t="shared" si="206"/>
        <v>1938</v>
      </c>
      <c r="P1938" s="65"/>
    </row>
    <row r="1939" spans="3:16">
      <c r="C1939" s="83" t="s">
        <v>367</v>
      </c>
      <c r="D1939" s="75"/>
      <c r="E1939" s="75"/>
      <c r="F1939" s="81" t="s">
        <v>151</v>
      </c>
      <c r="G1939" s="55" t="s">
        <v>3133</v>
      </c>
      <c r="H1939" s="55" t="s">
        <v>124</v>
      </c>
      <c r="I1939" s="59">
        <v>1.4</v>
      </c>
      <c r="J1939" s="60" t="s">
        <v>185</v>
      </c>
      <c r="K1939" s="63" t="str">
        <f t="shared" si="205"/>
        <v>GEL-AC8CInput</v>
      </c>
      <c r="L1939" s="59">
        <f t="shared" si="208"/>
        <v>43</v>
      </c>
      <c r="M1939" s="59">
        <f t="shared" si="209"/>
        <v>42</v>
      </c>
      <c r="N1939" s="59">
        <f t="shared" si="207"/>
        <v>1</v>
      </c>
      <c r="O1939" s="60">
        <f t="shared" si="206"/>
        <v>1939</v>
      </c>
      <c r="P1939" s="65"/>
    </row>
    <row r="1940" spans="3:16">
      <c r="C1940" s="83" t="s">
        <v>367</v>
      </c>
      <c r="D1940" s="75"/>
      <c r="E1940" s="75"/>
      <c r="F1940" s="81" t="s">
        <v>151</v>
      </c>
      <c r="G1940" s="55" t="s">
        <v>3134</v>
      </c>
      <c r="H1940" s="55" t="s">
        <v>124</v>
      </c>
      <c r="I1940" s="59">
        <v>1.5</v>
      </c>
      <c r="J1940" s="60" t="s">
        <v>187</v>
      </c>
      <c r="K1940" s="63" t="str">
        <f t="shared" si="205"/>
        <v>GEL-AC8CInput</v>
      </c>
      <c r="L1940" s="59">
        <f t="shared" si="208"/>
        <v>43</v>
      </c>
      <c r="M1940" s="59">
        <f t="shared" si="209"/>
        <v>42</v>
      </c>
      <c r="N1940" s="59">
        <f t="shared" si="207"/>
        <v>1</v>
      </c>
      <c r="O1940" s="60">
        <f t="shared" si="206"/>
        <v>1940</v>
      </c>
      <c r="P1940" s="65"/>
    </row>
    <row r="1941" spans="3:16">
      <c r="C1941" s="83" t="s">
        <v>367</v>
      </c>
      <c r="D1941" s="75"/>
      <c r="E1941" s="75"/>
      <c r="F1941" s="81" t="s">
        <v>151</v>
      </c>
      <c r="G1941" s="55" t="s">
        <v>3135</v>
      </c>
      <c r="H1941" s="55" t="s">
        <v>124</v>
      </c>
      <c r="I1941" s="59">
        <v>1.6</v>
      </c>
      <c r="J1941" s="60" t="s">
        <v>189</v>
      </c>
      <c r="K1941" s="63" t="str">
        <f t="shared" ref="K1941:K2004" si="210">C1941&amp;F1941</f>
        <v>GEL-AC8CInput</v>
      </c>
      <c r="L1941" s="59">
        <f t="shared" si="208"/>
        <v>43</v>
      </c>
      <c r="M1941" s="59">
        <f t="shared" si="209"/>
        <v>42</v>
      </c>
      <c r="N1941" s="59">
        <f t="shared" si="207"/>
        <v>1</v>
      </c>
      <c r="O1941" s="60">
        <f t="shared" si="206"/>
        <v>1941</v>
      </c>
      <c r="P1941" s="65"/>
    </row>
    <row r="1942" spans="3:16">
      <c r="C1942" s="83" t="s">
        <v>367</v>
      </c>
      <c r="D1942" s="75"/>
      <c r="E1942" s="75"/>
      <c r="F1942" s="81" t="s">
        <v>151</v>
      </c>
      <c r="G1942" s="55" t="s">
        <v>3136</v>
      </c>
      <c r="H1942" s="55" t="s">
        <v>124</v>
      </c>
      <c r="I1942" s="59">
        <v>1.7</v>
      </c>
      <c r="J1942" s="60" t="s">
        <v>191</v>
      </c>
      <c r="K1942" s="63" t="str">
        <f t="shared" si="210"/>
        <v>GEL-AC8CInput</v>
      </c>
      <c r="L1942" s="59">
        <f t="shared" si="208"/>
        <v>43</v>
      </c>
      <c r="M1942" s="59">
        <f t="shared" si="209"/>
        <v>42</v>
      </c>
      <c r="N1942" s="59">
        <f t="shared" si="207"/>
        <v>1</v>
      </c>
      <c r="O1942" s="60">
        <f t="shared" si="206"/>
        <v>1942</v>
      </c>
      <c r="P1942" s="65"/>
    </row>
    <row r="1943" spans="3:16">
      <c r="C1943" s="83" t="s">
        <v>367</v>
      </c>
      <c r="D1943" s="75"/>
      <c r="E1943" s="75"/>
      <c r="F1943" s="81" t="s">
        <v>151</v>
      </c>
      <c r="G1943" s="55" t="s">
        <v>3137</v>
      </c>
      <c r="H1943" s="55" t="s">
        <v>139</v>
      </c>
      <c r="I1943" s="59">
        <v>2</v>
      </c>
      <c r="J1943" s="60" t="s">
        <v>213</v>
      </c>
      <c r="K1943" s="63" t="str">
        <f t="shared" si="210"/>
        <v>GEL-AC8CInput</v>
      </c>
      <c r="L1943" s="59">
        <f t="shared" si="208"/>
        <v>43</v>
      </c>
      <c r="M1943" s="59">
        <f t="shared" si="209"/>
        <v>42</v>
      </c>
      <c r="N1943" s="59">
        <f t="shared" si="207"/>
        <v>1</v>
      </c>
      <c r="O1943" s="60">
        <f t="shared" si="206"/>
        <v>1943</v>
      </c>
      <c r="P1943" s="65"/>
    </row>
    <row r="1944" spans="3:16">
      <c r="C1944" s="83" t="s">
        <v>367</v>
      </c>
      <c r="D1944" s="75"/>
      <c r="E1944" s="75"/>
      <c r="F1944" s="81" t="s">
        <v>151</v>
      </c>
      <c r="G1944" s="55" t="s">
        <v>3138</v>
      </c>
      <c r="H1944" s="55" t="s">
        <v>139</v>
      </c>
      <c r="I1944" s="59">
        <v>3</v>
      </c>
      <c r="J1944" s="60" t="s">
        <v>215</v>
      </c>
      <c r="K1944" s="63" t="str">
        <f t="shared" si="210"/>
        <v>GEL-AC8CInput</v>
      </c>
      <c r="L1944" s="59">
        <f t="shared" si="208"/>
        <v>43</v>
      </c>
      <c r="M1944" s="59">
        <f t="shared" si="209"/>
        <v>42</v>
      </c>
      <c r="N1944" s="59">
        <f t="shared" si="207"/>
        <v>1</v>
      </c>
      <c r="O1944" s="60">
        <f t="shared" si="206"/>
        <v>1944</v>
      </c>
      <c r="P1944" s="65"/>
    </row>
    <row r="1945" spans="3:16">
      <c r="C1945" s="83" t="s">
        <v>367</v>
      </c>
      <c r="D1945" s="75"/>
      <c r="E1945" s="75"/>
      <c r="F1945" s="81" t="s">
        <v>151</v>
      </c>
      <c r="G1945" s="55" t="s">
        <v>3139</v>
      </c>
      <c r="H1945" s="55" t="s">
        <v>139</v>
      </c>
      <c r="I1945" s="59">
        <v>4</v>
      </c>
      <c r="J1945" s="60" t="s">
        <v>217</v>
      </c>
      <c r="K1945" s="63" t="str">
        <f t="shared" si="210"/>
        <v>GEL-AC8CInput</v>
      </c>
      <c r="L1945" s="59">
        <f t="shared" si="208"/>
        <v>43</v>
      </c>
      <c r="M1945" s="59">
        <f t="shared" si="209"/>
        <v>42</v>
      </c>
      <c r="N1945" s="59">
        <f t="shared" si="207"/>
        <v>1</v>
      </c>
      <c r="O1945" s="60">
        <f t="shared" si="206"/>
        <v>1945</v>
      </c>
      <c r="P1945" s="65"/>
    </row>
    <row r="1946" spans="3:16">
      <c r="C1946" s="83" t="s">
        <v>367</v>
      </c>
      <c r="D1946" s="75"/>
      <c r="E1946" s="75"/>
      <c r="F1946" s="81" t="s">
        <v>151</v>
      </c>
      <c r="G1946" s="55" t="s">
        <v>3140</v>
      </c>
      <c r="H1946" s="55" t="s">
        <v>139</v>
      </c>
      <c r="I1946" s="59">
        <v>5</v>
      </c>
      <c r="J1946" s="60" t="s">
        <v>219</v>
      </c>
      <c r="K1946" s="63" t="str">
        <f t="shared" si="210"/>
        <v>GEL-AC8CInput</v>
      </c>
      <c r="L1946" s="59">
        <f t="shared" si="208"/>
        <v>43</v>
      </c>
      <c r="M1946" s="59">
        <f t="shared" si="209"/>
        <v>42</v>
      </c>
      <c r="N1946" s="59">
        <f t="shared" si="207"/>
        <v>1</v>
      </c>
      <c r="O1946" s="60">
        <f t="shared" si="206"/>
        <v>1946</v>
      </c>
      <c r="P1946" s="65"/>
    </row>
    <row r="1947" spans="3:16">
      <c r="C1947" s="83" t="s">
        <v>367</v>
      </c>
      <c r="D1947" s="75"/>
      <c r="E1947" s="75"/>
      <c r="F1947" s="81" t="s">
        <v>151</v>
      </c>
      <c r="G1947" s="55" t="s">
        <v>3141</v>
      </c>
      <c r="H1947" s="55" t="s">
        <v>139</v>
      </c>
      <c r="I1947" s="59">
        <v>6</v>
      </c>
      <c r="J1947" s="60" t="s">
        <v>221</v>
      </c>
      <c r="K1947" s="63" t="str">
        <f t="shared" si="210"/>
        <v>GEL-AC8CInput</v>
      </c>
      <c r="L1947" s="59">
        <f t="shared" si="208"/>
        <v>43</v>
      </c>
      <c r="M1947" s="59">
        <f t="shared" si="209"/>
        <v>42</v>
      </c>
      <c r="N1947" s="59">
        <f t="shared" si="207"/>
        <v>1</v>
      </c>
      <c r="O1947" s="60">
        <f t="shared" si="206"/>
        <v>1947</v>
      </c>
      <c r="P1947" s="65"/>
    </row>
    <row r="1948" spans="3:16">
      <c r="C1948" s="83" t="s">
        <v>367</v>
      </c>
      <c r="D1948" s="75"/>
      <c r="E1948" s="75"/>
      <c r="F1948" s="81" t="s">
        <v>151</v>
      </c>
      <c r="G1948" s="55" t="s">
        <v>3142</v>
      </c>
      <c r="H1948" s="55" t="s">
        <v>139</v>
      </c>
      <c r="I1948" s="59">
        <v>7</v>
      </c>
      <c r="J1948" s="60" t="s">
        <v>223</v>
      </c>
      <c r="K1948" s="63" t="str">
        <f t="shared" si="210"/>
        <v>GEL-AC8CInput</v>
      </c>
      <c r="L1948" s="59">
        <f t="shared" si="208"/>
        <v>43</v>
      </c>
      <c r="M1948" s="59">
        <f t="shared" si="209"/>
        <v>42</v>
      </c>
      <c r="N1948" s="59">
        <f t="shared" si="207"/>
        <v>1</v>
      </c>
      <c r="O1948" s="60">
        <f t="shared" si="206"/>
        <v>1948</v>
      </c>
      <c r="P1948" s="65"/>
    </row>
    <row r="1949" spans="3:16">
      <c r="C1949" s="83" t="s">
        <v>367</v>
      </c>
      <c r="D1949" s="75"/>
      <c r="E1949" s="75"/>
      <c r="F1949" s="81" t="s">
        <v>151</v>
      </c>
      <c r="G1949" s="55" t="s">
        <v>3143</v>
      </c>
      <c r="H1949" s="55" t="s">
        <v>139</v>
      </c>
      <c r="I1949" s="59">
        <v>8</v>
      </c>
      <c r="J1949" s="60" t="s">
        <v>225</v>
      </c>
      <c r="K1949" s="63" t="str">
        <f t="shared" si="210"/>
        <v>GEL-AC8CInput</v>
      </c>
      <c r="L1949" s="59">
        <f t="shared" si="208"/>
        <v>43</v>
      </c>
      <c r="M1949" s="59">
        <f t="shared" si="209"/>
        <v>42</v>
      </c>
      <c r="N1949" s="59">
        <f t="shared" si="207"/>
        <v>1</v>
      </c>
      <c r="O1949" s="60">
        <f t="shared" si="206"/>
        <v>1949</v>
      </c>
      <c r="P1949" s="65"/>
    </row>
    <row r="1950" spans="3:16">
      <c r="C1950" s="83" t="s">
        <v>367</v>
      </c>
      <c r="D1950" s="75"/>
      <c r="E1950" s="75"/>
      <c r="F1950" s="81" t="s">
        <v>151</v>
      </c>
      <c r="G1950" s="55" t="s">
        <v>3144</v>
      </c>
      <c r="H1950" s="55" t="s">
        <v>139</v>
      </c>
      <c r="I1950" s="59">
        <v>9</v>
      </c>
      <c r="J1950" s="60" t="s">
        <v>227</v>
      </c>
      <c r="K1950" s="63" t="str">
        <f t="shared" si="210"/>
        <v>GEL-AC8CInput</v>
      </c>
      <c r="L1950" s="59">
        <f t="shared" si="208"/>
        <v>43</v>
      </c>
      <c r="M1950" s="59">
        <f t="shared" si="209"/>
        <v>42</v>
      </c>
      <c r="N1950" s="59">
        <f t="shared" si="207"/>
        <v>1</v>
      </c>
      <c r="O1950" s="60">
        <f t="shared" si="206"/>
        <v>1950</v>
      </c>
      <c r="P1950" s="65"/>
    </row>
    <row r="1951" spans="3:16">
      <c r="C1951" s="83" t="s">
        <v>367</v>
      </c>
      <c r="D1951" s="75"/>
      <c r="E1951" s="75"/>
      <c r="F1951" s="81" t="s">
        <v>151</v>
      </c>
      <c r="G1951" s="55" t="s">
        <v>3145</v>
      </c>
      <c r="H1951" s="55" t="s">
        <v>124</v>
      </c>
      <c r="I1951" s="59">
        <v>10</v>
      </c>
      <c r="J1951" s="60" t="s">
        <v>245</v>
      </c>
      <c r="K1951" s="63" t="str">
        <f t="shared" si="210"/>
        <v>GEL-AC8CInput</v>
      </c>
      <c r="L1951" s="59">
        <f t="shared" si="208"/>
        <v>43</v>
      </c>
      <c r="M1951" s="59">
        <f t="shared" si="209"/>
        <v>42</v>
      </c>
      <c r="N1951" s="59">
        <f t="shared" si="207"/>
        <v>1</v>
      </c>
      <c r="O1951" s="60">
        <f t="shared" si="206"/>
        <v>1951</v>
      </c>
      <c r="P1951" s="65"/>
    </row>
    <row r="1952" spans="3:16">
      <c r="C1952" s="83" t="s">
        <v>367</v>
      </c>
      <c r="D1952" s="75"/>
      <c r="E1952" s="75"/>
      <c r="F1952" s="81" t="s">
        <v>151</v>
      </c>
      <c r="G1952" s="55" t="s">
        <v>3146</v>
      </c>
      <c r="H1952" s="55" t="s">
        <v>124</v>
      </c>
      <c r="I1952" s="59">
        <v>10.1</v>
      </c>
      <c r="J1952" s="60" t="s">
        <v>247</v>
      </c>
      <c r="K1952" s="63" t="str">
        <f t="shared" si="210"/>
        <v>GEL-AC8CInput</v>
      </c>
      <c r="L1952" s="59">
        <f t="shared" si="208"/>
        <v>43</v>
      </c>
      <c r="M1952" s="59">
        <f t="shared" si="209"/>
        <v>42</v>
      </c>
      <c r="N1952" s="59">
        <f t="shared" si="207"/>
        <v>1</v>
      </c>
      <c r="O1952" s="60">
        <f t="shared" si="206"/>
        <v>1952</v>
      </c>
      <c r="P1952" s="65"/>
    </row>
    <row r="1953" spans="3:16">
      <c r="C1953" s="83" t="s">
        <v>367</v>
      </c>
      <c r="D1953" s="75"/>
      <c r="E1953" s="75"/>
      <c r="F1953" s="81" t="s">
        <v>151</v>
      </c>
      <c r="G1953" s="55" t="s">
        <v>3147</v>
      </c>
      <c r="H1953" s="55" t="s">
        <v>124</v>
      </c>
      <c r="I1953" s="59">
        <v>10.199999999999999</v>
      </c>
      <c r="J1953" s="60" t="s">
        <v>249</v>
      </c>
      <c r="K1953" s="63" t="str">
        <f t="shared" si="210"/>
        <v>GEL-AC8CInput</v>
      </c>
      <c r="L1953" s="59">
        <f t="shared" si="208"/>
        <v>43</v>
      </c>
      <c r="M1953" s="59">
        <f t="shared" si="209"/>
        <v>42</v>
      </c>
      <c r="N1953" s="59">
        <f t="shared" si="207"/>
        <v>1</v>
      </c>
      <c r="O1953" s="60">
        <f t="shared" si="206"/>
        <v>1953</v>
      </c>
      <c r="P1953" s="65"/>
    </row>
    <row r="1954" spans="3:16">
      <c r="C1954" s="83" t="s">
        <v>367</v>
      </c>
      <c r="D1954" s="75"/>
      <c r="E1954" s="75"/>
      <c r="F1954" s="81" t="s">
        <v>151</v>
      </c>
      <c r="G1954" s="55" t="s">
        <v>3148</v>
      </c>
      <c r="H1954" s="55" t="s">
        <v>124</v>
      </c>
      <c r="I1954" s="59">
        <v>10.3</v>
      </c>
      <c r="J1954" s="60" t="s">
        <v>251</v>
      </c>
      <c r="K1954" s="63" t="str">
        <f t="shared" si="210"/>
        <v>GEL-AC8CInput</v>
      </c>
      <c r="L1954" s="59">
        <f t="shared" si="208"/>
        <v>43</v>
      </c>
      <c r="M1954" s="59">
        <f t="shared" si="209"/>
        <v>42</v>
      </c>
      <c r="N1954" s="59">
        <f t="shared" si="207"/>
        <v>1</v>
      </c>
      <c r="O1954" s="60">
        <f t="shared" si="206"/>
        <v>1954</v>
      </c>
      <c r="P1954" s="65"/>
    </row>
    <row r="1955" spans="3:16">
      <c r="C1955" s="83" t="s">
        <v>367</v>
      </c>
      <c r="D1955" s="75"/>
      <c r="E1955" s="75"/>
      <c r="F1955" s="81" t="s">
        <v>151</v>
      </c>
      <c r="G1955" s="55" t="s">
        <v>3149</v>
      </c>
      <c r="H1955" s="55" t="s">
        <v>124</v>
      </c>
      <c r="I1955" s="59">
        <v>10.4</v>
      </c>
      <c r="J1955" s="60" t="s">
        <v>253</v>
      </c>
      <c r="K1955" s="63" t="str">
        <f t="shared" si="210"/>
        <v>GEL-AC8CInput</v>
      </c>
      <c r="L1955" s="59">
        <f t="shared" si="208"/>
        <v>43</v>
      </c>
      <c r="M1955" s="59">
        <f t="shared" si="209"/>
        <v>42</v>
      </c>
      <c r="N1955" s="59">
        <f t="shared" si="207"/>
        <v>1</v>
      </c>
      <c r="O1955" s="60">
        <f t="shared" si="206"/>
        <v>1955</v>
      </c>
      <c r="P1955" s="65"/>
    </row>
    <row r="1956" spans="3:16">
      <c r="C1956" s="83" t="s">
        <v>367</v>
      </c>
      <c r="D1956" s="75"/>
      <c r="E1956" s="75"/>
      <c r="F1956" s="81" t="s">
        <v>151</v>
      </c>
      <c r="G1956" s="55" t="s">
        <v>3150</v>
      </c>
      <c r="H1956" s="55" t="s">
        <v>124</v>
      </c>
      <c r="I1956" s="59">
        <v>10.5</v>
      </c>
      <c r="J1956" s="60" t="s">
        <v>255</v>
      </c>
      <c r="K1956" s="63" t="str">
        <f t="shared" si="210"/>
        <v>GEL-AC8CInput</v>
      </c>
      <c r="L1956" s="59">
        <f t="shared" si="208"/>
        <v>43</v>
      </c>
      <c r="M1956" s="59">
        <f t="shared" si="209"/>
        <v>42</v>
      </c>
      <c r="N1956" s="59">
        <f t="shared" si="207"/>
        <v>1</v>
      </c>
      <c r="O1956" s="60">
        <f t="shared" si="206"/>
        <v>1956</v>
      </c>
      <c r="P1956" s="65"/>
    </row>
    <row r="1957" spans="3:16">
      <c r="C1957" s="83" t="s">
        <v>367</v>
      </c>
      <c r="D1957" s="75"/>
      <c r="E1957" s="75"/>
      <c r="F1957" s="81" t="s">
        <v>151</v>
      </c>
      <c r="G1957" s="55" t="s">
        <v>3151</v>
      </c>
      <c r="H1957" s="55" t="s">
        <v>124</v>
      </c>
      <c r="I1957" s="59">
        <v>10.6</v>
      </c>
      <c r="J1957" s="60" t="s">
        <v>257</v>
      </c>
      <c r="K1957" s="63" t="str">
        <f t="shared" si="210"/>
        <v>GEL-AC8CInput</v>
      </c>
      <c r="L1957" s="59">
        <f t="shared" si="208"/>
        <v>43</v>
      </c>
      <c r="M1957" s="59">
        <f t="shared" si="209"/>
        <v>42</v>
      </c>
      <c r="N1957" s="59">
        <f t="shared" si="207"/>
        <v>1</v>
      </c>
      <c r="O1957" s="60">
        <f t="shared" si="206"/>
        <v>1957</v>
      </c>
      <c r="P1957" s="65"/>
    </row>
    <row r="1958" spans="3:16">
      <c r="C1958" s="83" t="s">
        <v>367</v>
      </c>
      <c r="D1958" s="75"/>
      <c r="E1958" s="75"/>
      <c r="F1958" s="81" t="s">
        <v>151</v>
      </c>
      <c r="G1958" s="55" t="s">
        <v>3152</v>
      </c>
      <c r="H1958" s="55" t="s">
        <v>124</v>
      </c>
      <c r="I1958" s="59">
        <v>10.7</v>
      </c>
      <c r="J1958" s="60" t="s">
        <v>259</v>
      </c>
      <c r="K1958" s="63" t="str">
        <f t="shared" si="210"/>
        <v>GEL-AC8CInput</v>
      </c>
      <c r="L1958" s="59">
        <f t="shared" si="208"/>
        <v>43</v>
      </c>
      <c r="M1958" s="59">
        <f t="shared" si="209"/>
        <v>42</v>
      </c>
      <c r="N1958" s="59">
        <f t="shared" si="207"/>
        <v>1</v>
      </c>
      <c r="O1958" s="60">
        <f t="shared" si="206"/>
        <v>1958</v>
      </c>
      <c r="P1958" s="65"/>
    </row>
    <row r="1959" spans="3:16">
      <c r="C1959" s="83" t="s">
        <v>367</v>
      </c>
      <c r="D1959" s="75"/>
      <c r="E1959" s="75"/>
      <c r="F1959" s="81" t="s">
        <v>151</v>
      </c>
      <c r="G1959" s="55" t="s">
        <v>3153</v>
      </c>
      <c r="H1959" s="55" t="s">
        <v>124</v>
      </c>
      <c r="I1959" s="59">
        <v>11</v>
      </c>
      <c r="J1959" s="60" t="s">
        <v>2362</v>
      </c>
      <c r="K1959" s="63" t="str">
        <f t="shared" si="210"/>
        <v>GEL-AC8CInput</v>
      </c>
      <c r="L1959" s="59">
        <f t="shared" si="208"/>
        <v>43</v>
      </c>
      <c r="M1959" s="59">
        <f t="shared" si="209"/>
        <v>42</v>
      </c>
      <c r="N1959" s="59">
        <f t="shared" si="207"/>
        <v>1</v>
      </c>
      <c r="O1959" s="60">
        <f t="shared" si="206"/>
        <v>1959</v>
      </c>
      <c r="P1959" s="65"/>
    </row>
    <row r="1960" spans="3:16">
      <c r="C1960" s="83" t="s">
        <v>367</v>
      </c>
      <c r="D1960" s="75"/>
      <c r="E1960" s="75"/>
      <c r="F1960" s="81" t="s">
        <v>151</v>
      </c>
      <c r="G1960" s="55" t="s">
        <v>3154</v>
      </c>
      <c r="H1960" s="55" t="s">
        <v>124</v>
      </c>
      <c r="I1960" s="59">
        <v>11.1</v>
      </c>
      <c r="J1960" s="60" t="s">
        <v>2364</v>
      </c>
      <c r="K1960" s="63" t="str">
        <f t="shared" si="210"/>
        <v>GEL-AC8CInput</v>
      </c>
      <c r="L1960" s="59">
        <f t="shared" si="208"/>
        <v>43</v>
      </c>
      <c r="M1960" s="59">
        <f t="shared" si="209"/>
        <v>42</v>
      </c>
      <c r="N1960" s="59">
        <f t="shared" si="207"/>
        <v>1</v>
      </c>
      <c r="O1960" s="60">
        <f t="shared" si="206"/>
        <v>1960</v>
      </c>
      <c r="P1960" s="65"/>
    </row>
    <row r="1961" spans="3:16">
      <c r="C1961" s="83" t="s">
        <v>367</v>
      </c>
      <c r="D1961" s="75"/>
      <c r="E1961" s="75"/>
      <c r="F1961" s="81" t="s">
        <v>151</v>
      </c>
      <c r="G1961" s="55" t="s">
        <v>3155</v>
      </c>
      <c r="H1961" s="55" t="s">
        <v>124</v>
      </c>
      <c r="I1961" s="59">
        <v>11.2</v>
      </c>
      <c r="J1961" s="60" t="s">
        <v>2366</v>
      </c>
      <c r="K1961" s="63" t="str">
        <f t="shared" si="210"/>
        <v>GEL-AC8CInput</v>
      </c>
      <c r="L1961" s="59">
        <f t="shared" si="208"/>
        <v>43</v>
      </c>
      <c r="M1961" s="59">
        <f t="shared" si="209"/>
        <v>42</v>
      </c>
      <c r="N1961" s="59">
        <f t="shared" si="207"/>
        <v>1</v>
      </c>
      <c r="O1961" s="60">
        <f t="shared" si="206"/>
        <v>1961</v>
      </c>
      <c r="P1961" s="65"/>
    </row>
    <row r="1962" spans="3:16">
      <c r="C1962" s="83" t="s">
        <v>367</v>
      </c>
      <c r="D1962" s="75"/>
      <c r="E1962" s="75"/>
      <c r="F1962" s="81" t="s">
        <v>151</v>
      </c>
      <c r="G1962" s="55" t="s">
        <v>3156</v>
      </c>
      <c r="H1962" s="55" t="s">
        <v>124</v>
      </c>
      <c r="I1962" s="59">
        <v>11.3</v>
      </c>
      <c r="J1962" s="60" t="s">
        <v>2368</v>
      </c>
      <c r="K1962" s="63" t="str">
        <f t="shared" si="210"/>
        <v>GEL-AC8CInput</v>
      </c>
      <c r="L1962" s="59">
        <f t="shared" si="208"/>
        <v>43</v>
      </c>
      <c r="M1962" s="59">
        <f t="shared" si="209"/>
        <v>42</v>
      </c>
      <c r="N1962" s="59">
        <f t="shared" si="207"/>
        <v>1</v>
      </c>
      <c r="O1962" s="60">
        <f t="shared" si="206"/>
        <v>1962</v>
      </c>
      <c r="P1962" s="65"/>
    </row>
    <row r="1963" spans="3:16">
      <c r="C1963" s="83" t="s">
        <v>367</v>
      </c>
      <c r="D1963" s="75"/>
      <c r="E1963" s="75"/>
      <c r="F1963" s="81" t="s">
        <v>151</v>
      </c>
      <c r="G1963" s="55" t="s">
        <v>3157</v>
      </c>
      <c r="H1963" s="55" t="s">
        <v>124</v>
      </c>
      <c r="I1963" s="59">
        <v>11.4</v>
      </c>
      <c r="J1963" s="60" t="s">
        <v>3107</v>
      </c>
      <c r="K1963" s="63" t="str">
        <f t="shared" si="210"/>
        <v>GEL-AC8CInput</v>
      </c>
      <c r="L1963" s="59">
        <f t="shared" si="208"/>
        <v>43</v>
      </c>
      <c r="M1963" s="59">
        <f t="shared" si="209"/>
        <v>42</v>
      </c>
      <c r="N1963" s="59">
        <f t="shared" si="207"/>
        <v>1</v>
      </c>
      <c r="O1963" s="60">
        <f t="shared" si="206"/>
        <v>1963</v>
      </c>
      <c r="P1963" s="65"/>
    </row>
    <row r="1964" spans="3:16">
      <c r="C1964" s="83" t="s">
        <v>367</v>
      </c>
      <c r="D1964" s="75"/>
      <c r="E1964" s="75"/>
      <c r="F1964" s="81" t="s">
        <v>151</v>
      </c>
      <c r="G1964" s="55" t="s">
        <v>3158</v>
      </c>
      <c r="H1964" s="55" t="s">
        <v>124</v>
      </c>
      <c r="I1964" s="59">
        <v>11.5</v>
      </c>
      <c r="J1964" s="60" t="s">
        <v>3109</v>
      </c>
      <c r="K1964" s="63" t="str">
        <f t="shared" si="210"/>
        <v>GEL-AC8CInput</v>
      </c>
      <c r="L1964" s="59">
        <f t="shared" si="208"/>
        <v>43</v>
      </c>
      <c r="M1964" s="59">
        <f t="shared" si="209"/>
        <v>42</v>
      </c>
      <c r="N1964" s="59">
        <f t="shared" si="207"/>
        <v>1</v>
      </c>
      <c r="O1964" s="60">
        <f t="shared" si="206"/>
        <v>1964</v>
      </c>
      <c r="P1964" s="65"/>
    </row>
    <row r="1965" spans="3:16">
      <c r="C1965" s="83" t="s">
        <v>367</v>
      </c>
      <c r="D1965" s="75"/>
      <c r="E1965" s="75"/>
      <c r="F1965" s="81" t="s">
        <v>151</v>
      </c>
      <c r="G1965" s="55" t="s">
        <v>3159</v>
      </c>
      <c r="H1965" s="55" t="s">
        <v>124</v>
      </c>
      <c r="I1965" s="59">
        <v>11.6</v>
      </c>
      <c r="J1965" s="60" t="s">
        <v>3111</v>
      </c>
      <c r="K1965" s="63" t="str">
        <f t="shared" si="210"/>
        <v>GEL-AC8CInput</v>
      </c>
      <c r="L1965" s="59">
        <f t="shared" si="208"/>
        <v>43</v>
      </c>
      <c r="M1965" s="59">
        <f t="shared" si="209"/>
        <v>42</v>
      </c>
      <c r="N1965" s="59">
        <f t="shared" si="207"/>
        <v>1</v>
      </c>
      <c r="O1965" s="60">
        <f t="shared" si="206"/>
        <v>1965</v>
      </c>
      <c r="P1965" s="65"/>
    </row>
    <row r="1966" spans="3:16">
      <c r="C1966" s="83" t="s">
        <v>367</v>
      </c>
      <c r="D1966" s="75"/>
      <c r="E1966" s="75"/>
      <c r="F1966" s="81" t="s">
        <v>151</v>
      </c>
      <c r="G1966" s="55" t="s">
        <v>3160</v>
      </c>
      <c r="H1966" s="55" t="s">
        <v>124</v>
      </c>
      <c r="I1966" s="59">
        <v>11.7</v>
      </c>
      <c r="J1966" s="60" t="s">
        <v>3113</v>
      </c>
      <c r="K1966" s="63" t="str">
        <f t="shared" si="210"/>
        <v>GEL-AC8CInput</v>
      </c>
      <c r="L1966" s="59">
        <f t="shared" si="208"/>
        <v>43</v>
      </c>
      <c r="M1966" s="59">
        <f t="shared" si="209"/>
        <v>42</v>
      </c>
      <c r="N1966" s="59">
        <f t="shared" si="207"/>
        <v>1</v>
      </c>
      <c r="O1966" s="60">
        <f t="shared" si="206"/>
        <v>1966</v>
      </c>
      <c r="P1966" s="65"/>
    </row>
    <row r="1967" spans="3:16">
      <c r="C1967" s="83" t="s">
        <v>367</v>
      </c>
      <c r="D1967" s="75"/>
      <c r="E1967" s="75"/>
      <c r="F1967" s="81" t="s">
        <v>151</v>
      </c>
      <c r="G1967" s="55" t="s">
        <v>3161</v>
      </c>
      <c r="H1967" s="55" t="s">
        <v>124</v>
      </c>
      <c r="I1967" s="59">
        <v>12</v>
      </c>
      <c r="J1967" s="60" t="s">
        <v>2370</v>
      </c>
      <c r="K1967" s="63" t="str">
        <f t="shared" si="210"/>
        <v>GEL-AC8CInput</v>
      </c>
      <c r="L1967" s="59">
        <f t="shared" si="208"/>
        <v>43</v>
      </c>
      <c r="M1967" s="59">
        <f t="shared" si="209"/>
        <v>42</v>
      </c>
      <c r="N1967" s="59">
        <f t="shared" si="207"/>
        <v>1</v>
      </c>
      <c r="O1967" s="60">
        <f t="shared" si="206"/>
        <v>1967</v>
      </c>
      <c r="P1967" s="65"/>
    </row>
    <row r="1968" spans="3:16">
      <c r="C1968" s="83" t="s">
        <v>367</v>
      </c>
      <c r="D1968" s="75"/>
      <c r="E1968" s="75"/>
      <c r="F1968" s="81" t="s">
        <v>151</v>
      </c>
      <c r="G1968" s="55" t="s">
        <v>3162</v>
      </c>
      <c r="H1968" s="55" t="s">
        <v>124</v>
      </c>
      <c r="I1968" s="59">
        <v>12.1</v>
      </c>
      <c r="J1968" s="60" t="s">
        <v>2372</v>
      </c>
      <c r="K1968" s="63" t="str">
        <f t="shared" si="210"/>
        <v>GEL-AC8CInput</v>
      </c>
      <c r="L1968" s="59">
        <f t="shared" si="208"/>
        <v>43</v>
      </c>
      <c r="M1968" s="59">
        <f t="shared" si="209"/>
        <v>42</v>
      </c>
      <c r="N1968" s="59">
        <f t="shared" si="207"/>
        <v>1</v>
      </c>
      <c r="O1968" s="60">
        <f t="shared" si="206"/>
        <v>1968</v>
      </c>
      <c r="P1968" s="65"/>
    </row>
    <row r="1969" spans="3:22">
      <c r="C1969" s="83" t="s">
        <v>367</v>
      </c>
      <c r="D1969" s="75"/>
      <c r="E1969" s="75"/>
      <c r="F1969" s="81" t="s">
        <v>151</v>
      </c>
      <c r="G1969" s="55" t="s">
        <v>3163</v>
      </c>
      <c r="H1969" s="55" t="s">
        <v>124</v>
      </c>
      <c r="I1969" s="59">
        <v>12.2</v>
      </c>
      <c r="J1969" s="60" t="s">
        <v>2374</v>
      </c>
      <c r="K1969" s="63" t="str">
        <f t="shared" si="210"/>
        <v>GEL-AC8CInput</v>
      </c>
      <c r="L1969" s="59">
        <f t="shared" si="208"/>
        <v>43</v>
      </c>
      <c r="M1969" s="59">
        <f t="shared" si="209"/>
        <v>42</v>
      </c>
      <c r="N1969" s="59">
        <f t="shared" si="207"/>
        <v>1</v>
      </c>
      <c r="O1969" s="60">
        <f t="shared" si="206"/>
        <v>1969</v>
      </c>
      <c r="P1969" s="65"/>
    </row>
    <row r="1970" spans="3:22">
      <c r="C1970" s="83" t="s">
        <v>367</v>
      </c>
      <c r="D1970" s="75"/>
      <c r="E1970" s="75"/>
      <c r="F1970" s="81" t="s">
        <v>151</v>
      </c>
      <c r="G1970" s="55" t="s">
        <v>3164</v>
      </c>
      <c r="H1970" s="55" t="s">
        <v>124</v>
      </c>
      <c r="I1970" s="59">
        <v>12.3</v>
      </c>
      <c r="J1970" s="60" t="s">
        <v>2376</v>
      </c>
      <c r="K1970" s="63" t="str">
        <f t="shared" si="210"/>
        <v>GEL-AC8CInput</v>
      </c>
      <c r="L1970" s="59">
        <f t="shared" si="208"/>
        <v>43</v>
      </c>
      <c r="M1970" s="59">
        <f t="shared" si="209"/>
        <v>42</v>
      </c>
      <c r="N1970" s="59">
        <f t="shared" si="207"/>
        <v>1</v>
      </c>
      <c r="O1970" s="60">
        <f t="shared" si="206"/>
        <v>1970</v>
      </c>
      <c r="P1970" s="65"/>
    </row>
    <row r="1971" spans="3:22">
      <c r="C1971" s="83" t="s">
        <v>367</v>
      </c>
      <c r="D1971" s="75"/>
      <c r="E1971" s="75"/>
      <c r="F1971" s="81" t="s">
        <v>151</v>
      </c>
      <c r="G1971" s="55" t="s">
        <v>3165</v>
      </c>
      <c r="H1971" s="55" t="s">
        <v>124</v>
      </c>
      <c r="I1971" s="59">
        <v>12.4</v>
      </c>
      <c r="J1971" s="60" t="s">
        <v>3119</v>
      </c>
      <c r="K1971" s="63" t="str">
        <f t="shared" si="210"/>
        <v>GEL-AC8CInput</v>
      </c>
      <c r="L1971" s="59">
        <f t="shared" si="208"/>
        <v>43</v>
      </c>
      <c r="M1971" s="59">
        <f t="shared" si="209"/>
        <v>42</v>
      </c>
      <c r="N1971" s="59">
        <f t="shared" si="207"/>
        <v>1</v>
      </c>
      <c r="O1971" s="60">
        <f t="shared" si="206"/>
        <v>1971</v>
      </c>
      <c r="P1971" s="65"/>
    </row>
    <row r="1972" spans="3:22">
      <c r="C1972" s="83" t="s">
        <v>367</v>
      </c>
      <c r="D1972" s="75"/>
      <c r="E1972" s="75"/>
      <c r="F1972" s="81" t="s">
        <v>151</v>
      </c>
      <c r="G1972" s="55" t="s">
        <v>3166</v>
      </c>
      <c r="H1972" s="55" t="s">
        <v>124</v>
      </c>
      <c r="I1972" s="59">
        <v>12.5</v>
      </c>
      <c r="J1972" s="60" t="s">
        <v>3121</v>
      </c>
      <c r="K1972" s="63" t="str">
        <f t="shared" si="210"/>
        <v>GEL-AC8CInput</v>
      </c>
      <c r="L1972" s="59">
        <f t="shared" si="208"/>
        <v>43</v>
      </c>
      <c r="M1972" s="59">
        <f t="shared" si="209"/>
        <v>42</v>
      </c>
      <c r="N1972" s="59">
        <f t="shared" si="207"/>
        <v>1</v>
      </c>
      <c r="O1972" s="60">
        <f t="shared" si="206"/>
        <v>1972</v>
      </c>
      <c r="P1972" s="65"/>
    </row>
    <row r="1973" spans="3:22">
      <c r="C1973" s="83" t="s">
        <v>367</v>
      </c>
      <c r="D1973" s="75"/>
      <c r="E1973" s="75"/>
      <c r="F1973" s="81" t="s">
        <v>151</v>
      </c>
      <c r="G1973" s="55" t="s">
        <v>3167</v>
      </c>
      <c r="H1973" s="55" t="s">
        <v>124</v>
      </c>
      <c r="I1973" s="59">
        <v>12.6</v>
      </c>
      <c r="J1973" s="60" t="s">
        <v>3123</v>
      </c>
      <c r="K1973" s="63" t="str">
        <f t="shared" si="210"/>
        <v>GEL-AC8CInput</v>
      </c>
      <c r="L1973" s="59">
        <f t="shared" si="208"/>
        <v>43</v>
      </c>
      <c r="M1973" s="59">
        <f t="shared" si="209"/>
        <v>42</v>
      </c>
      <c r="N1973" s="59">
        <f t="shared" si="207"/>
        <v>1</v>
      </c>
      <c r="O1973" s="60">
        <f t="shared" si="206"/>
        <v>1973</v>
      </c>
      <c r="P1973" s="65"/>
    </row>
    <row r="1974" spans="3:22">
      <c r="C1974" s="83" t="s">
        <v>367</v>
      </c>
      <c r="D1974" s="75"/>
      <c r="E1974" s="75"/>
      <c r="F1974" s="81" t="s">
        <v>151</v>
      </c>
      <c r="G1974" s="55" t="s">
        <v>3168</v>
      </c>
      <c r="H1974" s="55" t="s">
        <v>124</v>
      </c>
      <c r="I1974" s="59">
        <v>12.7</v>
      </c>
      <c r="J1974" s="60" t="s">
        <v>3125</v>
      </c>
      <c r="K1974" s="63" t="str">
        <f t="shared" si="210"/>
        <v>GEL-AC8CInput</v>
      </c>
      <c r="L1974" s="59">
        <f t="shared" si="208"/>
        <v>43</v>
      </c>
      <c r="M1974" s="59">
        <f t="shared" si="209"/>
        <v>42</v>
      </c>
      <c r="N1974" s="59">
        <f t="shared" si="207"/>
        <v>1</v>
      </c>
      <c r="O1974" s="60">
        <f t="shared" si="206"/>
        <v>1974</v>
      </c>
      <c r="P1974" s="65"/>
    </row>
    <row r="1975" spans="3:22">
      <c r="C1975" s="83" t="s">
        <v>367</v>
      </c>
      <c r="D1975" s="75"/>
      <c r="E1975" s="75"/>
      <c r="F1975" s="81" t="s">
        <v>166</v>
      </c>
      <c r="G1975" s="55" t="s">
        <v>3169</v>
      </c>
      <c r="H1975" s="55" t="s">
        <v>124</v>
      </c>
      <c r="I1975" s="59">
        <v>0</v>
      </c>
      <c r="J1975" s="60" t="s">
        <v>414</v>
      </c>
      <c r="K1975" s="63"/>
      <c r="L1975" s="59"/>
      <c r="M1975" s="59"/>
      <c r="N1975" s="59"/>
      <c r="O1975" s="60">
        <f t="shared" si="206"/>
        <v>1975</v>
      </c>
      <c r="P1975" s="65"/>
    </row>
    <row r="1976" spans="3:22">
      <c r="C1976" s="83" t="s">
        <v>368</v>
      </c>
      <c r="D1976" s="75">
        <v>26</v>
      </c>
      <c r="E1976" s="75">
        <v>2</v>
      </c>
      <c r="F1976" s="82" t="s">
        <v>151</v>
      </c>
      <c r="G1976" s="55" t="s">
        <v>3076</v>
      </c>
      <c r="H1976" s="55" t="s">
        <v>124</v>
      </c>
      <c r="I1976" s="59">
        <v>0</v>
      </c>
      <c r="J1976" s="60" t="s">
        <v>173</v>
      </c>
      <c r="K1976" s="63" t="str">
        <f t="shared" si="210"/>
        <v>GEL-AV8CInput</v>
      </c>
      <c r="L1976" s="59">
        <f t="shared" ref="L1976:L2017" si="211">COUNTIF($C$2:$C$2062,C1976)</f>
        <v>43</v>
      </c>
      <c r="M1976" s="59">
        <f t="shared" ref="M1976:M2017" si="212">COUNTIF($K$2:$K$2062,K1976)</f>
        <v>42</v>
      </c>
      <c r="N1976" s="59">
        <f t="shared" si="207"/>
        <v>1</v>
      </c>
      <c r="O1976" s="60">
        <f t="shared" si="206"/>
        <v>1976</v>
      </c>
      <c r="P1976" s="65" t="s">
        <v>3214</v>
      </c>
      <c r="Q1976">
        <f>O1976</f>
        <v>1976</v>
      </c>
      <c r="R1976" t="s">
        <v>3215</v>
      </c>
      <c r="S1976">
        <v>2019</v>
      </c>
      <c r="T1976" t="str">
        <f>P1976&amp;Q1976&amp;R1976&amp;S1976</f>
        <v>All data map'!$F$1976:$J$2019</v>
      </c>
      <c r="V1976" t="s">
        <v>3297</v>
      </c>
    </row>
    <row r="1977" spans="3:22">
      <c r="C1977" s="83" t="s">
        <v>368</v>
      </c>
      <c r="D1977" s="75"/>
      <c r="E1977" s="75"/>
      <c r="F1977" s="81" t="s">
        <v>151</v>
      </c>
      <c r="G1977" s="55" t="s">
        <v>3077</v>
      </c>
      <c r="H1977" s="55" t="s">
        <v>124</v>
      </c>
      <c r="I1977" s="59" t="s">
        <v>126</v>
      </c>
      <c r="J1977" s="60" t="s">
        <v>175</v>
      </c>
      <c r="K1977" s="63" t="str">
        <f t="shared" si="210"/>
        <v>GEL-AV8CInput</v>
      </c>
      <c r="L1977" s="59">
        <f t="shared" si="211"/>
        <v>43</v>
      </c>
      <c r="M1977" s="59">
        <f t="shared" si="212"/>
        <v>42</v>
      </c>
      <c r="N1977" s="59">
        <f t="shared" si="207"/>
        <v>1</v>
      </c>
      <c r="O1977" s="60">
        <f t="shared" si="206"/>
        <v>1977</v>
      </c>
      <c r="P1977" s="65"/>
    </row>
    <row r="1978" spans="3:22">
      <c r="C1978" s="83" t="s">
        <v>368</v>
      </c>
      <c r="D1978" s="75"/>
      <c r="E1978" s="75"/>
      <c r="F1978" s="81" t="s">
        <v>151</v>
      </c>
      <c r="G1978" s="55" t="s">
        <v>3078</v>
      </c>
      <c r="H1978" s="55" t="s">
        <v>124</v>
      </c>
      <c r="I1978" s="59">
        <v>1</v>
      </c>
      <c r="J1978" s="60" t="s">
        <v>177</v>
      </c>
      <c r="K1978" s="63" t="str">
        <f t="shared" si="210"/>
        <v>GEL-AV8CInput</v>
      </c>
      <c r="L1978" s="59">
        <f t="shared" si="211"/>
        <v>43</v>
      </c>
      <c r="M1978" s="59">
        <f t="shared" si="212"/>
        <v>42</v>
      </c>
      <c r="N1978" s="59">
        <f t="shared" si="207"/>
        <v>1</v>
      </c>
      <c r="O1978" s="60">
        <f t="shared" si="206"/>
        <v>1978</v>
      </c>
      <c r="P1978" s="65"/>
    </row>
    <row r="1979" spans="3:22">
      <c r="C1979" s="83" t="s">
        <v>368</v>
      </c>
      <c r="D1979" s="75"/>
      <c r="E1979" s="75"/>
      <c r="F1979" s="81" t="s">
        <v>151</v>
      </c>
      <c r="G1979" s="55" t="s">
        <v>3079</v>
      </c>
      <c r="H1979" s="55" t="s">
        <v>124</v>
      </c>
      <c r="I1979" s="59">
        <v>1.1000000000000001</v>
      </c>
      <c r="J1979" s="60" t="s">
        <v>179</v>
      </c>
      <c r="K1979" s="63" t="str">
        <f t="shared" si="210"/>
        <v>GEL-AV8CInput</v>
      </c>
      <c r="L1979" s="59">
        <f t="shared" si="211"/>
        <v>43</v>
      </c>
      <c r="M1979" s="59">
        <f t="shared" si="212"/>
        <v>42</v>
      </c>
      <c r="N1979" s="59">
        <f t="shared" si="207"/>
        <v>1</v>
      </c>
      <c r="O1979" s="60">
        <f t="shared" si="206"/>
        <v>1979</v>
      </c>
      <c r="P1979" s="65"/>
    </row>
    <row r="1980" spans="3:22">
      <c r="C1980" s="83" t="s">
        <v>368</v>
      </c>
      <c r="D1980" s="75"/>
      <c r="E1980" s="75"/>
      <c r="F1980" s="81" t="s">
        <v>151</v>
      </c>
      <c r="G1980" s="55" t="s">
        <v>3080</v>
      </c>
      <c r="H1980" s="55" t="s">
        <v>124</v>
      </c>
      <c r="I1980" s="59">
        <v>1.2</v>
      </c>
      <c r="J1980" s="60" t="s">
        <v>181</v>
      </c>
      <c r="K1980" s="63" t="str">
        <f t="shared" si="210"/>
        <v>GEL-AV8CInput</v>
      </c>
      <c r="L1980" s="59">
        <f t="shared" si="211"/>
        <v>43</v>
      </c>
      <c r="M1980" s="59">
        <f t="shared" si="212"/>
        <v>42</v>
      </c>
      <c r="N1980" s="59">
        <f t="shared" si="207"/>
        <v>1</v>
      </c>
      <c r="O1980" s="60">
        <f t="shared" si="206"/>
        <v>1980</v>
      </c>
      <c r="P1980" s="65"/>
    </row>
    <row r="1981" spans="3:22">
      <c r="C1981" s="83" t="s">
        <v>368</v>
      </c>
      <c r="D1981" s="75"/>
      <c r="E1981" s="75"/>
      <c r="F1981" s="81" t="s">
        <v>151</v>
      </c>
      <c r="G1981" s="55" t="s">
        <v>3081</v>
      </c>
      <c r="H1981" s="55" t="s">
        <v>124</v>
      </c>
      <c r="I1981" s="59">
        <v>1.3</v>
      </c>
      <c r="J1981" s="60" t="s">
        <v>183</v>
      </c>
      <c r="K1981" s="63" t="str">
        <f t="shared" si="210"/>
        <v>GEL-AV8CInput</v>
      </c>
      <c r="L1981" s="59">
        <f t="shared" si="211"/>
        <v>43</v>
      </c>
      <c r="M1981" s="59">
        <f t="shared" si="212"/>
        <v>42</v>
      </c>
      <c r="N1981" s="59">
        <f t="shared" si="207"/>
        <v>1</v>
      </c>
      <c r="O1981" s="60">
        <f t="shared" si="206"/>
        <v>1981</v>
      </c>
      <c r="P1981" s="65"/>
    </row>
    <row r="1982" spans="3:22">
      <c r="C1982" s="83" t="s">
        <v>368</v>
      </c>
      <c r="D1982" s="75"/>
      <c r="E1982" s="75"/>
      <c r="F1982" s="81" t="s">
        <v>151</v>
      </c>
      <c r="G1982" s="55" t="s">
        <v>3082</v>
      </c>
      <c r="H1982" s="55" t="s">
        <v>124</v>
      </c>
      <c r="I1982" s="59">
        <v>1.4</v>
      </c>
      <c r="J1982" s="60" t="s">
        <v>185</v>
      </c>
      <c r="K1982" s="63" t="str">
        <f t="shared" si="210"/>
        <v>GEL-AV8CInput</v>
      </c>
      <c r="L1982" s="59">
        <f t="shared" si="211"/>
        <v>43</v>
      </c>
      <c r="M1982" s="59">
        <f t="shared" si="212"/>
        <v>42</v>
      </c>
      <c r="N1982" s="59">
        <f t="shared" si="207"/>
        <v>1</v>
      </c>
      <c r="O1982" s="60">
        <f t="shared" si="206"/>
        <v>1982</v>
      </c>
      <c r="P1982" s="65"/>
    </row>
    <row r="1983" spans="3:22">
      <c r="C1983" s="83" t="s">
        <v>368</v>
      </c>
      <c r="D1983" s="75"/>
      <c r="E1983" s="75"/>
      <c r="F1983" s="81" t="s">
        <v>151</v>
      </c>
      <c r="G1983" s="55" t="s">
        <v>3083</v>
      </c>
      <c r="H1983" s="55" t="s">
        <v>124</v>
      </c>
      <c r="I1983" s="59">
        <v>1.5</v>
      </c>
      <c r="J1983" s="60" t="s">
        <v>187</v>
      </c>
      <c r="K1983" s="63" t="str">
        <f t="shared" si="210"/>
        <v>GEL-AV8CInput</v>
      </c>
      <c r="L1983" s="59">
        <f t="shared" si="211"/>
        <v>43</v>
      </c>
      <c r="M1983" s="59">
        <f t="shared" si="212"/>
        <v>42</v>
      </c>
      <c r="N1983" s="59">
        <f t="shared" si="207"/>
        <v>1</v>
      </c>
      <c r="O1983" s="60">
        <f t="shared" si="206"/>
        <v>1983</v>
      </c>
      <c r="P1983" s="65"/>
    </row>
    <row r="1984" spans="3:22">
      <c r="C1984" s="83" t="s">
        <v>368</v>
      </c>
      <c r="D1984" s="75"/>
      <c r="E1984" s="75"/>
      <c r="F1984" s="81" t="s">
        <v>151</v>
      </c>
      <c r="G1984" s="55" t="s">
        <v>3084</v>
      </c>
      <c r="H1984" s="55" t="s">
        <v>124</v>
      </c>
      <c r="I1984" s="59">
        <v>1.6</v>
      </c>
      <c r="J1984" s="60" t="s">
        <v>189</v>
      </c>
      <c r="K1984" s="63" t="str">
        <f t="shared" si="210"/>
        <v>GEL-AV8CInput</v>
      </c>
      <c r="L1984" s="59">
        <f t="shared" si="211"/>
        <v>43</v>
      </c>
      <c r="M1984" s="59">
        <f t="shared" si="212"/>
        <v>42</v>
      </c>
      <c r="N1984" s="59">
        <f t="shared" si="207"/>
        <v>1</v>
      </c>
      <c r="O1984" s="60">
        <f t="shared" si="206"/>
        <v>1984</v>
      </c>
      <c r="P1984" s="65"/>
    </row>
    <row r="1985" spans="3:16">
      <c r="C1985" s="83" t="s">
        <v>368</v>
      </c>
      <c r="D1985" s="75"/>
      <c r="E1985" s="75"/>
      <c r="F1985" s="81" t="s">
        <v>151</v>
      </c>
      <c r="G1985" s="55" t="s">
        <v>3085</v>
      </c>
      <c r="H1985" s="55" t="s">
        <v>124</v>
      </c>
      <c r="I1985" s="59">
        <v>1.7</v>
      </c>
      <c r="J1985" s="60" t="s">
        <v>191</v>
      </c>
      <c r="K1985" s="63" t="str">
        <f t="shared" si="210"/>
        <v>GEL-AV8CInput</v>
      </c>
      <c r="L1985" s="59">
        <f t="shared" si="211"/>
        <v>43</v>
      </c>
      <c r="M1985" s="59">
        <f t="shared" si="212"/>
        <v>42</v>
      </c>
      <c r="N1985" s="59">
        <f t="shared" si="207"/>
        <v>1</v>
      </c>
      <c r="O1985" s="60">
        <f t="shared" si="206"/>
        <v>1985</v>
      </c>
      <c r="P1985" s="65"/>
    </row>
    <row r="1986" spans="3:16">
      <c r="C1986" s="83" t="s">
        <v>368</v>
      </c>
      <c r="D1986" s="75"/>
      <c r="E1986" s="75"/>
      <c r="F1986" s="81" t="s">
        <v>151</v>
      </c>
      <c r="G1986" s="55" t="s">
        <v>3086</v>
      </c>
      <c r="H1986" s="55" t="s">
        <v>139</v>
      </c>
      <c r="I1986" s="59">
        <v>2</v>
      </c>
      <c r="J1986" s="60" t="s">
        <v>213</v>
      </c>
      <c r="K1986" s="63" t="str">
        <f t="shared" si="210"/>
        <v>GEL-AV8CInput</v>
      </c>
      <c r="L1986" s="59">
        <f t="shared" si="211"/>
        <v>43</v>
      </c>
      <c r="M1986" s="59">
        <f t="shared" si="212"/>
        <v>42</v>
      </c>
      <c r="N1986" s="59">
        <f t="shared" si="207"/>
        <v>1</v>
      </c>
      <c r="O1986" s="60">
        <f t="shared" ref="O1986:O2049" si="213">ROW(C1986)</f>
        <v>1986</v>
      </c>
      <c r="P1986" s="65"/>
    </row>
    <row r="1987" spans="3:16">
      <c r="C1987" s="83" t="s">
        <v>368</v>
      </c>
      <c r="D1987" s="75"/>
      <c r="E1987" s="75"/>
      <c r="F1987" s="81" t="s">
        <v>151</v>
      </c>
      <c r="G1987" s="55" t="s">
        <v>3087</v>
      </c>
      <c r="H1987" s="55" t="s">
        <v>139</v>
      </c>
      <c r="I1987" s="59">
        <v>3</v>
      </c>
      <c r="J1987" s="60" t="s">
        <v>215</v>
      </c>
      <c r="K1987" s="63" t="str">
        <f t="shared" si="210"/>
        <v>GEL-AV8CInput</v>
      </c>
      <c r="L1987" s="59">
        <f t="shared" si="211"/>
        <v>43</v>
      </c>
      <c r="M1987" s="59">
        <f t="shared" si="212"/>
        <v>42</v>
      </c>
      <c r="N1987" s="59">
        <f t="shared" ref="N1987:N2049" si="214">L1987-M1987</f>
        <v>1</v>
      </c>
      <c r="O1987" s="60">
        <f t="shared" si="213"/>
        <v>1987</v>
      </c>
      <c r="P1987" s="65"/>
    </row>
    <row r="1988" spans="3:16">
      <c r="C1988" s="83" t="s">
        <v>368</v>
      </c>
      <c r="D1988" s="75"/>
      <c r="E1988" s="75"/>
      <c r="F1988" s="81" t="s">
        <v>151</v>
      </c>
      <c r="G1988" s="55" t="s">
        <v>3088</v>
      </c>
      <c r="H1988" s="55" t="s">
        <v>139</v>
      </c>
      <c r="I1988" s="59">
        <v>4</v>
      </c>
      <c r="J1988" s="60" t="s">
        <v>217</v>
      </c>
      <c r="K1988" s="63" t="str">
        <f t="shared" si="210"/>
        <v>GEL-AV8CInput</v>
      </c>
      <c r="L1988" s="59">
        <f t="shared" si="211"/>
        <v>43</v>
      </c>
      <c r="M1988" s="59">
        <f t="shared" si="212"/>
        <v>42</v>
      </c>
      <c r="N1988" s="59">
        <f t="shared" si="214"/>
        <v>1</v>
      </c>
      <c r="O1988" s="60">
        <f t="shared" si="213"/>
        <v>1988</v>
      </c>
      <c r="P1988" s="65"/>
    </row>
    <row r="1989" spans="3:16">
      <c r="C1989" s="83" t="s">
        <v>368</v>
      </c>
      <c r="D1989" s="75"/>
      <c r="E1989" s="75"/>
      <c r="F1989" s="81" t="s">
        <v>151</v>
      </c>
      <c r="G1989" s="55" t="s">
        <v>3089</v>
      </c>
      <c r="H1989" s="55" t="s">
        <v>139</v>
      </c>
      <c r="I1989" s="59">
        <v>5</v>
      </c>
      <c r="J1989" s="60" t="s">
        <v>219</v>
      </c>
      <c r="K1989" s="63" t="str">
        <f t="shared" si="210"/>
        <v>GEL-AV8CInput</v>
      </c>
      <c r="L1989" s="59">
        <f t="shared" si="211"/>
        <v>43</v>
      </c>
      <c r="M1989" s="59">
        <f t="shared" si="212"/>
        <v>42</v>
      </c>
      <c r="N1989" s="59">
        <f t="shared" si="214"/>
        <v>1</v>
      </c>
      <c r="O1989" s="60">
        <f t="shared" si="213"/>
        <v>1989</v>
      </c>
      <c r="P1989" s="65"/>
    </row>
    <row r="1990" spans="3:16">
      <c r="C1990" s="83" t="s">
        <v>368</v>
      </c>
      <c r="D1990" s="75"/>
      <c r="E1990" s="75"/>
      <c r="F1990" s="81" t="s">
        <v>151</v>
      </c>
      <c r="G1990" s="55" t="s">
        <v>3090</v>
      </c>
      <c r="H1990" s="55" t="s">
        <v>139</v>
      </c>
      <c r="I1990" s="59">
        <v>6</v>
      </c>
      <c r="J1990" s="60" t="s">
        <v>221</v>
      </c>
      <c r="K1990" s="63" t="str">
        <f t="shared" si="210"/>
        <v>GEL-AV8CInput</v>
      </c>
      <c r="L1990" s="59">
        <f t="shared" si="211"/>
        <v>43</v>
      </c>
      <c r="M1990" s="59">
        <f t="shared" si="212"/>
        <v>42</v>
      </c>
      <c r="N1990" s="59">
        <f t="shared" si="214"/>
        <v>1</v>
      </c>
      <c r="O1990" s="60">
        <f t="shared" si="213"/>
        <v>1990</v>
      </c>
      <c r="P1990" s="65"/>
    </row>
    <row r="1991" spans="3:16">
      <c r="C1991" s="83" t="s">
        <v>368</v>
      </c>
      <c r="D1991" s="75"/>
      <c r="E1991" s="75"/>
      <c r="F1991" s="81" t="s">
        <v>151</v>
      </c>
      <c r="G1991" s="55" t="s">
        <v>3091</v>
      </c>
      <c r="H1991" s="55" t="s">
        <v>139</v>
      </c>
      <c r="I1991" s="59">
        <v>7</v>
      </c>
      <c r="J1991" s="60" t="s">
        <v>223</v>
      </c>
      <c r="K1991" s="63" t="str">
        <f t="shared" si="210"/>
        <v>GEL-AV8CInput</v>
      </c>
      <c r="L1991" s="59">
        <f t="shared" si="211"/>
        <v>43</v>
      </c>
      <c r="M1991" s="59">
        <f t="shared" si="212"/>
        <v>42</v>
      </c>
      <c r="N1991" s="59">
        <f t="shared" si="214"/>
        <v>1</v>
      </c>
      <c r="O1991" s="60">
        <f t="shared" si="213"/>
        <v>1991</v>
      </c>
      <c r="P1991" s="65"/>
    </row>
    <row r="1992" spans="3:16">
      <c r="C1992" s="83" t="s">
        <v>368</v>
      </c>
      <c r="D1992" s="75"/>
      <c r="E1992" s="75"/>
      <c r="F1992" s="81" t="s">
        <v>151</v>
      </c>
      <c r="G1992" s="55" t="s">
        <v>3092</v>
      </c>
      <c r="H1992" s="55" t="s">
        <v>139</v>
      </c>
      <c r="I1992" s="59">
        <v>8</v>
      </c>
      <c r="J1992" s="60" t="s">
        <v>225</v>
      </c>
      <c r="K1992" s="63" t="str">
        <f t="shared" si="210"/>
        <v>GEL-AV8CInput</v>
      </c>
      <c r="L1992" s="59">
        <f t="shared" si="211"/>
        <v>43</v>
      </c>
      <c r="M1992" s="59">
        <f t="shared" si="212"/>
        <v>42</v>
      </c>
      <c r="N1992" s="59">
        <f t="shared" si="214"/>
        <v>1</v>
      </c>
      <c r="O1992" s="60">
        <f t="shared" si="213"/>
        <v>1992</v>
      </c>
      <c r="P1992" s="65"/>
    </row>
    <row r="1993" spans="3:16">
      <c r="C1993" s="83" t="s">
        <v>368</v>
      </c>
      <c r="D1993" s="75"/>
      <c r="E1993" s="75"/>
      <c r="F1993" s="81" t="s">
        <v>151</v>
      </c>
      <c r="G1993" s="55" t="s">
        <v>3093</v>
      </c>
      <c r="H1993" s="55" t="s">
        <v>139</v>
      </c>
      <c r="I1993" s="59">
        <v>9</v>
      </c>
      <c r="J1993" s="60" t="s">
        <v>227</v>
      </c>
      <c r="K1993" s="63" t="str">
        <f t="shared" si="210"/>
        <v>GEL-AV8CInput</v>
      </c>
      <c r="L1993" s="59">
        <f t="shared" si="211"/>
        <v>43</v>
      </c>
      <c r="M1993" s="59">
        <f t="shared" si="212"/>
        <v>42</v>
      </c>
      <c r="N1993" s="59">
        <f t="shared" si="214"/>
        <v>1</v>
      </c>
      <c r="O1993" s="60">
        <f t="shared" si="213"/>
        <v>1993</v>
      </c>
      <c r="P1993" s="65"/>
    </row>
    <row r="1994" spans="3:16">
      <c r="C1994" s="83" t="s">
        <v>368</v>
      </c>
      <c r="D1994" s="75"/>
      <c r="E1994" s="75"/>
      <c r="F1994" s="81" t="s">
        <v>151</v>
      </c>
      <c r="G1994" s="55" t="s">
        <v>3094</v>
      </c>
      <c r="H1994" s="55" t="s">
        <v>124</v>
      </c>
      <c r="I1994" s="59">
        <v>10</v>
      </c>
      <c r="J1994" s="60" t="s">
        <v>245</v>
      </c>
      <c r="K1994" s="63" t="str">
        <f t="shared" si="210"/>
        <v>GEL-AV8CInput</v>
      </c>
      <c r="L1994" s="59">
        <f t="shared" si="211"/>
        <v>43</v>
      </c>
      <c r="M1994" s="59">
        <f t="shared" si="212"/>
        <v>42</v>
      </c>
      <c r="N1994" s="59">
        <f t="shared" si="214"/>
        <v>1</v>
      </c>
      <c r="O1994" s="60">
        <f t="shared" si="213"/>
        <v>1994</v>
      </c>
      <c r="P1994" s="65"/>
    </row>
    <row r="1995" spans="3:16">
      <c r="C1995" s="83" t="s">
        <v>368</v>
      </c>
      <c r="D1995" s="75"/>
      <c r="E1995" s="75"/>
      <c r="F1995" s="81" t="s">
        <v>151</v>
      </c>
      <c r="G1995" s="55" t="s">
        <v>3095</v>
      </c>
      <c r="H1995" s="55" t="s">
        <v>124</v>
      </c>
      <c r="I1995" s="59">
        <v>10.1</v>
      </c>
      <c r="J1995" s="60" t="s">
        <v>247</v>
      </c>
      <c r="K1995" s="63" t="str">
        <f t="shared" si="210"/>
        <v>GEL-AV8CInput</v>
      </c>
      <c r="L1995" s="59">
        <f t="shared" si="211"/>
        <v>43</v>
      </c>
      <c r="M1995" s="59">
        <f t="shared" si="212"/>
        <v>42</v>
      </c>
      <c r="N1995" s="59">
        <f t="shared" si="214"/>
        <v>1</v>
      </c>
      <c r="O1995" s="60">
        <f t="shared" si="213"/>
        <v>1995</v>
      </c>
      <c r="P1995" s="65"/>
    </row>
    <row r="1996" spans="3:16">
      <c r="C1996" s="83" t="s">
        <v>368</v>
      </c>
      <c r="D1996" s="75"/>
      <c r="E1996" s="75"/>
      <c r="F1996" s="81" t="s">
        <v>151</v>
      </c>
      <c r="G1996" s="55" t="s">
        <v>3096</v>
      </c>
      <c r="H1996" s="55" t="s">
        <v>124</v>
      </c>
      <c r="I1996" s="59">
        <v>10.199999999999999</v>
      </c>
      <c r="J1996" s="60" t="s">
        <v>249</v>
      </c>
      <c r="K1996" s="63" t="str">
        <f t="shared" si="210"/>
        <v>GEL-AV8CInput</v>
      </c>
      <c r="L1996" s="59">
        <f t="shared" si="211"/>
        <v>43</v>
      </c>
      <c r="M1996" s="59">
        <f t="shared" si="212"/>
        <v>42</v>
      </c>
      <c r="N1996" s="59">
        <f t="shared" si="214"/>
        <v>1</v>
      </c>
      <c r="O1996" s="60">
        <f t="shared" si="213"/>
        <v>1996</v>
      </c>
      <c r="P1996" s="65"/>
    </row>
    <row r="1997" spans="3:16">
      <c r="C1997" s="83" t="s">
        <v>368</v>
      </c>
      <c r="D1997" s="75"/>
      <c r="E1997" s="75"/>
      <c r="F1997" s="81" t="s">
        <v>151</v>
      </c>
      <c r="G1997" s="55" t="s">
        <v>3097</v>
      </c>
      <c r="H1997" s="55" t="s">
        <v>124</v>
      </c>
      <c r="I1997" s="59">
        <v>10.3</v>
      </c>
      <c r="J1997" s="60" t="s">
        <v>251</v>
      </c>
      <c r="K1997" s="63" t="str">
        <f t="shared" si="210"/>
        <v>GEL-AV8CInput</v>
      </c>
      <c r="L1997" s="59">
        <f t="shared" si="211"/>
        <v>43</v>
      </c>
      <c r="M1997" s="59">
        <f t="shared" si="212"/>
        <v>42</v>
      </c>
      <c r="N1997" s="59">
        <f t="shared" si="214"/>
        <v>1</v>
      </c>
      <c r="O1997" s="60">
        <f t="shared" si="213"/>
        <v>1997</v>
      </c>
      <c r="P1997" s="65"/>
    </row>
    <row r="1998" spans="3:16">
      <c r="C1998" s="83" t="s">
        <v>368</v>
      </c>
      <c r="D1998" s="75"/>
      <c r="E1998" s="75"/>
      <c r="F1998" s="81" t="s">
        <v>151</v>
      </c>
      <c r="G1998" s="55" t="s">
        <v>3098</v>
      </c>
      <c r="H1998" s="55" t="s">
        <v>124</v>
      </c>
      <c r="I1998" s="59">
        <v>10.4</v>
      </c>
      <c r="J1998" s="60" t="s">
        <v>253</v>
      </c>
      <c r="K1998" s="63" t="str">
        <f t="shared" si="210"/>
        <v>GEL-AV8CInput</v>
      </c>
      <c r="L1998" s="59">
        <f t="shared" si="211"/>
        <v>43</v>
      </c>
      <c r="M1998" s="59">
        <f t="shared" si="212"/>
        <v>42</v>
      </c>
      <c r="N1998" s="59">
        <f t="shared" si="214"/>
        <v>1</v>
      </c>
      <c r="O1998" s="60">
        <f t="shared" si="213"/>
        <v>1998</v>
      </c>
      <c r="P1998" s="65"/>
    </row>
    <row r="1999" spans="3:16">
      <c r="C1999" s="83" t="s">
        <v>368</v>
      </c>
      <c r="D1999" s="75"/>
      <c r="E1999" s="75"/>
      <c r="F1999" s="81" t="s">
        <v>151</v>
      </c>
      <c r="G1999" s="55" t="s">
        <v>3099</v>
      </c>
      <c r="H1999" s="55" t="s">
        <v>124</v>
      </c>
      <c r="I1999" s="59">
        <v>10.5</v>
      </c>
      <c r="J1999" s="60" t="s">
        <v>255</v>
      </c>
      <c r="K1999" s="63" t="str">
        <f t="shared" si="210"/>
        <v>GEL-AV8CInput</v>
      </c>
      <c r="L1999" s="59">
        <f t="shared" si="211"/>
        <v>43</v>
      </c>
      <c r="M1999" s="59">
        <f t="shared" si="212"/>
        <v>42</v>
      </c>
      <c r="N1999" s="59">
        <f t="shared" si="214"/>
        <v>1</v>
      </c>
      <c r="O1999" s="60">
        <f t="shared" si="213"/>
        <v>1999</v>
      </c>
      <c r="P1999" s="65"/>
    </row>
    <row r="2000" spans="3:16">
      <c r="C2000" s="83" t="s">
        <v>368</v>
      </c>
      <c r="D2000" s="75"/>
      <c r="E2000" s="75"/>
      <c r="F2000" s="81" t="s">
        <v>151</v>
      </c>
      <c r="G2000" s="55" t="s">
        <v>3100</v>
      </c>
      <c r="H2000" s="55" t="s">
        <v>124</v>
      </c>
      <c r="I2000" s="59">
        <v>10.6</v>
      </c>
      <c r="J2000" s="60" t="s">
        <v>257</v>
      </c>
      <c r="K2000" s="63" t="str">
        <f t="shared" si="210"/>
        <v>GEL-AV8CInput</v>
      </c>
      <c r="L2000" s="59">
        <f t="shared" si="211"/>
        <v>43</v>
      </c>
      <c r="M2000" s="59">
        <f t="shared" si="212"/>
        <v>42</v>
      </c>
      <c r="N2000" s="59">
        <f t="shared" si="214"/>
        <v>1</v>
      </c>
      <c r="O2000" s="60">
        <f t="shared" si="213"/>
        <v>2000</v>
      </c>
      <c r="P2000" s="65"/>
    </row>
    <row r="2001" spans="3:16">
      <c r="C2001" s="83" t="s">
        <v>368</v>
      </c>
      <c r="D2001" s="75"/>
      <c r="E2001" s="75"/>
      <c r="F2001" s="81" t="s">
        <v>151</v>
      </c>
      <c r="G2001" s="55" t="s">
        <v>3101</v>
      </c>
      <c r="H2001" s="55" t="s">
        <v>124</v>
      </c>
      <c r="I2001" s="59">
        <v>10.7</v>
      </c>
      <c r="J2001" s="60" t="s">
        <v>259</v>
      </c>
      <c r="K2001" s="63" t="str">
        <f t="shared" si="210"/>
        <v>GEL-AV8CInput</v>
      </c>
      <c r="L2001" s="59">
        <f t="shared" si="211"/>
        <v>43</v>
      </c>
      <c r="M2001" s="59">
        <f t="shared" si="212"/>
        <v>42</v>
      </c>
      <c r="N2001" s="59">
        <f t="shared" si="214"/>
        <v>1</v>
      </c>
      <c r="O2001" s="60">
        <f t="shared" si="213"/>
        <v>2001</v>
      </c>
      <c r="P2001" s="65"/>
    </row>
    <row r="2002" spans="3:16">
      <c r="C2002" s="83" t="s">
        <v>368</v>
      </c>
      <c r="D2002" s="75"/>
      <c r="E2002" s="75"/>
      <c r="F2002" s="81" t="s">
        <v>151</v>
      </c>
      <c r="G2002" s="55" t="s">
        <v>3102</v>
      </c>
      <c r="H2002" s="55" t="s">
        <v>124</v>
      </c>
      <c r="I2002" s="59">
        <v>11</v>
      </c>
      <c r="J2002" s="60" t="s">
        <v>2362</v>
      </c>
      <c r="K2002" s="63" t="str">
        <f t="shared" si="210"/>
        <v>GEL-AV8CInput</v>
      </c>
      <c r="L2002" s="59">
        <f t="shared" si="211"/>
        <v>43</v>
      </c>
      <c r="M2002" s="59">
        <f t="shared" si="212"/>
        <v>42</v>
      </c>
      <c r="N2002" s="59">
        <f t="shared" si="214"/>
        <v>1</v>
      </c>
      <c r="O2002" s="60">
        <f t="shared" si="213"/>
        <v>2002</v>
      </c>
      <c r="P2002" s="65"/>
    </row>
    <row r="2003" spans="3:16">
      <c r="C2003" s="83" t="s">
        <v>368</v>
      </c>
      <c r="D2003" s="75"/>
      <c r="E2003" s="75"/>
      <c r="F2003" s="81" t="s">
        <v>151</v>
      </c>
      <c r="G2003" s="55" t="s">
        <v>3103</v>
      </c>
      <c r="H2003" s="55" t="s">
        <v>124</v>
      </c>
      <c r="I2003" s="59">
        <v>11.1</v>
      </c>
      <c r="J2003" s="60" t="s">
        <v>2364</v>
      </c>
      <c r="K2003" s="63" t="str">
        <f t="shared" si="210"/>
        <v>GEL-AV8CInput</v>
      </c>
      <c r="L2003" s="59">
        <f t="shared" si="211"/>
        <v>43</v>
      </c>
      <c r="M2003" s="59">
        <f t="shared" si="212"/>
        <v>42</v>
      </c>
      <c r="N2003" s="59">
        <f t="shared" si="214"/>
        <v>1</v>
      </c>
      <c r="O2003" s="60">
        <f t="shared" si="213"/>
        <v>2003</v>
      </c>
      <c r="P2003" s="65"/>
    </row>
    <row r="2004" spans="3:16">
      <c r="C2004" s="83" t="s">
        <v>368</v>
      </c>
      <c r="D2004" s="75"/>
      <c r="E2004" s="75"/>
      <c r="F2004" s="81" t="s">
        <v>151</v>
      </c>
      <c r="G2004" s="55" t="s">
        <v>3104</v>
      </c>
      <c r="H2004" s="55" t="s">
        <v>124</v>
      </c>
      <c r="I2004" s="59">
        <v>11.2</v>
      </c>
      <c r="J2004" s="60" t="s">
        <v>2366</v>
      </c>
      <c r="K2004" s="63" t="str">
        <f t="shared" si="210"/>
        <v>GEL-AV8CInput</v>
      </c>
      <c r="L2004" s="59">
        <f t="shared" si="211"/>
        <v>43</v>
      </c>
      <c r="M2004" s="59">
        <f t="shared" si="212"/>
        <v>42</v>
      </c>
      <c r="N2004" s="59">
        <f t="shared" si="214"/>
        <v>1</v>
      </c>
      <c r="O2004" s="60">
        <f t="shared" si="213"/>
        <v>2004</v>
      </c>
      <c r="P2004" s="65"/>
    </row>
    <row r="2005" spans="3:16">
      <c r="C2005" s="83" t="s">
        <v>368</v>
      </c>
      <c r="D2005" s="75"/>
      <c r="E2005" s="75"/>
      <c r="F2005" s="81" t="s">
        <v>151</v>
      </c>
      <c r="G2005" s="55" t="s">
        <v>3105</v>
      </c>
      <c r="H2005" s="55" t="s">
        <v>124</v>
      </c>
      <c r="I2005" s="59">
        <v>11.3</v>
      </c>
      <c r="J2005" s="60" t="s">
        <v>2368</v>
      </c>
      <c r="K2005" s="63" t="str">
        <f t="shared" ref="K2005:K2049" si="215">C2005&amp;F2005</f>
        <v>GEL-AV8CInput</v>
      </c>
      <c r="L2005" s="59">
        <f t="shared" si="211"/>
        <v>43</v>
      </c>
      <c r="M2005" s="59">
        <f t="shared" si="212"/>
        <v>42</v>
      </c>
      <c r="N2005" s="59">
        <f t="shared" si="214"/>
        <v>1</v>
      </c>
      <c r="O2005" s="60">
        <f t="shared" si="213"/>
        <v>2005</v>
      </c>
      <c r="P2005" s="65"/>
    </row>
    <row r="2006" spans="3:16">
      <c r="C2006" s="83" t="s">
        <v>368</v>
      </c>
      <c r="D2006" s="75"/>
      <c r="E2006" s="75"/>
      <c r="F2006" s="81" t="s">
        <v>151</v>
      </c>
      <c r="G2006" s="55" t="s">
        <v>3106</v>
      </c>
      <c r="H2006" s="55" t="s">
        <v>124</v>
      </c>
      <c r="I2006" s="59">
        <v>11.4</v>
      </c>
      <c r="J2006" s="60" t="s">
        <v>3107</v>
      </c>
      <c r="K2006" s="63" t="str">
        <f t="shared" si="215"/>
        <v>GEL-AV8CInput</v>
      </c>
      <c r="L2006" s="59">
        <f t="shared" si="211"/>
        <v>43</v>
      </c>
      <c r="M2006" s="59">
        <f t="shared" si="212"/>
        <v>42</v>
      </c>
      <c r="N2006" s="59">
        <f t="shared" si="214"/>
        <v>1</v>
      </c>
      <c r="O2006" s="60">
        <f t="shared" si="213"/>
        <v>2006</v>
      </c>
      <c r="P2006" s="65"/>
    </row>
    <row r="2007" spans="3:16">
      <c r="C2007" s="83" t="s">
        <v>368</v>
      </c>
      <c r="D2007" s="75"/>
      <c r="E2007" s="75"/>
      <c r="F2007" s="81" t="s">
        <v>151</v>
      </c>
      <c r="G2007" s="55" t="s">
        <v>3108</v>
      </c>
      <c r="H2007" s="55" t="s">
        <v>124</v>
      </c>
      <c r="I2007" s="59">
        <v>11.5</v>
      </c>
      <c r="J2007" s="60" t="s">
        <v>3109</v>
      </c>
      <c r="K2007" s="63" t="str">
        <f t="shared" si="215"/>
        <v>GEL-AV8CInput</v>
      </c>
      <c r="L2007" s="59">
        <f t="shared" si="211"/>
        <v>43</v>
      </c>
      <c r="M2007" s="59">
        <f t="shared" si="212"/>
        <v>42</v>
      </c>
      <c r="N2007" s="59">
        <f t="shared" si="214"/>
        <v>1</v>
      </c>
      <c r="O2007" s="60">
        <f t="shared" si="213"/>
        <v>2007</v>
      </c>
      <c r="P2007" s="65"/>
    </row>
    <row r="2008" spans="3:16">
      <c r="C2008" s="83" t="s">
        <v>368</v>
      </c>
      <c r="D2008" s="75"/>
      <c r="E2008" s="75"/>
      <c r="F2008" s="81" t="s">
        <v>151</v>
      </c>
      <c r="G2008" s="55" t="s">
        <v>3110</v>
      </c>
      <c r="H2008" s="55" t="s">
        <v>124</v>
      </c>
      <c r="I2008" s="59">
        <v>11.6</v>
      </c>
      <c r="J2008" s="60" t="s">
        <v>3111</v>
      </c>
      <c r="K2008" s="63" t="str">
        <f t="shared" si="215"/>
        <v>GEL-AV8CInput</v>
      </c>
      <c r="L2008" s="59">
        <f t="shared" si="211"/>
        <v>43</v>
      </c>
      <c r="M2008" s="59">
        <f t="shared" si="212"/>
        <v>42</v>
      </c>
      <c r="N2008" s="59">
        <f t="shared" si="214"/>
        <v>1</v>
      </c>
      <c r="O2008" s="60">
        <f t="shared" si="213"/>
        <v>2008</v>
      </c>
      <c r="P2008" s="65"/>
    </row>
    <row r="2009" spans="3:16">
      <c r="C2009" s="83" t="s">
        <v>368</v>
      </c>
      <c r="D2009" s="75"/>
      <c r="E2009" s="75"/>
      <c r="F2009" s="81" t="s">
        <v>151</v>
      </c>
      <c r="G2009" s="55" t="s">
        <v>3112</v>
      </c>
      <c r="H2009" s="55" t="s">
        <v>124</v>
      </c>
      <c r="I2009" s="59">
        <v>11.7</v>
      </c>
      <c r="J2009" s="60" t="s">
        <v>3113</v>
      </c>
      <c r="K2009" s="63" t="str">
        <f t="shared" si="215"/>
        <v>GEL-AV8CInput</v>
      </c>
      <c r="L2009" s="59">
        <f t="shared" si="211"/>
        <v>43</v>
      </c>
      <c r="M2009" s="59">
        <f t="shared" si="212"/>
        <v>42</v>
      </c>
      <c r="N2009" s="59">
        <f t="shared" si="214"/>
        <v>1</v>
      </c>
      <c r="O2009" s="60">
        <f t="shared" si="213"/>
        <v>2009</v>
      </c>
      <c r="P2009" s="65"/>
    </row>
    <row r="2010" spans="3:16">
      <c r="C2010" s="83" t="s">
        <v>368</v>
      </c>
      <c r="D2010" s="75"/>
      <c r="E2010" s="75"/>
      <c r="F2010" s="81" t="s">
        <v>151</v>
      </c>
      <c r="G2010" s="55" t="s">
        <v>3114</v>
      </c>
      <c r="H2010" s="55" t="s">
        <v>124</v>
      </c>
      <c r="I2010" s="59">
        <v>12</v>
      </c>
      <c r="J2010" s="60" t="s">
        <v>2370</v>
      </c>
      <c r="K2010" s="63" t="str">
        <f t="shared" si="215"/>
        <v>GEL-AV8CInput</v>
      </c>
      <c r="L2010" s="59">
        <f t="shared" si="211"/>
        <v>43</v>
      </c>
      <c r="M2010" s="59">
        <f t="shared" si="212"/>
        <v>42</v>
      </c>
      <c r="N2010" s="59">
        <f t="shared" si="214"/>
        <v>1</v>
      </c>
      <c r="O2010" s="60">
        <f t="shared" si="213"/>
        <v>2010</v>
      </c>
      <c r="P2010" s="65"/>
    </row>
    <row r="2011" spans="3:16">
      <c r="C2011" s="83" t="s">
        <v>368</v>
      </c>
      <c r="D2011" s="75"/>
      <c r="E2011" s="75"/>
      <c r="F2011" s="81" t="s">
        <v>151</v>
      </c>
      <c r="G2011" s="55" t="s">
        <v>3115</v>
      </c>
      <c r="H2011" s="55" t="s">
        <v>124</v>
      </c>
      <c r="I2011" s="59">
        <v>12.1</v>
      </c>
      <c r="J2011" s="60" t="s">
        <v>2372</v>
      </c>
      <c r="K2011" s="63" t="str">
        <f t="shared" si="215"/>
        <v>GEL-AV8CInput</v>
      </c>
      <c r="L2011" s="59">
        <f t="shared" si="211"/>
        <v>43</v>
      </c>
      <c r="M2011" s="59">
        <f t="shared" si="212"/>
        <v>42</v>
      </c>
      <c r="N2011" s="59">
        <f t="shared" si="214"/>
        <v>1</v>
      </c>
      <c r="O2011" s="60">
        <f t="shared" si="213"/>
        <v>2011</v>
      </c>
      <c r="P2011" s="65"/>
    </row>
    <row r="2012" spans="3:16">
      <c r="C2012" s="83" t="s">
        <v>368</v>
      </c>
      <c r="D2012" s="75"/>
      <c r="E2012" s="75"/>
      <c r="F2012" s="81" t="s">
        <v>151</v>
      </c>
      <c r="G2012" s="55" t="s">
        <v>3116</v>
      </c>
      <c r="H2012" s="55" t="s">
        <v>124</v>
      </c>
      <c r="I2012" s="59">
        <v>12.2</v>
      </c>
      <c r="J2012" s="60" t="s">
        <v>2374</v>
      </c>
      <c r="K2012" s="63" t="str">
        <f t="shared" si="215"/>
        <v>GEL-AV8CInput</v>
      </c>
      <c r="L2012" s="59">
        <f t="shared" si="211"/>
        <v>43</v>
      </c>
      <c r="M2012" s="59">
        <f t="shared" si="212"/>
        <v>42</v>
      </c>
      <c r="N2012" s="59">
        <f t="shared" si="214"/>
        <v>1</v>
      </c>
      <c r="O2012" s="60">
        <f t="shared" si="213"/>
        <v>2012</v>
      </c>
      <c r="P2012" s="65"/>
    </row>
    <row r="2013" spans="3:16">
      <c r="C2013" s="83" t="s">
        <v>368</v>
      </c>
      <c r="D2013" s="75"/>
      <c r="E2013" s="75"/>
      <c r="F2013" s="81" t="s">
        <v>151</v>
      </c>
      <c r="G2013" s="55" t="s">
        <v>3117</v>
      </c>
      <c r="H2013" s="55" t="s">
        <v>124</v>
      </c>
      <c r="I2013" s="59">
        <v>12.3</v>
      </c>
      <c r="J2013" s="60" t="s">
        <v>2376</v>
      </c>
      <c r="K2013" s="63" t="str">
        <f t="shared" si="215"/>
        <v>GEL-AV8CInput</v>
      </c>
      <c r="L2013" s="59">
        <f t="shared" si="211"/>
        <v>43</v>
      </c>
      <c r="M2013" s="59">
        <f t="shared" si="212"/>
        <v>42</v>
      </c>
      <c r="N2013" s="59">
        <f t="shared" si="214"/>
        <v>1</v>
      </c>
      <c r="O2013" s="60">
        <f t="shared" si="213"/>
        <v>2013</v>
      </c>
      <c r="P2013" s="65"/>
    </row>
    <row r="2014" spans="3:16">
      <c r="C2014" s="83" t="s">
        <v>368</v>
      </c>
      <c r="D2014" s="75"/>
      <c r="E2014" s="75"/>
      <c r="F2014" s="81" t="s">
        <v>151</v>
      </c>
      <c r="G2014" s="55" t="s">
        <v>3118</v>
      </c>
      <c r="H2014" s="55" t="s">
        <v>124</v>
      </c>
      <c r="I2014" s="59">
        <v>12.4</v>
      </c>
      <c r="J2014" s="60" t="s">
        <v>3119</v>
      </c>
      <c r="K2014" s="63" t="str">
        <f t="shared" si="215"/>
        <v>GEL-AV8CInput</v>
      </c>
      <c r="L2014" s="59">
        <f t="shared" si="211"/>
        <v>43</v>
      </c>
      <c r="M2014" s="59">
        <f t="shared" si="212"/>
        <v>42</v>
      </c>
      <c r="N2014" s="59">
        <f t="shared" si="214"/>
        <v>1</v>
      </c>
      <c r="O2014" s="60">
        <f t="shared" si="213"/>
        <v>2014</v>
      </c>
      <c r="P2014" s="65"/>
    </row>
    <row r="2015" spans="3:16">
      <c r="C2015" s="83" t="s">
        <v>368</v>
      </c>
      <c r="D2015" s="75"/>
      <c r="E2015" s="75"/>
      <c r="F2015" s="81" t="s">
        <v>151</v>
      </c>
      <c r="G2015" s="55" t="s">
        <v>3120</v>
      </c>
      <c r="H2015" s="55" t="s">
        <v>124</v>
      </c>
      <c r="I2015" s="59">
        <v>12.5</v>
      </c>
      <c r="J2015" s="60" t="s">
        <v>3121</v>
      </c>
      <c r="K2015" s="63" t="str">
        <f t="shared" si="215"/>
        <v>GEL-AV8CInput</v>
      </c>
      <c r="L2015" s="59">
        <f t="shared" si="211"/>
        <v>43</v>
      </c>
      <c r="M2015" s="59">
        <f t="shared" si="212"/>
        <v>42</v>
      </c>
      <c r="N2015" s="59">
        <f t="shared" si="214"/>
        <v>1</v>
      </c>
      <c r="O2015" s="60">
        <f t="shared" si="213"/>
        <v>2015</v>
      </c>
      <c r="P2015" s="65"/>
    </row>
    <row r="2016" spans="3:16">
      <c r="C2016" s="83" t="s">
        <v>368</v>
      </c>
      <c r="D2016" s="75"/>
      <c r="E2016" s="75"/>
      <c r="F2016" s="81" t="s">
        <v>151</v>
      </c>
      <c r="G2016" s="55" t="s">
        <v>3122</v>
      </c>
      <c r="H2016" s="55" t="s">
        <v>124</v>
      </c>
      <c r="I2016" s="59">
        <v>12.6</v>
      </c>
      <c r="J2016" s="60" t="s">
        <v>3123</v>
      </c>
      <c r="K2016" s="63" t="str">
        <f t="shared" si="215"/>
        <v>GEL-AV8CInput</v>
      </c>
      <c r="L2016" s="59">
        <f t="shared" si="211"/>
        <v>43</v>
      </c>
      <c r="M2016" s="59">
        <f t="shared" si="212"/>
        <v>42</v>
      </c>
      <c r="N2016" s="59">
        <f t="shared" si="214"/>
        <v>1</v>
      </c>
      <c r="O2016" s="60">
        <f t="shared" si="213"/>
        <v>2016</v>
      </c>
      <c r="P2016" s="65"/>
    </row>
    <row r="2017" spans="3:22">
      <c r="C2017" s="83" t="s">
        <v>368</v>
      </c>
      <c r="D2017" s="75"/>
      <c r="E2017" s="75"/>
      <c r="F2017" s="81" t="s">
        <v>151</v>
      </c>
      <c r="G2017" s="55" t="s">
        <v>3124</v>
      </c>
      <c r="H2017" s="55" t="s">
        <v>124</v>
      </c>
      <c r="I2017" s="59">
        <v>12.7</v>
      </c>
      <c r="J2017" s="60" t="s">
        <v>3125</v>
      </c>
      <c r="K2017" s="63" t="str">
        <f t="shared" si="215"/>
        <v>GEL-AV8CInput</v>
      </c>
      <c r="L2017" s="59">
        <f t="shared" si="211"/>
        <v>43</v>
      </c>
      <c r="M2017" s="59">
        <f t="shared" si="212"/>
        <v>42</v>
      </c>
      <c r="N2017" s="59">
        <f t="shared" si="214"/>
        <v>1</v>
      </c>
      <c r="O2017" s="60">
        <f t="shared" si="213"/>
        <v>2017</v>
      </c>
      <c r="P2017" s="65"/>
    </row>
    <row r="2018" spans="3:22">
      <c r="C2018" s="83" t="s">
        <v>368</v>
      </c>
      <c r="D2018" s="75"/>
      <c r="E2018" s="75"/>
      <c r="F2018" s="81" t="s">
        <v>166</v>
      </c>
      <c r="G2018" s="55" t="s">
        <v>3126</v>
      </c>
      <c r="H2018" s="55" t="s">
        <v>124</v>
      </c>
      <c r="I2018" s="59">
        <v>0</v>
      </c>
      <c r="J2018" s="60" t="s">
        <v>414</v>
      </c>
      <c r="K2018" s="63"/>
      <c r="L2018" s="59"/>
      <c r="M2018" s="59"/>
      <c r="N2018" s="59"/>
      <c r="O2018" s="60">
        <f t="shared" si="213"/>
        <v>2018</v>
      </c>
      <c r="P2018" s="65"/>
    </row>
    <row r="2019" spans="3:22">
      <c r="C2019" s="83" t="s">
        <v>369</v>
      </c>
      <c r="D2019" s="75">
        <v>4</v>
      </c>
      <c r="E2019" s="75">
        <v>20</v>
      </c>
      <c r="F2019" s="82" t="s">
        <v>151</v>
      </c>
      <c r="G2019" s="55" t="s">
        <v>3187</v>
      </c>
      <c r="H2019" s="55" t="s">
        <v>124</v>
      </c>
      <c r="I2019" s="59">
        <v>0</v>
      </c>
      <c r="J2019" s="60" t="s">
        <v>667</v>
      </c>
      <c r="K2019" s="63" t="str">
        <f t="shared" si="215"/>
        <v>GEL-DC4CInput</v>
      </c>
      <c r="L2019" s="59">
        <f t="shared" ref="L2019:L2027" si="216">COUNTIF($C$2:$C$2062,C2019)</f>
        <v>22</v>
      </c>
      <c r="M2019" s="59">
        <f t="shared" ref="M2019:M2027" si="217">COUNTIF($K$2:$K$2062,K2019)</f>
        <v>9</v>
      </c>
      <c r="N2019" s="59">
        <f t="shared" si="214"/>
        <v>13</v>
      </c>
      <c r="O2019" s="60">
        <f t="shared" si="213"/>
        <v>2019</v>
      </c>
      <c r="P2019" s="65" t="s">
        <v>3214</v>
      </c>
      <c r="Q2019">
        <f>O2019</f>
        <v>2019</v>
      </c>
      <c r="R2019" t="s">
        <v>3215</v>
      </c>
      <c r="S2019">
        <v>2041</v>
      </c>
      <c r="T2019" t="str">
        <f>P2019&amp;Q2019&amp;R2019&amp;S2019</f>
        <v>All data map'!$F$2019:$J$2041</v>
      </c>
      <c r="V2019" t="s">
        <v>3298</v>
      </c>
    </row>
    <row r="2020" spans="3:22">
      <c r="C2020" s="83" t="s">
        <v>369</v>
      </c>
      <c r="D2020" s="75"/>
      <c r="E2020" s="75"/>
      <c r="F2020" s="81" t="s">
        <v>151</v>
      </c>
      <c r="G2020" s="55" t="s">
        <v>3188</v>
      </c>
      <c r="H2020" s="55" t="s">
        <v>124</v>
      </c>
      <c r="I2020" s="59">
        <v>0.1</v>
      </c>
      <c r="J2020" s="60" t="s">
        <v>669</v>
      </c>
      <c r="K2020" s="63" t="str">
        <f t="shared" si="215"/>
        <v>GEL-DC4CInput</v>
      </c>
      <c r="L2020" s="59">
        <f t="shared" si="216"/>
        <v>22</v>
      </c>
      <c r="M2020" s="59">
        <f t="shared" si="217"/>
        <v>9</v>
      </c>
      <c r="N2020" s="59">
        <f t="shared" si="214"/>
        <v>13</v>
      </c>
      <c r="O2020" s="60">
        <f t="shared" si="213"/>
        <v>2020</v>
      </c>
      <c r="P2020" s="65"/>
    </row>
    <row r="2021" spans="3:22">
      <c r="C2021" s="83" t="s">
        <v>369</v>
      </c>
      <c r="D2021" s="75"/>
      <c r="E2021" s="75"/>
      <c r="F2021" s="81" t="s">
        <v>151</v>
      </c>
      <c r="G2021" s="55" t="s">
        <v>3189</v>
      </c>
      <c r="H2021" s="55" t="s">
        <v>124</v>
      </c>
      <c r="I2021" s="59">
        <v>0.2</v>
      </c>
      <c r="J2021" s="60" t="s">
        <v>671</v>
      </c>
      <c r="K2021" s="63" t="str">
        <f t="shared" si="215"/>
        <v>GEL-DC4CInput</v>
      </c>
      <c r="L2021" s="59">
        <f t="shared" si="216"/>
        <v>22</v>
      </c>
      <c r="M2021" s="59">
        <f t="shared" si="217"/>
        <v>9</v>
      </c>
      <c r="N2021" s="59">
        <f t="shared" si="214"/>
        <v>13</v>
      </c>
      <c r="O2021" s="60">
        <f t="shared" si="213"/>
        <v>2021</v>
      </c>
      <c r="P2021" s="65"/>
    </row>
    <row r="2022" spans="3:22">
      <c r="C2022" s="83" t="s">
        <v>369</v>
      </c>
      <c r="D2022" s="75"/>
      <c r="E2022" s="75"/>
      <c r="F2022" s="81" t="s">
        <v>151</v>
      </c>
      <c r="G2022" s="55" t="s">
        <v>3190</v>
      </c>
      <c r="H2022" s="55" t="s">
        <v>124</v>
      </c>
      <c r="I2022" s="59">
        <v>0.3</v>
      </c>
      <c r="J2022" s="60" t="s">
        <v>673</v>
      </c>
      <c r="K2022" s="63" t="str">
        <f t="shared" si="215"/>
        <v>GEL-DC4CInput</v>
      </c>
      <c r="L2022" s="59">
        <f t="shared" si="216"/>
        <v>22</v>
      </c>
      <c r="M2022" s="59">
        <f t="shared" si="217"/>
        <v>9</v>
      </c>
      <c r="N2022" s="59">
        <f t="shared" si="214"/>
        <v>13</v>
      </c>
      <c r="O2022" s="60">
        <f t="shared" si="213"/>
        <v>2022</v>
      </c>
      <c r="P2022" s="65"/>
    </row>
    <row r="2023" spans="3:22">
      <c r="C2023" s="83" t="s">
        <v>369</v>
      </c>
      <c r="D2023" s="75"/>
      <c r="E2023" s="75"/>
      <c r="F2023" s="81" t="s">
        <v>151</v>
      </c>
      <c r="G2023" s="55" t="s">
        <v>3191</v>
      </c>
      <c r="H2023" s="55" t="s">
        <v>124</v>
      </c>
      <c r="I2023" s="59" t="s">
        <v>126</v>
      </c>
      <c r="J2023" s="60" t="s">
        <v>2478</v>
      </c>
      <c r="K2023" s="63" t="str">
        <f t="shared" si="215"/>
        <v>GEL-DC4CInput</v>
      </c>
      <c r="L2023" s="59">
        <f t="shared" si="216"/>
        <v>22</v>
      </c>
      <c r="M2023" s="59">
        <f t="shared" si="217"/>
        <v>9</v>
      </c>
      <c r="N2023" s="59">
        <f t="shared" si="214"/>
        <v>13</v>
      </c>
      <c r="O2023" s="60">
        <f t="shared" si="213"/>
        <v>2023</v>
      </c>
      <c r="P2023" s="65"/>
    </row>
    <row r="2024" spans="3:22">
      <c r="C2024" s="83" t="s">
        <v>369</v>
      </c>
      <c r="D2024" s="75"/>
      <c r="E2024" s="75"/>
      <c r="F2024" s="81" t="s">
        <v>151</v>
      </c>
      <c r="G2024" s="55" t="s">
        <v>3192</v>
      </c>
      <c r="H2024" s="55" t="s">
        <v>124</v>
      </c>
      <c r="I2024" s="59">
        <v>1</v>
      </c>
      <c r="J2024" s="60" t="s">
        <v>677</v>
      </c>
      <c r="K2024" s="63" t="str">
        <f t="shared" si="215"/>
        <v>GEL-DC4CInput</v>
      </c>
      <c r="L2024" s="59">
        <f t="shared" si="216"/>
        <v>22</v>
      </c>
      <c r="M2024" s="59">
        <f t="shared" si="217"/>
        <v>9</v>
      </c>
      <c r="N2024" s="59">
        <f t="shared" si="214"/>
        <v>13</v>
      </c>
      <c r="O2024" s="60">
        <f t="shared" si="213"/>
        <v>2024</v>
      </c>
      <c r="P2024" s="65"/>
    </row>
    <row r="2025" spans="3:22">
      <c r="C2025" s="83" t="s">
        <v>369</v>
      </c>
      <c r="D2025" s="75"/>
      <c r="E2025" s="75"/>
      <c r="F2025" s="81" t="s">
        <v>151</v>
      </c>
      <c r="G2025" s="55" t="s">
        <v>3193</v>
      </c>
      <c r="H2025" s="55" t="s">
        <v>124</v>
      </c>
      <c r="I2025" s="59">
        <v>1.1000000000000001</v>
      </c>
      <c r="J2025" s="60" t="s">
        <v>679</v>
      </c>
      <c r="K2025" s="63" t="str">
        <f t="shared" si="215"/>
        <v>GEL-DC4CInput</v>
      </c>
      <c r="L2025" s="59">
        <f t="shared" si="216"/>
        <v>22</v>
      </c>
      <c r="M2025" s="59">
        <f t="shared" si="217"/>
        <v>9</v>
      </c>
      <c r="N2025" s="59">
        <f t="shared" si="214"/>
        <v>13</v>
      </c>
      <c r="O2025" s="60">
        <f t="shared" si="213"/>
        <v>2025</v>
      </c>
      <c r="P2025" s="65"/>
    </row>
    <row r="2026" spans="3:22">
      <c r="C2026" s="83" t="s">
        <v>369</v>
      </c>
      <c r="D2026" s="75"/>
      <c r="E2026" s="75"/>
      <c r="F2026" s="81" t="s">
        <v>151</v>
      </c>
      <c r="G2026" s="55" t="s">
        <v>3194</v>
      </c>
      <c r="H2026" s="55" t="s">
        <v>124</v>
      </c>
      <c r="I2026" s="59">
        <v>1.2</v>
      </c>
      <c r="J2026" s="60" t="s">
        <v>681</v>
      </c>
      <c r="K2026" s="63" t="str">
        <f t="shared" si="215"/>
        <v>GEL-DC4CInput</v>
      </c>
      <c r="L2026" s="59">
        <f t="shared" si="216"/>
        <v>22</v>
      </c>
      <c r="M2026" s="59">
        <f t="shared" si="217"/>
        <v>9</v>
      </c>
      <c r="N2026" s="59">
        <f t="shared" si="214"/>
        <v>13</v>
      </c>
      <c r="O2026" s="60">
        <f t="shared" si="213"/>
        <v>2026</v>
      </c>
      <c r="P2026" s="65"/>
    </row>
    <row r="2027" spans="3:22">
      <c r="C2027" s="83" t="s">
        <v>369</v>
      </c>
      <c r="D2027" s="75"/>
      <c r="E2027" s="75"/>
      <c r="F2027" s="81" t="s">
        <v>151</v>
      </c>
      <c r="G2027" s="55" t="s">
        <v>3195</v>
      </c>
      <c r="H2027" s="55" t="s">
        <v>124</v>
      </c>
      <c r="I2027" s="59">
        <v>1.3</v>
      </c>
      <c r="J2027" s="60" t="s">
        <v>683</v>
      </c>
      <c r="K2027" s="63" t="str">
        <f t="shared" si="215"/>
        <v>GEL-DC4CInput</v>
      </c>
      <c r="L2027" s="59">
        <f t="shared" si="216"/>
        <v>22</v>
      </c>
      <c r="M2027" s="59">
        <f t="shared" si="217"/>
        <v>9</v>
      </c>
      <c r="N2027" s="59">
        <f t="shared" si="214"/>
        <v>13</v>
      </c>
      <c r="O2027" s="60">
        <f t="shared" si="213"/>
        <v>2027</v>
      </c>
      <c r="P2027" s="65"/>
    </row>
    <row r="2028" spans="3:22">
      <c r="C2028" s="83" t="s">
        <v>369</v>
      </c>
      <c r="D2028" s="75"/>
      <c r="E2028" s="75"/>
      <c r="F2028" s="81" t="s">
        <v>166</v>
      </c>
      <c r="G2028" s="55" t="s">
        <v>3196</v>
      </c>
      <c r="H2028" s="55" t="s">
        <v>124</v>
      </c>
      <c r="I2028" s="59">
        <v>0</v>
      </c>
      <c r="J2028" s="60" t="s">
        <v>685</v>
      </c>
      <c r="K2028" s="63"/>
      <c r="L2028" s="59"/>
      <c r="M2028" s="59"/>
      <c r="N2028" s="59"/>
      <c r="O2028" s="60">
        <f t="shared" si="213"/>
        <v>2028</v>
      </c>
      <c r="P2028" s="65"/>
    </row>
    <row r="2029" spans="3:22">
      <c r="C2029" s="83" t="s">
        <v>369</v>
      </c>
      <c r="D2029" s="75"/>
      <c r="E2029" s="75"/>
      <c r="F2029" s="81" t="s">
        <v>166</v>
      </c>
      <c r="G2029" s="55" t="s">
        <v>3197</v>
      </c>
      <c r="H2029" s="55" t="s">
        <v>124</v>
      </c>
      <c r="I2029" s="59">
        <v>0.1</v>
      </c>
      <c r="J2029" s="60" t="s">
        <v>687</v>
      </c>
      <c r="K2029" s="63"/>
      <c r="L2029" s="59"/>
      <c r="M2029" s="59"/>
      <c r="N2029" s="59"/>
      <c r="O2029" s="60">
        <f t="shared" si="213"/>
        <v>2029</v>
      </c>
      <c r="P2029" s="65"/>
    </row>
    <row r="2030" spans="3:22">
      <c r="C2030" s="83" t="s">
        <v>369</v>
      </c>
      <c r="D2030" s="75"/>
      <c r="E2030" s="75"/>
      <c r="F2030" s="81" t="s">
        <v>166</v>
      </c>
      <c r="G2030" s="55" t="s">
        <v>3198</v>
      </c>
      <c r="H2030" s="55" t="s">
        <v>124</v>
      </c>
      <c r="I2030" s="59">
        <v>0.2</v>
      </c>
      <c r="J2030" s="60" t="s">
        <v>689</v>
      </c>
      <c r="K2030" s="63"/>
      <c r="L2030" s="59"/>
      <c r="M2030" s="59"/>
      <c r="N2030" s="59"/>
      <c r="O2030" s="60">
        <f t="shared" si="213"/>
        <v>2030</v>
      </c>
      <c r="P2030" s="65"/>
    </row>
    <row r="2031" spans="3:22">
      <c r="C2031" s="83" t="s">
        <v>369</v>
      </c>
      <c r="D2031" s="75"/>
      <c r="E2031" s="75"/>
      <c r="F2031" s="81" t="s">
        <v>166</v>
      </c>
      <c r="G2031" s="55" t="s">
        <v>3199</v>
      </c>
      <c r="H2031" s="55" t="s">
        <v>124</v>
      </c>
      <c r="I2031" s="59">
        <v>0.3</v>
      </c>
      <c r="J2031" s="60" t="s">
        <v>691</v>
      </c>
      <c r="K2031" s="63"/>
      <c r="L2031" s="59"/>
      <c r="M2031" s="59"/>
      <c r="N2031" s="59"/>
      <c r="O2031" s="60">
        <f t="shared" si="213"/>
        <v>2031</v>
      </c>
      <c r="P2031" s="65"/>
    </row>
    <row r="2032" spans="3:22">
      <c r="C2032" s="83" t="s">
        <v>369</v>
      </c>
      <c r="D2032" s="75"/>
      <c r="E2032" s="75"/>
      <c r="F2032" s="81" t="s">
        <v>166</v>
      </c>
      <c r="G2032" s="55" t="s">
        <v>3200</v>
      </c>
      <c r="H2032" s="55" t="s">
        <v>139</v>
      </c>
      <c r="I2032" s="59">
        <v>1</v>
      </c>
      <c r="J2032" s="60" t="s">
        <v>693</v>
      </c>
      <c r="K2032" s="63"/>
      <c r="L2032" s="59"/>
      <c r="M2032" s="59"/>
      <c r="N2032" s="59"/>
      <c r="O2032" s="60">
        <f t="shared" si="213"/>
        <v>2032</v>
      </c>
      <c r="P2032" s="65"/>
    </row>
    <row r="2033" spans="3:22">
      <c r="C2033" s="83" t="s">
        <v>369</v>
      </c>
      <c r="D2033" s="75"/>
      <c r="E2033" s="75"/>
      <c r="F2033" s="81" t="s">
        <v>166</v>
      </c>
      <c r="G2033" s="55" t="s">
        <v>3201</v>
      </c>
      <c r="H2033" s="55" t="s">
        <v>139</v>
      </c>
      <c r="I2033" s="59">
        <v>2</v>
      </c>
      <c r="J2033" s="60" t="s">
        <v>695</v>
      </c>
      <c r="K2033" s="63"/>
      <c r="L2033" s="59"/>
      <c r="M2033" s="59"/>
      <c r="N2033" s="59"/>
      <c r="O2033" s="60">
        <f t="shared" si="213"/>
        <v>2033</v>
      </c>
      <c r="P2033" s="65"/>
    </row>
    <row r="2034" spans="3:22">
      <c r="C2034" s="83" t="s">
        <v>369</v>
      </c>
      <c r="D2034" s="75"/>
      <c r="E2034" s="75"/>
      <c r="F2034" s="81" t="s">
        <v>166</v>
      </c>
      <c r="G2034" s="55" t="s">
        <v>3202</v>
      </c>
      <c r="H2034" s="55" t="s">
        <v>139</v>
      </c>
      <c r="I2034" s="59">
        <v>3</v>
      </c>
      <c r="J2034" s="60" t="s">
        <v>697</v>
      </c>
      <c r="K2034" s="63"/>
      <c r="L2034" s="59"/>
      <c r="M2034" s="59"/>
      <c r="N2034" s="59"/>
      <c r="O2034" s="60">
        <f t="shared" si="213"/>
        <v>2034</v>
      </c>
      <c r="P2034" s="65"/>
    </row>
    <row r="2035" spans="3:22">
      <c r="C2035" s="83" t="s">
        <v>369</v>
      </c>
      <c r="D2035" s="75"/>
      <c r="E2035" s="75"/>
      <c r="F2035" s="81" t="s">
        <v>166</v>
      </c>
      <c r="G2035" s="55" t="s">
        <v>3203</v>
      </c>
      <c r="H2035" s="55" t="s">
        <v>139</v>
      </c>
      <c r="I2035" s="59">
        <v>4</v>
      </c>
      <c r="J2035" s="60" t="s">
        <v>699</v>
      </c>
      <c r="K2035" s="63"/>
      <c r="L2035" s="59"/>
      <c r="M2035" s="59"/>
      <c r="N2035" s="59"/>
      <c r="O2035" s="60">
        <f t="shared" si="213"/>
        <v>2035</v>
      </c>
      <c r="P2035" s="65"/>
    </row>
    <row r="2036" spans="3:22">
      <c r="C2036" s="83" t="s">
        <v>369</v>
      </c>
      <c r="D2036" s="75"/>
      <c r="E2036" s="75"/>
      <c r="F2036" s="81" t="s">
        <v>166</v>
      </c>
      <c r="G2036" s="62" t="s">
        <v>6</v>
      </c>
      <c r="H2036" s="55" t="s">
        <v>139</v>
      </c>
      <c r="I2036" s="59">
        <v>5</v>
      </c>
      <c r="J2036" s="60" t="s">
        <v>140</v>
      </c>
      <c r="K2036" s="63"/>
      <c r="L2036" s="59"/>
      <c r="M2036" s="59"/>
      <c r="N2036" s="59"/>
      <c r="O2036" s="60">
        <f t="shared" si="213"/>
        <v>2036</v>
      </c>
      <c r="P2036" s="65"/>
    </row>
    <row r="2037" spans="3:22">
      <c r="C2037" s="83" t="s">
        <v>369</v>
      </c>
      <c r="D2037" s="75"/>
      <c r="E2037" s="75"/>
      <c r="F2037" s="81" t="s">
        <v>166</v>
      </c>
      <c r="G2037" s="62" t="s">
        <v>6</v>
      </c>
      <c r="H2037" s="55" t="s">
        <v>139</v>
      </c>
      <c r="I2037" s="59">
        <v>6</v>
      </c>
      <c r="J2037" s="60" t="s">
        <v>140</v>
      </c>
      <c r="K2037" s="63"/>
      <c r="L2037" s="59"/>
      <c r="M2037" s="59"/>
      <c r="N2037" s="59"/>
      <c r="O2037" s="60">
        <f t="shared" si="213"/>
        <v>2037</v>
      </c>
      <c r="P2037" s="65"/>
    </row>
    <row r="2038" spans="3:22">
      <c r="C2038" s="83" t="s">
        <v>369</v>
      </c>
      <c r="D2038" s="75"/>
      <c r="E2038" s="75"/>
      <c r="F2038" s="81" t="s">
        <v>166</v>
      </c>
      <c r="G2038" s="62" t="s">
        <v>6</v>
      </c>
      <c r="H2038" s="55" t="s">
        <v>139</v>
      </c>
      <c r="I2038" s="59">
        <v>7</v>
      </c>
      <c r="J2038" s="60" t="s">
        <v>140</v>
      </c>
      <c r="K2038" s="63"/>
      <c r="L2038" s="59"/>
      <c r="M2038" s="59"/>
      <c r="N2038" s="59"/>
      <c r="O2038" s="60">
        <f t="shared" si="213"/>
        <v>2038</v>
      </c>
      <c r="P2038" s="65"/>
    </row>
    <row r="2039" spans="3:22">
      <c r="C2039" s="83" t="s">
        <v>369</v>
      </c>
      <c r="D2039" s="75"/>
      <c r="E2039" s="75"/>
      <c r="F2039" s="81" t="s">
        <v>166</v>
      </c>
      <c r="G2039" s="62" t="s">
        <v>6</v>
      </c>
      <c r="H2039" s="55" t="s">
        <v>139</v>
      </c>
      <c r="I2039" s="59">
        <v>8</v>
      </c>
      <c r="J2039" s="60" t="s">
        <v>140</v>
      </c>
      <c r="K2039" s="63"/>
      <c r="L2039" s="59"/>
      <c r="M2039" s="59"/>
      <c r="N2039" s="59"/>
      <c r="O2039" s="60">
        <f t="shared" si="213"/>
        <v>2039</v>
      </c>
      <c r="P2039" s="65"/>
    </row>
    <row r="2040" spans="3:22">
      <c r="C2040" s="83" t="s">
        <v>369</v>
      </c>
      <c r="D2040" s="75"/>
      <c r="E2040" s="75"/>
      <c r="F2040" s="81" t="s">
        <v>166</v>
      </c>
      <c r="G2040" s="62" t="s">
        <v>6</v>
      </c>
      <c r="H2040" s="55" t="s">
        <v>139</v>
      </c>
      <c r="I2040" s="59">
        <v>9</v>
      </c>
      <c r="J2040" s="60" t="s">
        <v>140</v>
      </c>
      <c r="K2040" s="63"/>
      <c r="L2040" s="59"/>
      <c r="M2040" s="59"/>
      <c r="N2040" s="59"/>
      <c r="O2040" s="60">
        <f t="shared" si="213"/>
        <v>2040</v>
      </c>
      <c r="P2040" s="65"/>
    </row>
    <row r="2041" spans="3:22">
      <c r="C2041" s="83" t="s">
        <v>370</v>
      </c>
      <c r="D2041" s="59"/>
      <c r="E2041" s="59"/>
      <c r="F2041" s="81" t="s">
        <v>151</v>
      </c>
      <c r="G2041" s="55" t="s">
        <v>3170</v>
      </c>
      <c r="H2041" s="55" t="s">
        <v>124</v>
      </c>
      <c r="I2041" s="59">
        <v>0</v>
      </c>
      <c r="J2041" s="60" t="s">
        <v>667</v>
      </c>
      <c r="K2041" s="63" t="str">
        <f t="shared" si="215"/>
        <v>GEL-DV4CInput</v>
      </c>
      <c r="L2041" s="59">
        <f t="shared" ref="L2041:L2049" si="218">COUNTIF($C$2:$C$2062,C2041)</f>
        <v>22</v>
      </c>
      <c r="M2041" s="59">
        <f t="shared" ref="M2041:M2049" si="219">COUNTIF($K$2:$K$2062,K2041)</f>
        <v>9</v>
      </c>
      <c r="N2041" s="59">
        <f t="shared" si="214"/>
        <v>13</v>
      </c>
      <c r="O2041" s="60">
        <f t="shared" si="213"/>
        <v>2041</v>
      </c>
      <c r="P2041" s="65" t="s">
        <v>3214</v>
      </c>
      <c r="Q2041">
        <f>O2041</f>
        <v>2041</v>
      </c>
      <c r="R2041" t="s">
        <v>3215</v>
      </c>
      <c r="S2041">
        <v>2063</v>
      </c>
      <c r="T2041" t="str">
        <f>P2041&amp;Q2041&amp;R2041&amp;S2041</f>
        <v>All data map'!$F$2041:$J$2063</v>
      </c>
      <c r="V2041" t="s">
        <v>3299</v>
      </c>
    </row>
    <row r="2042" spans="3:22">
      <c r="C2042" s="83" t="s">
        <v>370</v>
      </c>
      <c r="D2042" s="59"/>
      <c r="E2042" s="59"/>
      <c r="F2042" s="81" t="s">
        <v>151</v>
      </c>
      <c r="G2042" s="55" t="s">
        <v>3171</v>
      </c>
      <c r="H2042" s="55" t="s">
        <v>124</v>
      </c>
      <c r="I2042" s="59">
        <v>0.1</v>
      </c>
      <c r="J2042" s="60" t="s">
        <v>669</v>
      </c>
      <c r="K2042" s="63" t="str">
        <f t="shared" si="215"/>
        <v>GEL-DV4CInput</v>
      </c>
      <c r="L2042" s="59">
        <f t="shared" si="218"/>
        <v>22</v>
      </c>
      <c r="M2042" s="59">
        <f t="shared" si="219"/>
        <v>9</v>
      </c>
      <c r="N2042" s="59">
        <f t="shared" si="214"/>
        <v>13</v>
      </c>
      <c r="O2042" s="60">
        <f t="shared" si="213"/>
        <v>2042</v>
      </c>
      <c r="P2042" s="65"/>
    </row>
    <row r="2043" spans="3:22">
      <c r="C2043" s="83" t="s">
        <v>370</v>
      </c>
      <c r="D2043" s="59"/>
      <c r="E2043" s="59"/>
      <c r="F2043" s="81" t="s">
        <v>151</v>
      </c>
      <c r="G2043" s="55" t="s">
        <v>3172</v>
      </c>
      <c r="H2043" s="55" t="s">
        <v>124</v>
      </c>
      <c r="I2043" s="59">
        <v>0.2</v>
      </c>
      <c r="J2043" s="60" t="s">
        <v>671</v>
      </c>
      <c r="K2043" s="63" t="str">
        <f t="shared" si="215"/>
        <v>GEL-DV4CInput</v>
      </c>
      <c r="L2043" s="59">
        <f t="shared" si="218"/>
        <v>22</v>
      </c>
      <c r="M2043" s="59">
        <f t="shared" si="219"/>
        <v>9</v>
      </c>
      <c r="N2043" s="59">
        <f t="shared" si="214"/>
        <v>13</v>
      </c>
      <c r="O2043" s="60">
        <f t="shared" si="213"/>
        <v>2043</v>
      </c>
      <c r="P2043" s="65"/>
    </row>
    <row r="2044" spans="3:22">
      <c r="C2044" s="83" t="s">
        <v>370</v>
      </c>
      <c r="D2044" s="59"/>
      <c r="E2044" s="59"/>
      <c r="F2044" s="81" t="s">
        <v>151</v>
      </c>
      <c r="G2044" s="55" t="s">
        <v>3173</v>
      </c>
      <c r="H2044" s="55" t="s">
        <v>124</v>
      </c>
      <c r="I2044" s="59">
        <v>0.3</v>
      </c>
      <c r="J2044" s="60" t="s">
        <v>673</v>
      </c>
      <c r="K2044" s="63" t="str">
        <f t="shared" si="215"/>
        <v>GEL-DV4CInput</v>
      </c>
      <c r="L2044" s="59">
        <f t="shared" si="218"/>
        <v>22</v>
      </c>
      <c r="M2044" s="59">
        <f t="shared" si="219"/>
        <v>9</v>
      </c>
      <c r="N2044" s="59">
        <f t="shared" si="214"/>
        <v>13</v>
      </c>
      <c r="O2044" s="60">
        <f t="shared" si="213"/>
        <v>2044</v>
      </c>
      <c r="P2044" s="65"/>
    </row>
    <row r="2045" spans="3:22">
      <c r="C2045" s="83" t="s">
        <v>370</v>
      </c>
      <c r="D2045" s="59"/>
      <c r="E2045" s="59"/>
      <c r="F2045" s="81" t="s">
        <v>151</v>
      </c>
      <c r="G2045" s="55" t="s">
        <v>3174</v>
      </c>
      <c r="H2045" s="55" t="s">
        <v>124</v>
      </c>
      <c r="I2045" s="59" t="s">
        <v>126</v>
      </c>
      <c r="J2045" s="60" t="s">
        <v>2478</v>
      </c>
      <c r="K2045" s="63" t="str">
        <f t="shared" si="215"/>
        <v>GEL-DV4CInput</v>
      </c>
      <c r="L2045" s="59">
        <f t="shared" si="218"/>
        <v>22</v>
      </c>
      <c r="M2045" s="59">
        <f t="shared" si="219"/>
        <v>9</v>
      </c>
      <c r="N2045" s="59">
        <f t="shared" si="214"/>
        <v>13</v>
      </c>
      <c r="O2045" s="60">
        <f t="shared" si="213"/>
        <v>2045</v>
      </c>
      <c r="P2045" s="65"/>
    </row>
    <row r="2046" spans="3:22">
      <c r="C2046" s="83" t="s">
        <v>370</v>
      </c>
      <c r="D2046" s="59"/>
      <c r="E2046" s="59"/>
      <c r="F2046" s="81" t="s">
        <v>151</v>
      </c>
      <c r="G2046" s="55" t="s">
        <v>3175</v>
      </c>
      <c r="H2046" s="55" t="s">
        <v>124</v>
      </c>
      <c r="I2046" s="59">
        <v>1</v>
      </c>
      <c r="J2046" s="60" t="s">
        <v>677</v>
      </c>
      <c r="K2046" s="63" t="str">
        <f t="shared" si="215"/>
        <v>GEL-DV4CInput</v>
      </c>
      <c r="L2046" s="59">
        <f t="shared" si="218"/>
        <v>22</v>
      </c>
      <c r="M2046" s="59">
        <f t="shared" si="219"/>
        <v>9</v>
      </c>
      <c r="N2046" s="59">
        <f t="shared" si="214"/>
        <v>13</v>
      </c>
      <c r="O2046" s="60">
        <f t="shared" si="213"/>
        <v>2046</v>
      </c>
      <c r="P2046" s="65"/>
    </row>
    <row r="2047" spans="3:22">
      <c r="C2047" s="83" t="s">
        <v>370</v>
      </c>
      <c r="D2047" s="59"/>
      <c r="E2047" s="59"/>
      <c r="F2047" s="81" t="s">
        <v>151</v>
      </c>
      <c r="G2047" s="55" t="s">
        <v>3176</v>
      </c>
      <c r="H2047" s="55" t="s">
        <v>124</v>
      </c>
      <c r="I2047" s="59">
        <v>1.1000000000000001</v>
      </c>
      <c r="J2047" s="60" t="s">
        <v>679</v>
      </c>
      <c r="K2047" s="63" t="str">
        <f t="shared" si="215"/>
        <v>GEL-DV4CInput</v>
      </c>
      <c r="L2047" s="59">
        <f t="shared" si="218"/>
        <v>22</v>
      </c>
      <c r="M2047" s="59">
        <f t="shared" si="219"/>
        <v>9</v>
      </c>
      <c r="N2047" s="59">
        <f t="shared" si="214"/>
        <v>13</v>
      </c>
      <c r="O2047" s="60">
        <f t="shared" si="213"/>
        <v>2047</v>
      </c>
      <c r="P2047" s="65"/>
    </row>
    <row r="2048" spans="3:22">
      <c r="C2048" s="83" t="s">
        <v>370</v>
      </c>
      <c r="D2048" s="59"/>
      <c r="E2048" s="59"/>
      <c r="F2048" s="81" t="s">
        <v>151</v>
      </c>
      <c r="G2048" s="55" t="s">
        <v>3177</v>
      </c>
      <c r="H2048" s="55" t="s">
        <v>124</v>
      </c>
      <c r="I2048" s="59">
        <v>1.2</v>
      </c>
      <c r="J2048" s="60" t="s">
        <v>681</v>
      </c>
      <c r="K2048" s="63" t="str">
        <f t="shared" si="215"/>
        <v>GEL-DV4CInput</v>
      </c>
      <c r="L2048" s="59">
        <f t="shared" si="218"/>
        <v>22</v>
      </c>
      <c r="M2048" s="59">
        <f t="shared" si="219"/>
        <v>9</v>
      </c>
      <c r="N2048" s="59">
        <f t="shared" si="214"/>
        <v>13</v>
      </c>
      <c r="O2048" s="60">
        <f t="shared" si="213"/>
        <v>2048</v>
      </c>
      <c r="P2048" s="65"/>
    </row>
    <row r="2049" spans="2:22">
      <c r="C2049" s="83" t="s">
        <v>370</v>
      </c>
      <c r="D2049" s="59"/>
      <c r="E2049" s="59"/>
      <c r="F2049" s="81" t="s">
        <v>151</v>
      </c>
      <c r="G2049" s="55" t="s">
        <v>3178</v>
      </c>
      <c r="H2049" s="55" t="s">
        <v>124</v>
      </c>
      <c r="I2049" s="59">
        <v>1.3</v>
      </c>
      <c r="J2049" s="60" t="s">
        <v>683</v>
      </c>
      <c r="K2049" s="63" t="str">
        <f t="shared" si="215"/>
        <v>GEL-DV4CInput</v>
      </c>
      <c r="L2049" s="59">
        <f t="shared" si="218"/>
        <v>22</v>
      </c>
      <c r="M2049" s="59">
        <f t="shared" si="219"/>
        <v>9</v>
      </c>
      <c r="N2049" s="59">
        <f t="shared" si="214"/>
        <v>13</v>
      </c>
      <c r="O2049" s="60">
        <f t="shared" si="213"/>
        <v>2049</v>
      </c>
      <c r="P2049" s="65"/>
    </row>
    <row r="2050" spans="2:22">
      <c r="C2050" s="83" t="s">
        <v>370</v>
      </c>
      <c r="D2050" s="59"/>
      <c r="E2050" s="59"/>
      <c r="F2050" s="81" t="s">
        <v>166</v>
      </c>
      <c r="G2050" s="55" t="s">
        <v>3179</v>
      </c>
      <c r="H2050" s="55" t="s">
        <v>124</v>
      </c>
      <c r="I2050" s="59">
        <v>0</v>
      </c>
      <c r="J2050" s="60" t="s">
        <v>685</v>
      </c>
      <c r="K2050" s="63"/>
      <c r="L2050" s="59"/>
      <c r="M2050" s="59"/>
      <c r="N2050" s="59"/>
      <c r="O2050" s="60">
        <f t="shared" ref="O2050:O2062" si="220">ROW(C2050)</f>
        <v>2050</v>
      </c>
      <c r="P2050" s="65"/>
    </row>
    <row r="2051" spans="2:22">
      <c r="C2051" s="83" t="s">
        <v>370</v>
      </c>
      <c r="D2051" s="59"/>
      <c r="E2051" s="59"/>
      <c r="F2051" s="81" t="s">
        <v>166</v>
      </c>
      <c r="G2051" s="55" t="s">
        <v>3180</v>
      </c>
      <c r="H2051" s="55" t="s">
        <v>124</v>
      </c>
      <c r="I2051" s="59">
        <v>0.1</v>
      </c>
      <c r="J2051" s="60" t="s">
        <v>687</v>
      </c>
      <c r="K2051" s="63"/>
      <c r="L2051" s="59"/>
      <c r="M2051" s="59"/>
      <c r="N2051" s="59"/>
      <c r="O2051" s="60">
        <f t="shared" si="220"/>
        <v>2051</v>
      </c>
      <c r="P2051" s="65"/>
    </row>
    <row r="2052" spans="2:22">
      <c r="C2052" s="83" t="s">
        <v>370</v>
      </c>
      <c r="D2052" s="59"/>
      <c r="E2052" s="59"/>
      <c r="F2052" s="81" t="s">
        <v>166</v>
      </c>
      <c r="G2052" s="55" t="s">
        <v>3181</v>
      </c>
      <c r="H2052" s="55" t="s">
        <v>124</v>
      </c>
      <c r="I2052" s="59">
        <v>0.2</v>
      </c>
      <c r="J2052" s="60" t="s">
        <v>689</v>
      </c>
      <c r="K2052" s="63"/>
      <c r="L2052" s="59"/>
      <c r="M2052" s="59"/>
      <c r="N2052" s="59"/>
      <c r="O2052" s="60">
        <f t="shared" si="220"/>
        <v>2052</v>
      </c>
      <c r="P2052" s="65"/>
    </row>
    <row r="2053" spans="2:22">
      <c r="C2053" s="83" t="s">
        <v>370</v>
      </c>
      <c r="D2053" s="59"/>
      <c r="E2053" s="59"/>
      <c r="F2053" s="81" t="s">
        <v>166</v>
      </c>
      <c r="G2053" s="55" t="s">
        <v>3182</v>
      </c>
      <c r="H2053" s="55" t="s">
        <v>124</v>
      </c>
      <c r="I2053" s="59">
        <v>0.3</v>
      </c>
      <c r="J2053" s="60" t="s">
        <v>691</v>
      </c>
      <c r="K2053" s="63"/>
      <c r="L2053" s="59"/>
      <c r="M2053" s="59"/>
      <c r="N2053" s="59"/>
      <c r="O2053" s="60">
        <f t="shared" si="220"/>
        <v>2053</v>
      </c>
      <c r="P2053" s="65"/>
    </row>
    <row r="2054" spans="2:22">
      <c r="C2054" s="83" t="s">
        <v>370</v>
      </c>
      <c r="D2054" s="59"/>
      <c r="E2054" s="59"/>
      <c r="F2054" s="81" t="s">
        <v>166</v>
      </c>
      <c r="G2054" s="55" t="s">
        <v>3183</v>
      </c>
      <c r="H2054" s="55" t="s">
        <v>139</v>
      </c>
      <c r="I2054" s="59">
        <v>1</v>
      </c>
      <c r="J2054" s="60" t="s">
        <v>693</v>
      </c>
      <c r="K2054" s="63"/>
      <c r="L2054" s="59"/>
      <c r="M2054" s="59"/>
      <c r="N2054" s="59"/>
      <c r="O2054" s="60">
        <f t="shared" si="220"/>
        <v>2054</v>
      </c>
      <c r="P2054" s="65"/>
    </row>
    <row r="2055" spans="2:22">
      <c r="C2055" s="83" t="s">
        <v>370</v>
      </c>
      <c r="D2055" s="59"/>
      <c r="E2055" s="59"/>
      <c r="F2055" s="81" t="s">
        <v>166</v>
      </c>
      <c r="G2055" s="55" t="s">
        <v>3184</v>
      </c>
      <c r="H2055" s="55" t="s">
        <v>139</v>
      </c>
      <c r="I2055" s="59">
        <v>2</v>
      </c>
      <c r="J2055" s="60" t="s">
        <v>695</v>
      </c>
      <c r="K2055" s="63"/>
      <c r="L2055" s="59"/>
      <c r="M2055" s="59"/>
      <c r="N2055" s="59"/>
      <c r="O2055" s="60">
        <f t="shared" si="220"/>
        <v>2055</v>
      </c>
      <c r="P2055" s="65"/>
    </row>
    <row r="2056" spans="2:22">
      <c r="C2056" s="83" t="s">
        <v>370</v>
      </c>
      <c r="D2056" s="59"/>
      <c r="E2056" s="59"/>
      <c r="F2056" s="81" t="s">
        <v>166</v>
      </c>
      <c r="G2056" s="55" t="s">
        <v>3185</v>
      </c>
      <c r="H2056" s="55" t="s">
        <v>139</v>
      </c>
      <c r="I2056" s="59">
        <v>3</v>
      </c>
      <c r="J2056" s="60" t="s">
        <v>697</v>
      </c>
      <c r="K2056" s="63"/>
      <c r="L2056" s="59"/>
      <c r="M2056" s="59"/>
      <c r="N2056" s="59"/>
      <c r="O2056" s="60">
        <f t="shared" si="220"/>
        <v>2056</v>
      </c>
      <c r="P2056" s="65"/>
    </row>
    <row r="2057" spans="2:22">
      <c r="C2057" s="83" t="s">
        <v>370</v>
      </c>
      <c r="D2057" s="59"/>
      <c r="E2057" s="59"/>
      <c r="F2057" s="81" t="s">
        <v>166</v>
      </c>
      <c r="G2057" s="55" t="s">
        <v>3186</v>
      </c>
      <c r="H2057" s="55" t="s">
        <v>139</v>
      </c>
      <c r="I2057" s="59">
        <v>4</v>
      </c>
      <c r="J2057" s="60" t="s">
        <v>699</v>
      </c>
      <c r="K2057" s="63"/>
      <c r="L2057" s="59"/>
      <c r="M2057" s="59"/>
      <c r="N2057" s="59"/>
      <c r="O2057" s="60">
        <f t="shared" si="220"/>
        <v>2057</v>
      </c>
      <c r="P2057" s="65"/>
    </row>
    <row r="2058" spans="2:22">
      <c r="C2058" s="83" t="s">
        <v>370</v>
      </c>
      <c r="D2058" s="59"/>
      <c r="E2058" s="59"/>
      <c r="F2058" s="81" t="s">
        <v>166</v>
      </c>
      <c r="G2058" s="62" t="s">
        <v>6</v>
      </c>
      <c r="H2058" s="55" t="s">
        <v>139</v>
      </c>
      <c r="I2058" s="59">
        <v>5</v>
      </c>
      <c r="J2058" s="60" t="s">
        <v>140</v>
      </c>
      <c r="K2058" s="63"/>
      <c r="L2058" s="59"/>
      <c r="M2058" s="59"/>
      <c r="N2058" s="59"/>
      <c r="O2058" s="60">
        <f t="shared" si="220"/>
        <v>2058</v>
      </c>
      <c r="P2058" s="65"/>
    </row>
    <row r="2059" spans="2:22">
      <c r="C2059" s="83" t="s">
        <v>370</v>
      </c>
      <c r="D2059" s="59"/>
      <c r="E2059" s="59"/>
      <c r="F2059" s="81" t="s">
        <v>166</v>
      </c>
      <c r="G2059" s="62" t="s">
        <v>6</v>
      </c>
      <c r="H2059" s="55" t="s">
        <v>139</v>
      </c>
      <c r="I2059" s="59">
        <v>6</v>
      </c>
      <c r="J2059" s="60" t="s">
        <v>140</v>
      </c>
      <c r="K2059" s="63"/>
      <c r="L2059" s="59"/>
      <c r="M2059" s="59"/>
      <c r="N2059" s="59"/>
      <c r="O2059" s="60">
        <f t="shared" si="220"/>
        <v>2059</v>
      </c>
      <c r="P2059" s="65"/>
    </row>
    <row r="2060" spans="2:22">
      <c r="C2060" s="83" t="s">
        <v>370</v>
      </c>
      <c r="D2060" s="59"/>
      <c r="E2060" s="59"/>
      <c r="F2060" s="81" t="s">
        <v>166</v>
      </c>
      <c r="G2060" s="62" t="s">
        <v>6</v>
      </c>
      <c r="H2060" s="55" t="s">
        <v>139</v>
      </c>
      <c r="I2060" s="59">
        <v>7</v>
      </c>
      <c r="J2060" s="60" t="s">
        <v>140</v>
      </c>
      <c r="K2060" s="63"/>
      <c r="L2060" s="59"/>
      <c r="M2060" s="59"/>
      <c r="N2060" s="59"/>
      <c r="O2060" s="60">
        <f t="shared" si="220"/>
        <v>2060</v>
      </c>
      <c r="P2060" s="65"/>
    </row>
    <row r="2061" spans="2:22">
      <c r="C2061" s="83" t="s">
        <v>370</v>
      </c>
      <c r="D2061" s="59"/>
      <c r="E2061" s="59"/>
      <c r="F2061" s="81" t="s">
        <v>166</v>
      </c>
      <c r="G2061" s="62" t="s">
        <v>6</v>
      </c>
      <c r="H2061" s="55" t="s">
        <v>139</v>
      </c>
      <c r="I2061" s="59">
        <v>8</v>
      </c>
      <c r="J2061" s="60" t="s">
        <v>140</v>
      </c>
      <c r="K2061" s="63"/>
      <c r="L2061" s="59"/>
      <c r="M2061" s="59"/>
      <c r="N2061" s="59"/>
      <c r="O2061" s="60">
        <f t="shared" si="220"/>
        <v>2061</v>
      </c>
      <c r="P2061" s="65"/>
    </row>
    <row r="2062" spans="2:22">
      <c r="C2062" s="83" t="s">
        <v>370</v>
      </c>
      <c r="D2062" s="59"/>
      <c r="E2062" s="59"/>
      <c r="F2062" s="81" t="s">
        <v>166</v>
      </c>
      <c r="G2062" s="62" t="s">
        <v>6</v>
      </c>
      <c r="H2062" s="55" t="s">
        <v>139</v>
      </c>
      <c r="I2062" s="59">
        <v>9</v>
      </c>
      <c r="J2062" s="60" t="s">
        <v>140</v>
      </c>
      <c r="K2062" s="63"/>
      <c r="L2062" s="59"/>
      <c r="M2062" s="59"/>
      <c r="N2062" s="59"/>
      <c r="O2062" s="60">
        <f t="shared" si="220"/>
        <v>2062</v>
      </c>
      <c r="P2062" s="65"/>
    </row>
    <row r="2063" spans="2:22">
      <c r="B2063" s="3" t="s">
        <v>3528</v>
      </c>
      <c r="C2063" s="83" t="s">
        <v>2</v>
      </c>
      <c r="D2063" s="79" t="s">
        <v>3555</v>
      </c>
      <c r="E2063" s="80" t="s">
        <v>3514</v>
      </c>
      <c r="F2063" s="81" t="s">
        <v>151</v>
      </c>
      <c r="G2063" s="55" t="str">
        <f t="shared" ref="G2063:G2076" si="221">D2063&amp;E2063</f>
        <v>Bit 0 -1    RUN LED (Green)</v>
      </c>
      <c r="H2063" s="55" t="s">
        <v>124</v>
      </c>
      <c r="I2063" s="111" t="s">
        <v>6</v>
      </c>
      <c r="J2063" s="59" t="s">
        <v>3566</v>
      </c>
      <c r="K2063" s="63" t="str">
        <f>C2063&amp;F2063</f>
        <v>HeaderInput</v>
      </c>
      <c r="L2063" s="59">
        <v>13</v>
      </c>
      <c r="M2063" s="59">
        <v>13</v>
      </c>
      <c r="N2063" s="59">
        <f>L2063-M2063</f>
        <v>0</v>
      </c>
      <c r="O2063" s="60">
        <f>ROW(C2063)</f>
        <v>2063</v>
      </c>
      <c r="P2063" s="65" t="s">
        <v>3214</v>
      </c>
      <c r="Q2063">
        <f>O2063</f>
        <v>2063</v>
      </c>
      <c r="R2063" t="s">
        <v>3215</v>
      </c>
      <c r="S2063">
        <v>2089</v>
      </c>
      <c r="T2063" t="str">
        <f>P2063&amp;Q2063&amp;R2063&amp;S2063</f>
        <v>All data map'!$F$2063:$J$2089</v>
      </c>
      <c r="V2063" t="s">
        <v>3582</v>
      </c>
    </row>
    <row r="2064" spans="2:22">
      <c r="B2064" s="3" t="s">
        <v>3528</v>
      </c>
      <c r="C2064" s="83" t="s">
        <v>2</v>
      </c>
      <c r="D2064" s="79" t="s">
        <v>3556</v>
      </c>
      <c r="E2064" s="80" t="s">
        <v>3519</v>
      </c>
      <c r="F2064" s="81" t="s">
        <v>151</v>
      </c>
      <c r="G2064" s="55" t="str">
        <f t="shared" si="221"/>
        <v>Bit 2-3    RUN LED (Red)</v>
      </c>
      <c r="H2064" s="55" t="s">
        <v>124</v>
      </c>
      <c r="I2064" s="111" t="s">
        <v>6</v>
      </c>
      <c r="J2064" s="60" t="s">
        <v>3567</v>
      </c>
      <c r="K2064" s="63"/>
      <c r="L2064" s="59"/>
      <c r="M2064" s="59"/>
      <c r="N2064" s="59"/>
      <c r="O2064" s="60"/>
    </row>
    <row r="2065" spans="2:22">
      <c r="B2065" s="3" t="s">
        <v>3528</v>
      </c>
      <c r="C2065" s="83" t="s">
        <v>2</v>
      </c>
      <c r="D2065" s="79" t="s">
        <v>3557</v>
      </c>
      <c r="E2065" s="80" t="s">
        <v>3520</v>
      </c>
      <c r="F2065" s="81" t="s">
        <v>151</v>
      </c>
      <c r="G2065" s="55" t="str">
        <f t="shared" si="221"/>
        <v>Bit 4-5    RMS LED (Green)</v>
      </c>
      <c r="H2065" s="55" t="s">
        <v>124</v>
      </c>
      <c r="I2065" s="111" t="s">
        <v>6</v>
      </c>
      <c r="J2065" s="60" t="s">
        <v>3568</v>
      </c>
      <c r="K2065" s="63"/>
      <c r="L2065" s="59"/>
      <c r="M2065" s="59"/>
      <c r="N2065" s="59"/>
      <c r="O2065" s="60"/>
    </row>
    <row r="2066" spans="2:22">
      <c r="B2066" s="3" t="s">
        <v>3528</v>
      </c>
      <c r="C2066" s="83" t="s">
        <v>2</v>
      </c>
      <c r="D2066" s="79" t="s">
        <v>3558</v>
      </c>
      <c r="E2066" s="80" t="s">
        <v>3521</v>
      </c>
      <c r="F2066" s="81" t="s">
        <v>151</v>
      </c>
      <c r="G2066" s="55" t="str">
        <f t="shared" si="221"/>
        <v>Bit 6-7    RMS LED (Red)</v>
      </c>
      <c r="H2066" s="55" t="s">
        <v>124</v>
      </c>
      <c r="I2066" s="111" t="s">
        <v>6</v>
      </c>
      <c r="J2066" s="60" t="s">
        <v>3569</v>
      </c>
      <c r="K2066" s="63"/>
      <c r="L2066" s="59"/>
      <c r="M2066" s="59"/>
      <c r="N2066" s="59"/>
      <c r="O2066" s="60"/>
    </row>
    <row r="2067" spans="2:22">
      <c r="B2067" s="3" t="s">
        <v>3528</v>
      </c>
      <c r="C2067" s="83" t="s">
        <v>2</v>
      </c>
      <c r="D2067" s="79" t="s">
        <v>3559</v>
      </c>
      <c r="E2067" s="80" t="s">
        <v>3522</v>
      </c>
      <c r="F2067" s="81" t="s">
        <v>151</v>
      </c>
      <c r="G2067" s="55" t="str">
        <f t="shared" si="221"/>
        <v>Bit 8-9    RNS LED (Green)</v>
      </c>
      <c r="H2067" s="55" t="s">
        <v>124</v>
      </c>
      <c r="I2067" s="111" t="s">
        <v>6</v>
      </c>
      <c r="J2067" s="60" t="s">
        <v>3570</v>
      </c>
      <c r="K2067" s="63"/>
      <c r="L2067" s="59"/>
      <c r="M2067" s="59"/>
      <c r="N2067" s="59"/>
      <c r="O2067" s="60"/>
    </row>
    <row r="2068" spans="2:22">
      <c r="B2068" s="3" t="s">
        <v>3528</v>
      </c>
      <c r="C2068" s="83" t="s">
        <v>2</v>
      </c>
      <c r="D2068" s="79" t="s">
        <v>3560</v>
      </c>
      <c r="E2068" s="80" t="s">
        <v>3523</v>
      </c>
      <c r="F2068" s="81" t="s">
        <v>151</v>
      </c>
      <c r="G2068" s="55" t="str">
        <f t="shared" si="221"/>
        <v>Bit 10 – 11    RNS LED (Red)</v>
      </c>
      <c r="H2068" s="55" t="s">
        <v>124</v>
      </c>
      <c r="I2068" s="111" t="s">
        <v>6</v>
      </c>
      <c r="J2068" s="110" t="s">
        <v>6</v>
      </c>
      <c r="K2068" s="63"/>
      <c r="L2068" s="59"/>
      <c r="M2068" s="59"/>
      <c r="N2068" s="59"/>
      <c r="O2068" s="60"/>
    </row>
    <row r="2069" spans="2:22">
      <c r="B2069" s="3" t="s">
        <v>3528</v>
      </c>
      <c r="C2069" s="83" t="s">
        <v>2</v>
      </c>
      <c r="D2069" s="79" t="s">
        <v>3561</v>
      </c>
      <c r="E2069" s="80" t="s">
        <v>3515</v>
      </c>
      <c r="F2069" s="81" t="s">
        <v>151</v>
      </c>
      <c r="G2069" s="55" t="str">
        <f t="shared" si="221"/>
        <v>Bit 12 – 13    RELAY LED (Green)</v>
      </c>
      <c r="H2069" s="55" t="s">
        <v>124</v>
      </c>
      <c r="I2069" s="111" t="s">
        <v>6</v>
      </c>
      <c r="J2069" s="110" t="s">
        <v>6</v>
      </c>
      <c r="K2069" s="63"/>
      <c r="L2069" s="59"/>
      <c r="M2069" s="59"/>
      <c r="N2069" s="59"/>
      <c r="O2069" s="60"/>
    </row>
    <row r="2070" spans="2:22">
      <c r="B2070" s="3" t="s">
        <v>3528</v>
      </c>
      <c r="C2070" s="83" t="s">
        <v>2</v>
      </c>
      <c r="D2070" s="79" t="s">
        <v>3551</v>
      </c>
      <c r="E2070" s="80" t="s">
        <v>140</v>
      </c>
      <c r="F2070" s="81" t="s">
        <v>151</v>
      </c>
      <c r="G2070" s="55" t="str">
        <f t="shared" si="221"/>
        <v>Bit 14 -15    Reserved</v>
      </c>
      <c r="H2070" s="55" t="s">
        <v>124</v>
      </c>
      <c r="I2070" s="111" t="s">
        <v>6</v>
      </c>
      <c r="J2070" s="110" t="s">
        <v>6</v>
      </c>
      <c r="K2070" s="63"/>
      <c r="L2070" s="59"/>
      <c r="M2070" s="59"/>
      <c r="N2070" s="59"/>
      <c r="O2070" s="60"/>
    </row>
    <row r="2071" spans="2:22">
      <c r="B2071" s="3" t="s">
        <v>3528</v>
      </c>
      <c r="C2071" s="83" t="s">
        <v>2</v>
      </c>
      <c r="D2071" s="79" t="s">
        <v>3552</v>
      </c>
      <c r="E2071" s="80" t="s">
        <v>3524</v>
      </c>
      <c r="F2071" s="81" t="s">
        <v>151</v>
      </c>
      <c r="G2071" s="55" t="str">
        <f t="shared" si="221"/>
        <v>Bit 16 – 17    LINK/ACT1 LED (Green)</v>
      </c>
      <c r="H2071" s="55" t="s">
        <v>124</v>
      </c>
      <c r="I2071" s="111" t="s">
        <v>6</v>
      </c>
      <c r="J2071" s="110" t="s">
        <v>6</v>
      </c>
      <c r="K2071" s="63"/>
      <c r="L2071" s="59"/>
      <c r="M2071" s="59"/>
      <c r="N2071" s="59"/>
      <c r="O2071" s="60"/>
    </row>
    <row r="2072" spans="2:22">
      <c r="B2072" s="3" t="s">
        <v>3528</v>
      </c>
      <c r="C2072" s="83" t="s">
        <v>2</v>
      </c>
      <c r="D2072" s="79" t="s">
        <v>3553</v>
      </c>
      <c r="E2072" s="80" t="s">
        <v>3525</v>
      </c>
      <c r="F2072" s="81" t="s">
        <v>151</v>
      </c>
      <c r="G2072" s="55" t="str">
        <f t="shared" si="221"/>
        <v>Bit 18 – 19    LINK/ACT1 LED (Yellow)</v>
      </c>
      <c r="H2072" s="55" t="s">
        <v>124</v>
      </c>
      <c r="I2072" s="111" t="s">
        <v>6</v>
      </c>
      <c r="J2072" s="110" t="s">
        <v>6</v>
      </c>
      <c r="K2072" s="63"/>
      <c r="L2072" s="59"/>
      <c r="M2072" s="59"/>
      <c r="N2072" s="59"/>
      <c r="O2072" s="60"/>
    </row>
    <row r="2073" spans="2:22">
      <c r="B2073" s="3" t="s">
        <v>3528</v>
      </c>
      <c r="C2073" s="83" t="s">
        <v>2</v>
      </c>
      <c r="D2073" s="79" t="s">
        <v>3562</v>
      </c>
      <c r="E2073" s="80" t="s">
        <v>3526</v>
      </c>
      <c r="F2073" s="81" t="s">
        <v>151</v>
      </c>
      <c r="G2073" s="55" t="str">
        <f t="shared" si="221"/>
        <v>Bit 20 – 21    LINK/ACT2 LED (Green)</v>
      </c>
      <c r="H2073" s="55" t="s">
        <v>124</v>
      </c>
      <c r="I2073" s="111" t="s">
        <v>6</v>
      </c>
      <c r="J2073" s="110" t="s">
        <v>6</v>
      </c>
      <c r="K2073" s="63"/>
      <c r="L2073" s="59"/>
      <c r="M2073" s="59"/>
      <c r="N2073" s="59"/>
      <c r="O2073" s="60"/>
    </row>
    <row r="2074" spans="2:22">
      <c r="B2074" s="3" t="s">
        <v>3528</v>
      </c>
      <c r="C2074" s="83" t="s">
        <v>2</v>
      </c>
      <c r="D2074" s="79" t="s">
        <v>3563</v>
      </c>
      <c r="E2074" s="80" t="s">
        <v>3527</v>
      </c>
      <c r="F2074" s="81" t="s">
        <v>151</v>
      </c>
      <c r="G2074" s="55" t="str">
        <f t="shared" si="221"/>
        <v>Bit 22 -23    LINK/ACT2 LED (Yellow)</v>
      </c>
      <c r="H2074" s="55" t="s">
        <v>124</v>
      </c>
      <c r="I2074" s="111" t="s">
        <v>6</v>
      </c>
      <c r="J2074" s="110" t="s">
        <v>6</v>
      </c>
      <c r="K2074" s="63"/>
      <c r="L2074" s="59"/>
      <c r="M2074" s="59"/>
      <c r="N2074" s="59"/>
      <c r="O2074" s="60"/>
    </row>
    <row r="2075" spans="2:22">
      <c r="B2075" s="3" t="s">
        <v>3528</v>
      </c>
      <c r="C2075" s="83" t="s">
        <v>2</v>
      </c>
      <c r="D2075" s="79" t="s">
        <v>3564</v>
      </c>
      <c r="E2075" s="80" t="s">
        <v>140</v>
      </c>
      <c r="F2075" s="81" t="s">
        <v>151</v>
      </c>
      <c r="G2075" s="55" t="str">
        <f t="shared" si="221"/>
        <v>Bit 24 – 31    Reserved</v>
      </c>
      <c r="H2075" s="55" t="s">
        <v>124</v>
      </c>
      <c r="I2075" s="111" t="s">
        <v>6</v>
      </c>
      <c r="J2075" s="110" t="s">
        <v>6</v>
      </c>
      <c r="K2075" s="63"/>
      <c r="L2075" s="59"/>
      <c r="M2075" s="59"/>
      <c r="N2075" s="59"/>
      <c r="O2075" s="60">
        <f>ROW(C2075)</f>
        <v>2075</v>
      </c>
    </row>
    <row r="2076" spans="2:22">
      <c r="B2076" s="3" t="s">
        <v>3513</v>
      </c>
      <c r="C2076" s="83" t="s">
        <v>2</v>
      </c>
      <c r="D2076" s="79" t="s">
        <v>3537</v>
      </c>
      <c r="E2076" s="80" t="s">
        <v>3538</v>
      </c>
      <c r="F2076" s="81" t="s">
        <v>151</v>
      </c>
      <c r="G2076" s="55" t="str">
        <f t="shared" si="221"/>
        <v>Bit 0 -1    RUN LED (Green)</v>
      </c>
      <c r="H2076" s="55" t="s">
        <v>124</v>
      </c>
      <c r="I2076" s="111" t="s">
        <v>6</v>
      </c>
      <c r="J2076" s="59" t="s">
        <v>3566</v>
      </c>
      <c r="K2076" s="63" t="str">
        <f>C2076&amp;F2076</f>
        <v>HeaderInput</v>
      </c>
      <c r="L2076" s="59">
        <v>11</v>
      </c>
      <c r="M2076" s="59">
        <v>11</v>
      </c>
      <c r="N2076" s="59">
        <f>L2076-M2076</f>
        <v>0</v>
      </c>
      <c r="O2076" s="60">
        <f>ROW(C2076)</f>
        <v>2076</v>
      </c>
      <c r="P2076" s="65" t="s">
        <v>3214</v>
      </c>
      <c r="Q2076">
        <f>O2076</f>
        <v>2076</v>
      </c>
      <c r="R2076" t="s">
        <v>3215</v>
      </c>
      <c r="S2076">
        <v>2076</v>
      </c>
      <c r="T2076" t="str">
        <f>P2076&amp;Q2076&amp;R2076&amp;S2076</f>
        <v>All data map'!$F$2076:$J$2076</v>
      </c>
      <c r="V2076" t="s">
        <v>3581</v>
      </c>
    </row>
    <row r="2077" spans="2:22">
      <c r="B2077" s="3" t="s">
        <v>3513</v>
      </c>
      <c r="C2077" s="83" t="s">
        <v>2</v>
      </c>
      <c r="D2077" s="79" t="s">
        <v>3545</v>
      </c>
      <c r="E2077" s="80" t="s">
        <v>3539</v>
      </c>
      <c r="F2077" s="81" t="s">
        <v>151</v>
      </c>
      <c r="G2077" s="55" t="str">
        <f t="shared" ref="G2077:G2086" si="222">D2077&amp;E2077</f>
        <v>Bit 2-3    RING LED (Green)</v>
      </c>
      <c r="H2077" s="55" t="s">
        <v>124</v>
      </c>
      <c r="I2077" s="111" t="s">
        <v>6</v>
      </c>
      <c r="J2077" s="60" t="s">
        <v>3567</v>
      </c>
      <c r="K2077" s="63"/>
      <c r="L2077" s="59"/>
      <c r="M2077" s="59"/>
      <c r="N2077" s="59"/>
      <c r="O2077" s="60"/>
    </row>
    <row r="2078" spans="2:22">
      <c r="B2078" s="3" t="s">
        <v>3513</v>
      </c>
      <c r="C2078" s="83" t="s">
        <v>2</v>
      </c>
      <c r="D2078" s="79" t="s">
        <v>3546</v>
      </c>
      <c r="E2078" s="80" t="s">
        <v>3540</v>
      </c>
      <c r="F2078" s="81" t="s">
        <v>151</v>
      </c>
      <c r="G2078" s="55" t="str">
        <f t="shared" si="222"/>
        <v>Bit 4-5    RELAY LED (Green)</v>
      </c>
      <c r="H2078" s="55" t="s">
        <v>124</v>
      </c>
      <c r="I2078" s="111" t="s">
        <v>6</v>
      </c>
      <c r="J2078" s="60" t="s">
        <v>3568</v>
      </c>
      <c r="K2078" s="63"/>
      <c r="L2078" s="59"/>
      <c r="M2078" s="59"/>
      <c r="N2078" s="59"/>
      <c r="O2078" s="60"/>
    </row>
    <row r="2079" spans="2:22">
      <c r="B2079" s="3" t="s">
        <v>3513</v>
      </c>
      <c r="C2079" s="83" t="s">
        <v>2</v>
      </c>
      <c r="D2079" s="79" t="s">
        <v>3547</v>
      </c>
      <c r="E2079" s="80" t="s">
        <v>3541</v>
      </c>
      <c r="F2079" s="81" t="s">
        <v>151</v>
      </c>
      <c r="G2079" s="55" t="str">
        <f t="shared" si="222"/>
        <v>Bit 6-7    CHK LED (Green)</v>
      </c>
      <c r="H2079" s="55" t="s">
        <v>124</v>
      </c>
      <c r="I2079" s="111" t="s">
        <v>6</v>
      </c>
      <c r="J2079" s="60" t="s">
        <v>3569</v>
      </c>
      <c r="K2079" s="63"/>
      <c r="L2079" s="59"/>
      <c r="M2079" s="59"/>
      <c r="N2079" s="59"/>
      <c r="O2079" s="60"/>
    </row>
    <row r="2080" spans="2:22">
      <c r="B2080" s="3" t="s">
        <v>3513</v>
      </c>
      <c r="C2080" s="83" t="s">
        <v>2</v>
      </c>
      <c r="D2080" s="79" t="s">
        <v>3548</v>
      </c>
      <c r="E2080" s="80" t="s">
        <v>3542</v>
      </c>
      <c r="F2080" s="81" t="s">
        <v>151</v>
      </c>
      <c r="G2080" s="55" t="str">
        <f t="shared" si="222"/>
        <v>Bit 8-9    FAULT LED (Red)</v>
      </c>
      <c r="H2080" s="55" t="s">
        <v>124</v>
      </c>
      <c r="I2080" s="111" t="s">
        <v>6</v>
      </c>
      <c r="J2080" s="60" t="s">
        <v>3570</v>
      </c>
      <c r="K2080" s="63"/>
      <c r="L2080" s="59"/>
      <c r="M2080" s="59"/>
      <c r="N2080" s="59"/>
      <c r="O2080" s="60"/>
    </row>
    <row r="2081" spans="2:22">
      <c r="B2081" s="3" t="s">
        <v>3513</v>
      </c>
      <c r="C2081" s="83" t="s">
        <v>2</v>
      </c>
      <c r="D2081" s="79" t="s">
        <v>3549</v>
      </c>
      <c r="E2081" s="80" t="s">
        <v>3543</v>
      </c>
      <c r="F2081" s="81" t="s">
        <v>151</v>
      </c>
      <c r="G2081" s="55" t="str">
        <f t="shared" si="222"/>
        <v>Bit 10 – 11    ERR LED (Red)</v>
      </c>
      <c r="H2081" s="55" t="s">
        <v>124</v>
      </c>
      <c r="I2081" s="111" t="s">
        <v>6</v>
      </c>
      <c r="J2081" s="110" t="s">
        <v>6</v>
      </c>
      <c r="K2081" s="63"/>
      <c r="L2081" s="59"/>
      <c r="M2081" s="59"/>
      <c r="N2081" s="59"/>
      <c r="O2081" s="60"/>
    </row>
    <row r="2082" spans="2:22">
      <c r="B2082" s="3" t="s">
        <v>3513</v>
      </c>
      <c r="C2082" s="83" t="s">
        <v>2</v>
      </c>
      <c r="D2082" s="79" t="s">
        <v>3550</v>
      </c>
      <c r="E2082" s="80" t="s">
        <v>3544</v>
      </c>
      <c r="F2082" s="81" t="s">
        <v>151</v>
      </c>
      <c r="G2082" s="55" t="str">
        <f t="shared" si="222"/>
        <v>Bit 12 - 13    LINK1 LED (Green)</v>
      </c>
      <c r="H2082" s="55" t="s">
        <v>124</v>
      </c>
      <c r="I2082" s="111" t="s">
        <v>6</v>
      </c>
      <c r="J2082" s="110" t="s">
        <v>6</v>
      </c>
      <c r="K2082" s="63"/>
      <c r="L2082" s="59"/>
      <c r="M2082" s="59"/>
      <c r="N2082" s="59"/>
      <c r="O2082" s="60"/>
    </row>
    <row r="2083" spans="2:22">
      <c r="B2083" s="3" t="s">
        <v>3513</v>
      </c>
      <c r="C2083" s="83" t="s">
        <v>2</v>
      </c>
      <c r="D2083" s="79" t="s">
        <v>3551</v>
      </c>
      <c r="E2083" s="80" t="s">
        <v>3516</v>
      </c>
      <c r="F2083" s="81" t="s">
        <v>151</v>
      </c>
      <c r="G2083" s="55" t="str">
        <f t="shared" si="222"/>
        <v>Bit 14 -15    LINK1 LED (Yellow)</v>
      </c>
      <c r="H2083" s="55" t="s">
        <v>124</v>
      </c>
      <c r="I2083" s="111" t="s">
        <v>6</v>
      </c>
      <c r="J2083" s="110" t="s">
        <v>6</v>
      </c>
      <c r="K2083" s="63"/>
      <c r="L2083" s="59"/>
      <c r="M2083" s="59"/>
      <c r="N2083" s="59"/>
      <c r="O2083" s="60"/>
    </row>
    <row r="2084" spans="2:22">
      <c r="B2084" s="3" t="s">
        <v>3513</v>
      </c>
      <c r="C2084" s="83" t="s">
        <v>2</v>
      </c>
      <c r="D2084" s="79" t="s">
        <v>3552</v>
      </c>
      <c r="E2084" s="80" t="s">
        <v>3517</v>
      </c>
      <c r="F2084" s="81" t="s">
        <v>151</v>
      </c>
      <c r="G2084" s="55" t="str">
        <f t="shared" si="222"/>
        <v>Bit 16 – 17    LINK2 LED (Green)</v>
      </c>
      <c r="H2084" s="55" t="s">
        <v>124</v>
      </c>
      <c r="I2084" s="111" t="s">
        <v>6</v>
      </c>
      <c r="J2084" s="110" t="s">
        <v>6</v>
      </c>
      <c r="K2084" s="63"/>
      <c r="L2084" s="59"/>
      <c r="M2084" s="59"/>
      <c r="N2084" s="59"/>
      <c r="O2084" s="60"/>
    </row>
    <row r="2085" spans="2:22">
      <c r="B2085" s="3" t="s">
        <v>3513</v>
      </c>
      <c r="C2085" s="83" t="s">
        <v>2</v>
      </c>
      <c r="D2085" s="79" t="s">
        <v>3553</v>
      </c>
      <c r="E2085" s="80" t="s">
        <v>3518</v>
      </c>
      <c r="F2085" s="81" t="s">
        <v>151</v>
      </c>
      <c r="G2085" s="55" t="str">
        <f t="shared" si="222"/>
        <v>Bit 18 – 19    LINK2 LED (Yellow)</v>
      </c>
      <c r="H2085" s="55" t="s">
        <v>124</v>
      </c>
      <c r="I2085" s="111" t="s">
        <v>6</v>
      </c>
      <c r="J2085" s="110" t="s">
        <v>6</v>
      </c>
      <c r="K2085" s="63"/>
      <c r="L2085" s="59"/>
      <c r="M2085" s="59"/>
      <c r="N2085" s="59"/>
      <c r="O2085" s="60"/>
    </row>
    <row r="2086" spans="2:22">
      <c r="B2086" s="3" t="s">
        <v>3513</v>
      </c>
      <c r="C2086" s="83" t="s">
        <v>2</v>
      </c>
      <c r="D2086" s="79" t="s">
        <v>3554</v>
      </c>
      <c r="E2086" s="80" t="s">
        <v>140</v>
      </c>
      <c r="F2086" s="81" t="s">
        <v>151</v>
      </c>
      <c r="G2086" s="55" t="str">
        <f t="shared" si="222"/>
        <v>Bit 20 - 31    Reserved</v>
      </c>
      <c r="H2086" s="55" t="s">
        <v>124</v>
      </c>
      <c r="I2086" s="111" t="s">
        <v>6</v>
      </c>
      <c r="J2086" s="110" t="s">
        <v>6</v>
      </c>
      <c r="K2086" s="63"/>
      <c r="L2086" s="59"/>
      <c r="M2086" s="59"/>
      <c r="N2086" s="59"/>
      <c r="O2086" s="60">
        <f>ROW(C2086)</f>
        <v>2086</v>
      </c>
    </row>
    <row r="2087" spans="2:22">
      <c r="B2087" s="3" t="s">
        <v>3513</v>
      </c>
      <c r="C2087" s="83" t="s">
        <v>2</v>
      </c>
      <c r="D2087" s="79" t="s">
        <v>3555</v>
      </c>
      <c r="E2087" s="80" t="s">
        <v>3610</v>
      </c>
      <c r="F2087" s="81" t="s">
        <v>151</v>
      </c>
      <c r="G2087" s="55" t="str">
        <f t="shared" ref="G2087:G2095" si="223">D2087&amp;E2087</f>
        <v>Bit 0 -1    RUN LED (Green)</v>
      </c>
      <c r="H2087" s="55" t="s">
        <v>124</v>
      </c>
      <c r="I2087" s="111" t="s">
        <v>6</v>
      </c>
      <c r="J2087" s="59" t="s">
        <v>3566</v>
      </c>
      <c r="K2087" s="63" t="str">
        <f>C2087&amp;F2087</f>
        <v>HeaderInput</v>
      </c>
      <c r="L2087" s="59">
        <v>9</v>
      </c>
      <c r="M2087" s="59">
        <v>9</v>
      </c>
      <c r="N2087" s="59">
        <f>L2087-M2087</f>
        <v>0</v>
      </c>
      <c r="O2087" s="60">
        <f>ROW(C2087)</f>
        <v>2087</v>
      </c>
      <c r="P2087" s="65" t="s">
        <v>3214</v>
      </c>
      <c r="Q2087">
        <f>O2087</f>
        <v>2087</v>
      </c>
      <c r="R2087" t="s">
        <v>3215</v>
      </c>
      <c r="S2087">
        <v>2098</v>
      </c>
      <c r="T2087" t="str">
        <f>P2087&amp;Q2087&amp;R2087&amp;S2087</f>
        <v>All data map'!$F$2087:$J$2098</v>
      </c>
      <c r="V2087" t="s">
        <v>3583</v>
      </c>
    </row>
    <row r="2088" spans="2:22">
      <c r="B2088" s="3" t="s">
        <v>3513</v>
      </c>
      <c r="C2088" s="83" t="s">
        <v>2</v>
      </c>
      <c r="D2088" s="79" t="s">
        <v>3556</v>
      </c>
      <c r="E2088" s="80" t="s">
        <v>3611</v>
      </c>
      <c r="F2088" s="81" t="s">
        <v>151</v>
      </c>
      <c r="G2088" s="55" t="str">
        <f t="shared" si="223"/>
        <v>Bit 2-3    RUN LED (Red)</v>
      </c>
      <c r="H2088" s="55" t="s">
        <v>124</v>
      </c>
      <c r="I2088" s="111" t="s">
        <v>6</v>
      </c>
      <c r="J2088" s="60" t="s">
        <v>3567</v>
      </c>
      <c r="K2088" s="63"/>
      <c r="L2088" s="59"/>
      <c r="M2088" s="59"/>
      <c r="N2088" s="59"/>
      <c r="O2088" s="60"/>
    </row>
    <row r="2089" spans="2:22">
      <c r="B2089" s="3" t="s">
        <v>3513</v>
      </c>
      <c r="C2089" s="83" t="s">
        <v>2</v>
      </c>
      <c r="D2089" s="79" t="s">
        <v>3557</v>
      </c>
      <c r="E2089" s="80" t="s">
        <v>3531</v>
      </c>
      <c r="F2089" s="81" t="s">
        <v>151</v>
      </c>
      <c r="G2089" s="55" t="str">
        <f t="shared" si="223"/>
        <v>Bit 4-5    PORT1 LED (Green)</v>
      </c>
      <c r="H2089" s="55" t="s">
        <v>124</v>
      </c>
      <c r="I2089" s="111" t="s">
        <v>6</v>
      </c>
      <c r="J2089" s="60" t="s">
        <v>3568</v>
      </c>
      <c r="K2089" s="63"/>
      <c r="L2089" s="59"/>
      <c r="M2089" s="59"/>
      <c r="N2089" s="59"/>
      <c r="O2089" s="60"/>
    </row>
    <row r="2090" spans="2:22">
      <c r="B2090" s="3" t="s">
        <v>3513</v>
      </c>
      <c r="C2090" s="83" t="s">
        <v>2</v>
      </c>
      <c r="D2090" s="79" t="s">
        <v>3558</v>
      </c>
      <c r="E2090" s="80" t="s">
        <v>3532</v>
      </c>
      <c r="F2090" s="81" t="s">
        <v>151</v>
      </c>
      <c r="G2090" s="55" t="str">
        <f t="shared" si="223"/>
        <v>Bit 6-7    PORT1 LED (Red)</v>
      </c>
      <c r="H2090" s="55" t="s">
        <v>124</v>
      </c>
      <c r="I2090" s="111" t="s">
        <v>6</v>
      </c>
      <c r="J2090" s="60" t="s">
        <v>3569</v>
      </c>
      <c r="K2090" s="63"/>
      <c r="L2090" s="59"/>
      <c r="M2090" s="59"/>
      <c r="N2090" s="59"/>
      <c r="O2090" s="60"/>
    </row>
    <row r="2091" spans="2:22">
      <c r="B2091" s="3" t="s">
        <v>3513</v>
      </c>
      <c r="C2091" s="83" t="s">
        <v>2</v>
      </c>
      <c r="D2091" s="79" t="s">
        <v>3559</v>
      </c>
      <c r="E2091" s="80" t="s">
        <v>3533</v>
      </c>
      <c r="F2091" s="81" t="s">
        <v>151</v>
      </c>
      <c r="G2091" s="55" t="str">
        <f t="shared" si="223"/>
        <v>Bit 8-9    PORT2 LED (Green)</v>
      </c>
      <c r="H2091" s="55" t="s">
        <v>124</v>
      </c>
      <c r="I2091" s="111" t="s">
        <v>6</v>
      </c>
      <c r="J2091" s="60" t="s">
        <v>3570</v>
      </c>
      <c r="K2091" s="63"/>
      <c r="L2091" s="59"/>
      <c r="M2091" s="59"/>
      <c r="N2091" s="59"/>
      <c r="O2091" s="60"/>
    </row>
    <row r="2092" spans="2:22">
      <c r="B2092" s="3" t="s">
        <v>3513</v>
      </c>
      <c r="C2092" s="83" t="s">
        <v>2</v>
      </c>
      <c r="D2092" s="79" t="s">
        <v>3560</v>
      </c>
      <c r="E2092" s="80" t="s">
        <v>3534</v>
      </c>
      <c r="F2092" s="81" t="s">
        <v>151</v>
      </c>
      <c r="G2092" s="55" t="str">
        <f t="shared" si="223"/>
        <v>Bit 10 – 11    PORT2 LED (Red)</v>
      </c>
      <c r="H2092" s="55" t="s">
        <v>124</v>
      </c>
      <c r="I2092" s="111" t="s">
        <v>6</v>
      </c>
      <c r="J2092" s="110" t="s">
        <v>6</v>
      </c>
      <c r="K2092" s="63"/>
      <c r="L2092" s="59"/>
      <c r="M2092" s="59"/>
      <c r="N2092" s="59"/>
      <c r="O2092" s="60"/>
    </row>
    <row r="2093" spans="2:22">
      <c r="B2093" s="3" t="s">
        <v>3513</v>
      </c>
      <c r="C2093" s="83" t="s">
        <v>2</v>
      </c>
      <c r="D2093" s="79" t="s">
        <v>3550</v>
      </c>
      <c r="E2093" s="80" t="s">
        <v>3535</v>
      </c>
      <c r="F2093" s="81" t="s">
        <v>151</v>
      </c>
      <c r="G2093" s="55" t="str">
        <f t="shared" si="223"/>
        <v>Bit 12 - 13    LATCH LED (Green)</v>
      </c>
      <c r="H2093" s="55" t="s">
        <v>124</v>
      </c>
      <c r="I2093" s="111" t="s">
        <v>6</v>
      </c>
      <c r="J2093" s="110" t="s">
        <v>6</v>
      </c>
      <c r="K2093" s="63"/>
      <c r="L2093" s="59"/>
      <c r="M2093" s="59"/>
      <c r="N2093" s="59"/>
      <c r="O2093" s="60"/>
    </row>
    <row r="2094" spans="2:22">
      <c r="B2094" s="3" t="s">
        <v>3513</v>
      </c>
      <c r="C2094" s="83" t="s">
        <v>2</v>
      </c>
      <c r="D2094" s="79" t="s">
        <v>3551</v>
      </c>
      <c r="E2094" s="80" t="s">
        <v>3608</v>
      </c>
      <c r="F2094" s="81" t="s">
        <v>151</v>
      </c>
      <c r="G2094" s="55" t="str">
        <f t="shared" si="223"/>
        <v>Bit 14 -15    LATCH LED (Red)</v>
      </c>
      <c r="H2094" s="55" t="s">
        <v>124</v>
      </c>
      <c r="I2094" s="111" t="s">
        <v>6</v>
      </c>
      <c r="J2094" s="110" t="s">
        <v>6</v>
      </c>
      <c r="K2094" s="63"/>
      <c r="L2094" s="59"/>
      <c r="M2094" s="59"/>
      <c r="N2094" s="59"/>
      <c r="O2094" s="60"/>
    </row>
    <row r="2095" spans="2:22">
      <c r="B2095" s="3" t="s">
        <v>3513</v>
      </c>
      <c r="C2095" s="83" t="s">
        <v>2</v>
      </c>
      <c r="D2095" s="79" t="s">
        <v>3565</v>
      </c>
      <c r="E2095" s="80" t="s">
        <v>3609</v>
      </c>
      <c r="F2095" s="81" t="s">
        <v>151</v>
      </c>
      <c r="G2095" s="55" t="str">
        <f t="shared" si="223"/>
        <v>Bit 16 – 31    Reserved</v>
      </c>
      <c r="H2095" s="55" t="s">
        <v>124</v>
      </c>
      <c r="I2095" s="111" t="s">
        <v>6</v>
      </c>
      <c r="J2095" s="110" t="s">
        <v>6</v>
      </c>
      <c r="K2095" s="63"/>
      <c r="L2095" s="59"/>
      <c r="M2095" s="59"/>
      <c r="N2095" s="59"/>
      <c r="O2095" s="60">
        <f>ROW(C2095)</f>
        <v>2095</v>
      </c>
    </row>
    <row r="2098" spans="4:8">
      <c r="D2098" s="79" t="s">
        <v>3599</v>
      </c>
      <c r="E2098" s="80" t="s">
        <v>3529</v>
      </c>
      <c r="F2098" s="81" t="s">
        <v>151</v>
      </c>
      <c r="G2098" s="55" t="s">
        <v>3584</v>
      </c>
      <c r="H2098" s="55" t="s">
        <v>124</v>
      </c>
    </row>
    <row r="2099" spans="4:8">
      <c r="D2099" s="79" t="s">
        <v>3600</v>
      </c>
      <c r="E2099" s="80" t="s">
        <v>3530</v>
      </c>
      <c r="F2099" s="81" t="s">
        <v>151</v>
      </c>
      <c r="G2099" s="55" t="s">
        <v>3585</v>
      </c>
      <c r="H2099" s="55" t="s">
        <v>124</v>
      </c>
    </row>
    <row r="2100" spans="4:8">
      <c r="D2100" s="79" t="s">
        <v>3601</v>
      </c>
      <c r="E2100" s="80" t="s">
        <v>3531</v>
      </c>
      <c r="F2100" s="81" t="s">
        <v>151</v>
      </c>
      <c r="G2100" s="55" t="s">
        <v>3586</v>
      </c>
      <c r="H2100" s="55" t="s">
        <v>124</v>
      </c>
    </row>
    <row r="2101" spans="4:8">
      <c r="D2101" s="79" t="s">
        <v>3602</v>
      </c>
      <c r="E2101" s="80" t="s">
        <v>3532</v>
      </c>
      <c r="F2101" s="81" t="s">
        <v>151</v>
      </c>
      <c r="G2101" s="55" t="s">
        <v>3587</v>
      </c>
      <c r="H2101" s="55" t="s">
        <v>124</v>
      </c>
    </row>
    <row r="2102" spans="4:8">
      <c r="D2102" s="79" t="s">
        <v>3603</v>
      </c>
      <c r="E2102" s="80" t="s">
        <v>3533</v>
      </c>
      <c r="F2102" s="81" t="s">
        <v>151</v>
      </c>
      <c r="G2102" s="55" t="s">
        <v>3588</v>
      </c>
      <c r="H2102" s="55" t="s">
        <v>124</v>
      </c>
    </row>
    <row r="2103" spans="4:8">
      <c r="D2103" s="79" t="s">
        <v>3604</v>
      </c>
      <c r="E2103" s="80" t="s">
        <v>3534</v>
      </c>
      <c r="F2103" s="81" t="s">
        <v>151</v>
      </c>
      <c r="G2103" s="55" t="s">
        <v>3589</v>
      </c>
      <c r="H2103" s="55" t="s">
        <v>124</v>
      </c>
    </row>
    <row r="2104" spans="4:8">
      <c r="D2104" s="79" t="s">
        <v>3605</v>
      </c>
      <c r="E2104" s="80" t="s">
        <v>3535</v>
      </c>
      <c r="F2104" s="81" t="s">
        <v>151</v>
      </c>
      <c r="G2104" s="55" t="s">
        <v>3590</v>
      </c>
      <c r="H2104" s="55" t="s">
        <v>124</v>
      </c>
    </row>
    <row r="2105" spans="4:8">
      <c r="D2105" s="79" t="s">
        <v>3606</v>
      </c>
      <c r="E2105" s="80" t="s">
        <v>3536</v>
      </c>
      <c r="F2105" s="81" t="s">
        <v>151</v>
      </c>
      <c r="G2105" s="55" t="s">
        <v>3591</v>
      </c>
      <c r="H2105" s="55" t="s">
        <v>124</v>
      </c>
    </row>
    <row r="2106" spans="4:8">
      <c r="D2106" s="79" t="s">
        <v>3607</v>
      </c>
      <c r="E2106" s="80" t="s">
        <v>140</v>
      </c>
      <c r="F2106" s="81" t="s">
        <v>151</v>
      </c>
      <c r="G2106" s="55" t="s">
        <v>3592</v>
      </c>
      <c r="H2106" s="55" t="s"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F41D-B6BB-4B65-8852-C5CF252A8E3C}">
  <dimension ref="C2:L178"/>
  <sheetViews>
    <sheetView topLeftCell="F64" workbookViewId="0">
      <selection activeCell="I97" sqref="I97"/>
    </sheetView>
  </sheetViews>
  <sheetFormatPr defaultRowHeight="17"/>
  <cols>
    <col min="4" max="4" width="11.08203125" bestFit="1" customWidth="1"/>
    <col min="5" max="5" width="16.25" customWidth="1"/>
    <col min="6" max="6" width="2.58203125" bestFit="1" customWidth="1"/>
    <col min="7" max="7" width="29.5" bestFit="1" customWidth="1"/>
    <col min="9" max="9" width="54.75" bestFit="1" customWidth="1"/>
    <col min="11" max="11" width="54.58203125" bestFit="1" customWidth="1"/>
    <col min="12" max="12" width="45.83203125" customWidth="1"/>
  </cols>
  <sheetData>
    <row r="2" spans="4:12">
      <c r="E2" t="s">
        <v>3301</v>
      </c>
      <c r="G2" t="s">
        <v>3300</v>
      </c>
      <c r="I2" t="s">
        <v>3388</v>
      </c>
    </row>
    <row r="3" spans="4:12">
      <c r="D3" t="s">
        <v>3389</v>
      </c>
      <c r="E3" s="3" t="s">
        <v>32</v>
      </c>
      <c r="F3" t="s">
        <v>3390</v>
      </c>
      <c r="G3" t="s">
        <v>3302</v>
      </c>
      <c r="H3" t="s">
        <v>3391</v>
      </c>
      <c r="I3" t="str">
        <f>D3&amp;E3&amp;F3&amp;G3&amp;H3</f>
        <v>IF($G$14="XGI-D21A",'All data map'!$F$3:$J$3,0)</v>
      </c>
      <c r="K3" t="s">
        <v>3432</v>
      </c>
      <c r="L3" t="str">
        <f>K3&amp;K4&amp;K5&amp;K6&amp;K7&amp;K8&amp;K9&amp;K10&amp;K11&amp;K12&amp;K13&amp;K14&amp;K15&amp;K16&amp;K17&amp;K18&amp;K19&amp;K20&amp;K21&amp;K22&amp;K23&amp;K24&amp;K25&amp;K26&amp;K27&amp;K28&amp;K29&amp;K30&amp;K31&amp;K32&amp;K33&amp;K34&amp;K35&amp;K36&amp;K37&amp;K38&amp;K39&amp;K40&amp;K41&amp;K42&amp;K43</f>
        <v xml:space="preserve"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</v>
      </c>
    </row>
    <row r="4" spans="4:12">
      <c r="D4" t="s">
        <v>3389</v>
      </c>
      <c r="E4" s="3" t="s">
        <v>33</v>
      </c>
      <c r="F4" t="s">
        <v>3390</v>
      </c>
      <c r="G4" t="s">
        <v>3303</v>
      </c>
      <c r="H4" t="s">
        <v>3391</v>
      </c>
      <c r="I4" t="str">
        <f t="shared" ref="I4:I66" si="0">D4&amp;E4&amp;F4&amp;G4&amp;H4</f>
        <v>IF($G$14="XGI-D22A",'All data map'!$F$4:$J$4,0)</v>
      </c>
      <c r="K4" t="s">
        <v>3433</v>
      </c>
      <c r="L4" t="str">
        <f>K44&amp;K45&amp;K46&amp;K47&amp;K48</f>
        <v xml:space="preserve">IF($G$14="XGF-RD4S",'All data map'!$F$915:$J$990, IF($G$14="XGF-TC4S",'All data map'!$F$991:$J$1070, IF($G$14="XGF-RD8A",'All data map'!$F$1071:$J$1185, IF($G$14="XGF-TC4UD",'All data map'!$F$1186:$J$1272, IF($G$14="XGF-TC4RT",'All data map'!$F$1273:$J$1359, </v>
      </c>
    </row>
    <row r="5" spans="4:12">
      <c r="D5" t="s">
        <v>3389</v>
      </c>
      <c r="E5" s="3" t="s">
        <v>34</v>
      </c>
      <c r="F5" t="s">
        <v>3390</v>
      </c>
      <c r="G5" t="s">
        <v>3304</v>
      </c>
      <c r="H5" t="s">
        <v>3391</v>
      </c>
      <c r="I5" t="str">
        <f t="shared" si="0"/>
        <v>IF($G$14="XGI-D22B",'All data map'!$F$5:$J$5,0)</v>
      </c>
      <c r="K5" t="s">
        <v>3434</v>
      </c>
    </row>
    <row r="6" spans="4:12">
      <c r="D6" t="s">
        <v>3389</v>
      </c>
      <c r="E6" s="3" t="s">
        <v>35</v>
      </c>
      <c r="F6" t="s">
        <v>3390</v>
      </c>
      <c r="G6" t="s">
        <v>3305</v>
      </c>
      <c r="H6" t="s">
        <v>3391</v>
      </c>
      <c r="I6" t="str">
        <f t="shared" si="0"/>
        <v>IF($G$14="XGI-D24A",'All data map'!$F$6:$J$6,0)</v>
      </c>
      <c r="K6" t="s">
        <v>3435</v>
      </c>
      <c r="L6" t="s">
        <v>3478</v>
      </c>
    </row>
    <row r="7" spans="4:12">
      <c r="D7" t="s">
        <v>3389</v>
      </c>
      <c r="E7" s="3" t="s">
        <v>36</v>
      </c>
      <c r="F7" t="s">
        <v>3390</v>
      </c>
      <c r="G7" t="s">
        <v>3306</v>
      </c>
      <c r="H7" t="s">
        <v>3391</v>
      </c>
      <c r="I7" t="str">
        <f t="shared" si="0"/>
        <v>IF($G$14="XGI-D24B",'All data map'!$F$7:$J$7,0)</v>
      </c>
      <c r="K7" t="s">
        <v>3436</v>
      </c>
      <c r="L7" t="s">
        <v>3479</v>
      </c>
    </row>
    <row r="8" spans="4:12">
      <c r="D8" t="s">
        <v>3389</v>
      </c>
      <c r="E8" s="3" t="s">
        <v>37</v>
      </c>
      <c r="F8" t="s">
        <v>3390</v>
      </c>
      <c r="G8" t="s">
        <v>3307</v>
      </c>
      <c r="H8" t="s">
        <v>3391</v>
      </c>
      <c r="I8" t="str">
        <f t="shared" si="0"/>
        <v>IF($G$14="XGI-D28A",'All data map'!$F$8:$J$9,0)</v>
      </c>
      <c r="K8" t="s">
        <v>3437</v>
      </c>
    </row>
    <row r="9" spans="4:12">
      <c r="D9" t="s">
        <v>3389</v>
      </c>
      <c r="E9" s="3" t="s">
        <v>39</v>
      </c>
      <c r="F9" t="s">
        <v>3390</v>
      </c>
      <c r="G9" t="s">
        <v>3308</v>
      </c>
      <c r="H9" t="s">
        <v>3391</v>
      </c>
      <c r="I9" t="str">
        <f t="shared" si="0"/>
        <v>IF($G$14="XGI-A12A",'All data map'!$F$10:$J$10,0)</v>
      </c>
      <c r="K9" t="s">
        <v>3438</v>
      </c>
      <c r="L9" t="str">
        <f>L6&amp;L7</f>
        <v xml:space="preserve"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IF($G$14="XGF-RD4S",'All data map'!$F$915:$J$990, IF($G$14="XGF-TC4S",'All data map'!$F$991:$J$1070, IF($G$14="XGF-RD8A",'All data map'!$F$1071:$J$1185, IF($G$14="XGF-TC4UD",'All data map'!$F$1186:$J$1272, IF($G$14="XGF-TC4RT",'All data map'!$F$1273:$J$1359, </v>
      </c>
    </row>
    <row r="10" spans="4:12">
      <c r="D10" t="s">
        <v>3389</v>
      </c>
      <c r="E10" s="3" t="s">
        <v>40</v>
      </c>
      <c r="F10" t="s">
        <v>3390</v>
      </c>
      <c r="G10" t="s">
        <v>3309</v>
      </c>
      <c r="H10" t="s">
        <v>3391</v>
      </c>
      <c r="I10" t="str">
        <f t="shared" si="0"/>
        <v>IF($G$14="XGI-A21A",'All data map'!$F$11:$J$12,0)</v>
      </c>
      <c r="K10" t="s">
        <v>3439</v>
      </c>
      <c r="L10" s="67" t="s">
        <v>3480</v>
      </c>
    </row>
    <row r="11" spans="4:12">
      <c r="D11" t="s">
        <v>3389</v>
      </c>
      <c r="E11" s="3" t="s">
        <v>42</v>
      </c>
      <c r="F11" t="s">
        <v>3390</v>
      </c>
      <c r="G11" t="s">
        <v>3310</v>
      </c>
      <c r="H11" t="s">
        <v>3391</v>
      </c>
      <c r="I11" t="str">
        <f t="shared" si="0"/>
        <v>IF($G$14="XGI-D21D",'All data map'!$F$13:$J$13,0)</v>
      </c>
      <c r="K11" t="s">
        <v>3440</v>
      </c>
    </row>
    <row r="12" spans="4:12">
      <c r="D12" t="s">
        <v>3389</v>
      </c>
      <c r="E12" s="3" t="s">
        <v>43</v>
      </c>
      <c r="F12" t="s">
        <v>3390</v>
      </c>
      <c r="G12" t="s">
        <v>3311</v>
      </c>
      <c r="H12" t="s">
        <v>3391</v>
      </c>
      <c r="I12" t="str">
        <f t="shared" si="0"/>
        <v>IF($G$14="XGQ-RY1A",'All data map'!$F$14:$J$14,0)</v>
      </c>
      <c r="K12" t="s">
        <v>3441</v>
      </c>
      <c r="L12" t="str">
        <f>L10&amp;K94</f>
        <v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IF($G$14="XGF-RD4S",'All data map'!$F$915:$J$990, IF($G$14="XGF-TC4S",'All data map'!$F$991:$J$1070, IF($G$14="XGF-RD8A",'All data map'!$F$1071:$J$1185, IF($G$14="XGF-TC4UD",'All data map'!$F$1186:$J$1272, IF($G$14="XGF-TC4RT",'All data map'!$F$1273:$J$1359, ))))))))))))))))))))))))))))))))))))))))))))))</v>
      </c>
    </row>
    <row r="13" spans="4:12">
      <c r="D13" t="s">
        <v>3389</v>
      </c>
      <c r="E13" s="3" t="s">
        <v>44</v>
      </c>
      <c r="F13" t="s">
        <v>3390</v>
      </c>
      <c r="G13" t="s">
        <v>3312</v>
      </c>
      <c r="H13" t="s">
        <v>3391</v>
      </c>
      <c r="I13" t="str">
        <f t="shared" si="0"/>
        <v>IF($G$14="XGQ-RY2A",'All data map'!$F$15:$J$15,0)</v>
      </c>
      <c r="K13" t="s">
        <v>3442</v>
      </c>
      <c r="L13" s="68" t="s">
        <v>3496</v>
      </c>
    </row>
    <row r="14" spans="4:12">
      <c r="D14" t="s">
        <v>3389</v>
      </c>
      <c r="E14" s="3" t="s">
        <v>45</v>
      </c>
      <c r="F14" t="s">
        <v>3390</v>
      </c>
      <c r="G14" t="s">
        <v>3313</v>
      </c>
      <c r="H14" t="s">
        <v>3391</v>
      </c>
      <c r="I14" t="str">
        <f t="shared" si="0"/>
        <v>IF($G$14="XGQ-RY2B",'All data map'!$F$16:$J$16,0)</v>
      </c>
      <c r="K14" t="s">
        <v>3443</v>
      </c>
    </row>
    <row r="15" spans="4:12">
      <c r="D15" t="s">
        <v>3389</v>
      </c>
      <c r="E15" s="3" t="s">
        <v>46</v>
      </c>
      <c r="F15" t="s">
        <v>3390</v>
      </c>
      <c r="G15" t="s">
        <v>3314</v>
      </c>
      <c r="H15" t="s">
        <v>3391</v>
      </c>
      <c r="I15" t="str">
        <f t="shared" si="0"/>
        <v>IF($G$14="XGQ-TR1C",'All data map'!$F$17:$J$17,0)</v>
      </c>
      <c r="K15" t="s">
        <v>3444</v>
      </c>
    </row>
    <row r="16" spans="4:12">
      <c r="D16" t="s">
        <v>3389</v>
      </c>
      <c r="E16" s="3" t="s">
        <v>47</v>
      </c>
      <c r="F16" t="s">
        <v>3390</v>
      </c>
      <c r="G16" t="s">
        <v>3315</v>
      </c>
      <c r="H16" t="s">
        <v>3391</v>
      </c>
      <c r="I16" t="str">
        <f t="shared" si="0"/>
        <v>IF($G$14="XGQ-TR2A",'All data map'!$F$18:$J$18,0)</v>
      </c>
      <c r="K16" t="s">
        <v>3445</v>
      </c>
    </row>
    <row r="17" spans="4:11">
      <c r="D17" t="s">
        <v>3389</v>
      </c>
      <c r="E17" s="3" t="s">
        <v>48</v>
      </c>
      <c r="F17" t="s">
        <v>3390</v>
      </c>
      <c r="G17" t="s">
        <v>3316</v>
      </c>
      <c r="H17" t="s">
        <v>3391</v>
      </c>
      <c r="I17" t="str">
        <f t="shared" si="0"/>
        <v>IF($G$14="XGQ-TR2B",'All data map'!$F$19:$J$19,0)</v>
      </c>
      <c r="K17" t="s">
        <v>3446</v>
      </c>
    </row>
    <row r="18" spans="4:11">
      <c r="D18" t="s">
        <v>3389</v>
      </c>
      <c r="E18" s="3" t="s">
        <v>49</v>
      </c>
      <c r="F18" t="s">
        <v>3390</v>
      </c>
      <c r="G18" t="s">
        <v>3317</v>
      </c>
      <c r="H18" t="s">
        <v>3391</v>
      </c>
      <c r="I18" t="str">
        <f t="shared" si="0"/>
        <v>IF($G$14="XGQ-TR4A",'All data map'!$F$20:$J$20,0)</v>
      </c>
      <c r="K18" t="s">
        <v>3447</v>
      </c>
    </row>
    <row r="19" spans="4:11">
      <c r="D19" t="s">
        <v>3389</v>
      </c>
      <c r="E19" s="3" t="s">
        <v>50</v>
      </c>
      <c r="F19" t="s">
        <v>3390</v>
      </c>
      <c r="G19" t="s">
        <v>3318</v>
      </c>
      <c r="H19" t="s">
        <v>3391</v>
      </c>
      <c r="I19" t="str">
        <f t="shared" si="0"/>
        <v>IF($G$14="XGQ-TR4B",'All data map'!$F$21:$J$21,0)</v>
      </c>
      <c r="K19" t="s">
        <v>3448</v>
      </c>
    </row>
    <row r="20" spans="4:11">
      <c r="D20" t="s">
        <v>3389</v>
      </c>
      <c r="E20" s="3" t="s">
        <v>51</v>
      </c>
      <c r="F20" t="s">
        <v>3390</v>
      </c>
      <c r="G20" t="s">
        <v>3319</v>
      </c>
      <c r="H20" t="s">
        <v>3391</v>
      </c>
      <c r="I20" t="str">
        <f t="shared" si="0"/>
        <v>IF($G$14="XGQ-TR8A",'All data map'!$F$22:$J$22,0)</v>
      </c>
      <c r="K20" t="s">
        <v>3449</v>
      </c>
    </row>
    <row r="21" spans="4:11">
      <c r="D21" t="s">
        <v>3389</v>
      </c>
      <c r="E21" s="3" t="s">
        <v>52</v>
      </c>
      <c r="F21" t="s">
        <v>3390</v>
      </c>
      <c r="G21" t="s">
        <v>3320</v>
      </c>
      <c r="H21" t="s">
        <v>3391</v>
      </c>
      <c r="I21" t="str">
        <f t="shared" si="0"/>
        <v>IF($G$14="XGQ-TR8B",'All data map'!$F$23:$J$23,0)</v>
      </c>
      <c r="K21" t="s">
        <v>3450</v>
      </c>
    </row>
    <row r="22" spans="4:11">
      <c r="D22" t="s">
        <v>3389</v>
      </c>
      <c r="E22" s="3" t="s">
        <v>53</v>
      </c>
      <c r="F22" t="s">
        <v>3390</v>
      </c>
      <c r="G22" t="s">
        <v>3321</v>
      </c>
      <c r="H22" t="s">
        <v>3391</v>
      </c>
      <c r="I22" t="str">
        <f t="shared" si="0"/>
        <v>IF($G$14="XGQ-SS2A",'All data map'!$F$24:$J$24,0)</v>
      </c>
      <c r="K22" t="s">
        <v>3451</v>
      </c>
    </row>
    <row r="23" spans="4:11">
      <c r="D23" t="s">
        <v>3389</v>
      </c>
      <c r="E23" s="3" t="s">
        <v>54</v>
      </c>
      <c r="F23" t="s">
        <v>3390</v>
      </c>
      <c r="G23" t="s">
        <v>3322</v>
      </c>
      <c r="H23" t="s">
        <v>3391</v>
      </c>
      <c r="I23" t="str">
        <f t="shared" si="0"/>
        <v>IF($G$14="XGQ-RY1D",'All data map'!$F$25:$J$25,0)</v>
      </c>
      <c r="K23" t="s">
        <v>3452</v>
      </c>
    </row>
    <row r="24" spans="4:11">
      <c r="D24" t="s">
        <v>3389</v>
      </c>
      <c r="E24" s="3" t="s">
        <v>79</v>
      </c>
      <c r="F24" t="s">
        <v>3390</v>
      </c>
      <c r="G24" t="s">
        <v>3323</v>
      </c>
      <c r="H24" t="s">
        <v>3391</v>
      </c>
      <c r="I24" t="str">
        <f t="shared" si="0"/>
        <v>IF($G$14="XGH-DT4A",'All data map'!$F$26:$J$27,0)</v>
      </c>
      <c r="K24" t="s">
        <v>3453</v>
      </c>
    </row>
    <row r="25" spans="4:11">
      <c r="D25" t="s">
        <v>3389</v>
      </c>
      <c r="E25" s="3" t="s">
        <v>55</v>
      </c>
      <c r="F25" t="s">
        <v>3390</v>
      </c>
      <c r="G25" t="s">
        <v>3324</v>
      </c>
      <c r="H25" t="s">
        <v>3391</v>
      </c>
      <c r="I25" t="str">
        <f t="shared" si="0"/>
        <v>IF($G$14="XGF-AV8A",'All data map'!$F$28:$J$70,0)</v>
      </c>
      <c r="K25" t="s">
        <v>3454</v>
      </c>
    </row>
    <row r="26" spans="4:11">
      <c r="D26" t="s">
        <v>3389</v>
      </c>
      <c r="E26" s="3" t="s">
        <v>56</v>
      </c>
      <c r="F26" t="s">
        <v>3390</v>
      </c>
      <c r="G26" t="s">
        <v>3325</v>
      </c>
      <c r="H26" t="s">
        <v>3391</v>
      </c>
      <c r="I26" t="str">
        <f t="shared" si="0"/>
        <v>IF($G$14="XGF-AC8A",'All data map'!$F$71:$J$113,0)</v>
      </c>
      <c r="K26" t="s">
        <v>3455</v>
      </c>
    </row>
    <row r="27" spans="4:11">
      <c r="D27" t="s">
        <v>3389</v>
      </c>
      <c r="E27" s="3" t="s">
        <v>57</v>
      </c>
      <c r="F27" t="s">
        <v>3390</v>
      </c>
      <c r="G27" t="s">
        <v>3326</v>
      </c>
      <c r="H27" t="s">
        <v>3391</v>
      </c>
      <c r="I27" t="str">
        <f t="shared" si="0"/>
        <v>IF($G$14="XGF-AD4S",'All data map'!$F$114:$J$154,0)</v>
      </c>
      <c r="K27" t="s">
        <v>3456</v>
      </c>
    </row>
    <row r="28" spans="4:11">
      <c r="D28" t="s">
        <v>3389</v>
      </c>
      <c r="E28" s="3" t="s">
        <v>58</v>
      </c>
      <c r="F28" t="s">
        <v>3390</v>
      </c>
      <c r="G28" t="s">
        <v>3327</v>
      </c>
      <c r="H28" t="s">
        <v>3391</v>
      </c>
      <c r="I28" t="str">
        <f t="shared" si="0"/>
        <v>IF($G$14="XGF-AD8A",'All data map'!$F$155:$J$197,0)</v>
      </c>
      <c r="K28" t="s">
        <v>3457</v>
      </c>
    </row>
    <row r="29" spans="4:11">
      <c r="D29" t="s">
        <v>3389</v>
      </c>
      <c r="E29" s="3" t="s">
        <v>59</v>
      </c>
      <c r="F29" t="s">
        <v>3390</v>
      </c>
      <c r="G29" t="s">
        <v>3328</v>
      </c>
      <c r="H29" t="s">
        <v>3391</v>
      </c>
      <c r="I29" t="str">
        <f t="shared" si="0"/>
        <v>IF($G$14="XGF-AD16A",'All data map'!$F$198:$J$281,0)</v>
      </c>
      <c r="K29" t="s">
        <v>3458</v>
      </c>
    </row>
    <row r="30" spans="4:11">
      <c r="D30" t="s">
        <v>3389</v>
      </c>
      <c r="E30" s="3" t="s">
        <v>60</v>
      </c>
      <c r="F30" t="s">
        <v>3390</v>
      </c>
      <c r="G30" t="s">
        <v>3329</v>
      </c>
      <c r="H30" t="s">
        <v>3391</v>
      </c>
      <c r="I30" t="str">
        <f t="shared" si="0"/>
        <v>IF($G$14="XGF-AC4H",'All data map'!$F$282:$J$325,0)</v>
      </c>
      <c r="K30" t="s">
        <v>3459</v>
      </c>
    </row>
    <row r="31" spans="4:11">
      <c r="D31" t="s">
        <v>3389</v>
      </c>
      <c r="E31" s="3" t="s">
        <v>61</v>
      </c>
      <c r="F31" t="s">
        <v>3390</v>
      </c>
      <c r="G31" t="s">
        <v>3330</v>
      </c>
      <c r="H31" t="s">
        <v>3391</v>
      </c>
      <c r="I31" t="str">
        <f t="shared" si="0"/>
        <v>IF($G$14="XGF-AW4S",'All data map'!$F$327:$J$367,0)</v>
      </c>
      <c r="K31" t="s">
        <v>3460</v>
      </c>
    </row>
    <row r="32" spans="4:11">
      <c r="D32" t="s">
        <v>3389</v>
      </c>
      <c r="E32" s="3" t="s">
        <v>62</v>
      </c>
      <c r="F32" t="s">
        <v>3390</v>
      </c>
      <c r="G32" t="s">
        <v>3331</v>
      </c>
      <c r="H32" t="s">
        <v>3391</v>
      </c>
      <c r="I32" t="str">
        <f t="shared" si="0"/>
        <v>IF($G$14="XGF-DV4A",'All data map'!$F$368:$J$389,0)</v>
      </c>
      <c r="K32" t="s">
        <v>3461</v>
      </c>
    </row>
    <row r="33" spans="4:11">
      <c r="D33" t="s">
        <v>3389</v>
      </c>
      <c r="E33" s="3" t="s">
        <v>63</v>
      </c>
      <c r="F33" t="s">
        <v>3390</v>
      </c>
      <c r="G33" t="s">
        <v>3332</v>
      </c>
      <c r="H33" t="s">
        <v>3391</v>
      </c>
      <c r="I33" t="str">
        <f t="shared" si="0"/>
        <v>IF($G$14="XGF-DV8A",'All data map'!$F$390:$J$423,0)</v>
      </c>
      <c r="K33" t="s">
        <v>3462</v>
      </c>
    </row>
    <row r="34" spans="4:11">
      <c r="D34" t="s">
        <v>3389</v>
      </c>
      <c r="E34" s="3" t="s">
        <v>64</v>
      </c>
      <c r="F34" t="s">
        <v>3390</v>
      </c>
      <c r="G34" t="s">
        <v>3333</v>
      </c>
      <c r="H34" t="s">
        <v>3391</v>
      </c>
      <c r="I34" t="str">
        <f t="shared" si="0"/>
        <v>IF($G$14="XGF-DC4A",'All data map'!$F$424:$J$445,0)</v>
      </c>
      <c r="K34" t="s">
        <v>3463</v>
      </c>
    </row>
    <row r="35" spans="4:11">
      <c r="D35" t="s">
        <v>3389</v>
      </c>
      <c r="E35" s="3" t="s">
        <v>65</v>
      </c>
      <c r="F35" t="s">
        <v>3390</v>
      </c>
      <c r="G35" t="s">
        <v>3334</v>
      </c>
      <c r="H35" t="s">
        <v>3391</v>
      </c>
      <c r="I35" t="str">
        <f t="shared" si="0"/>
        <v>IF($G$14="XGF-DC8A",'All data map'!$F$446:$J$479,0)</v>
      </c>
      <c r="K35" t="s">
        <v>3464</v>
      </c>
    </row>
    <row r="36" spans="4:11">
      <c r="D36" t="s">
        <v>3389</v>
      </c>
      <c r="E36" s="3" t="s">
        <v>66</v>
      </c>
      <c r="F36" t="s">
        <v>3390</v>
      </c>
      <c r="G36" t="s">
        <v>3335</v>
      </c>
      <c r="H36" t="s">
        <v>3391</v>
      </c>
      <c r="I36" t="str">
        <f t="shared" si="0"/>
        <v>IF($G$14="XGF-DV4S",'All data map'!$F$480:$J$501,0)</v>
      </c>
      <c r="K36" t="s">
        <v>3465</v>
      </c>
    </row>
    <row r="37" spans="4:11">
      <c r="D37" t="s">
        <v>3389</v>
      </c>
      <c r="E37" s="3" t="s">
        <v>67</v>
      </c>
      <c r="F37" t="s">
        <v>3390</v>
      </c>
      <c r="G37" t="s">
        <v>3336</v>
      </c>
      <c r="H37" t="s">
        <v>3391</v>
      </c>
      <c r="I37" t="str">
        <f t="shared" si="0"/>
        <v>IF($G$14="XGF-DC4S",'All data map'!$F$502:$J$523,0)</v>
      </c>
      <c r="K37" t="s">
        <v>3466</v>
      </c>
    </row>
    <row r="38" spans="4:11">
      <c r="D38" t="s">
        <v>3389</v>
      </c>
      <c r="E38" s="3" t="s">
        <v>68</v>
      </c>
      <c r="F38" t="s">
        <v>3390</v>
      </c>
      <c r="G38" t="s">
        <v>3337</v>
      </c>
      <c r="H38" t="s">
        <v>3391</v>
      </c>
      <c r="I38" t="str">
        <f t="shared" si="0"/>
        <v>IF($G$14="XGF-DC4H",'All data map'!$F$524:$J$557,0)</v>
      </c>
      <c r="K38" t="s">
        <v>3467</v>
      </c>
    </row>
    <row r="39" spans="4:11">
      <c r="D39" t="s">
        <v>3389</v>
      </c>
      <c r="E39" s="3" t="s">
        <v>69</v>
      </c>
      <c r="F39" t="s">
        <v>3390</v>
      </c>
      <c r="G39" t="s">
        <v>3338</v>
      </c>
      <c r="H39" t="s">
        <v>3391</v>
      </c>
      <c r="I39" t="str">
        <f t="shared" si="0"/>
        <v>IF($G$14="XGF-AH6A",'All data map'!$F$558:$J$584,0)</v>
      </c>
      <c r="K39" t="s">
        <v>3468</v>
      </c>
    </row>
    <row r="40" spans="4:11">
      <c r="D40" t="s">
        <v>3389</v>
      </c>
      <c r="E40" s="3" t="s">
        <v>70</v>
      </c>
      <c r="F40" t="s">
        <v>3390</v>
      </c>
      <c r="G40" t="s">
        <v>3339</v>
      </c>
      <c r="H40" t="s">
        <v>3391</v>
      </c>
      <c r="I40" t="str">
        <f t="shared" si="0"/>
        <v>IF($G$14="XGF-HO2A",'All data map'!$F$585:$J$646,0)</v>
      </c>
      <c r="K40" t="s">
        <v>3469</v>
      </c>
    </row>
    <row r="41" spans="4:11">
      <c r="D41" t="s">
        <v>3389</v>
      </c>
      <c r="E41" s="3" t="s">
        <v>71</v>
      </c>
      <c r="F41" t="s">
        <v>3390</v>
      </c>
      <c r="G41" t="s">
        <v>3340</v>
      </c>
      <c r="H41" t="s">
        <v>3391</v>
      </c>
      <c r="I41" t="str">
        <f t="shared" si="0"/>
        <v>IF($G$14="XGF-HD2A",'All data map'!$F$647:$J$708,0)</v>
      </c>
      <c r="K41" t="s">
        <v>3470</v>
      </c>
    </row>
    <row r="42" spans="4:11">
      <c r="D42" t="s">
        <v>3389</v>
      </c>
      <c r="E42" s="3" t="s">
        <v>72</v>
      </c>
      <c r="F42" t="s">
        <v>3390</v>
      </c>
      <c r="G42" t="s">
        <v>3341</v>
      </c>
      <c r="H42" t="s">
        <v>3391</v>
      </c>
      <c r="I42" t="str">
        <f t="shared" si="0"/>
        <v>IF($G$14="XGF-HO8A",'All data map'!$F$709:$J$838,0)</v>
      </c>
      <c r="K42" t="s">
        <v>3471</v>
      </c>
    </row>
    <row r="43" spans="4:11">
      <c r="D43" t="s">
        <v>3389</v>
      </c>
      <c r="E43" s="3" t="s">
        <v>73</v>
      </c>
      <c r="F43" t="s">
        <v>3390</v>
      </c>
      <c r="G43" t="s">
        <v>3342</v>
      </c>
      <c r="H43" t="s">
        <v>3391</v>
      </c>
      <c r="I43" t="str">
        <f t="shared" si="0"/>
        <v>IF($G$14="XGF-RD4A",'All data map'!$F$839:$J$914,0)</v>
      </c>
      <c r="K43" t="s">
        <v>3472</v>
      </c>
    </row>
    <row r="44" spans="4:11">
      <c r="D44" t="s">
        <v>3389</v>
      </c>
      <c r="E44" s="3" t="s">
        <v>74</v>
      </c>
      <c r="F44" t="s">
        <v>3390</v>
      </c>
      <c r="G44" t="s">
        <v>3343</v>
      </c>
      <c r="H44" t="s">
        <v>3391</v>
      </c>
      <c r="I44" t="str">
        <f t="shared" si="0"/>
        <v>IF($G$14="XGF-RD4S",'All data map'!$F$915:$J$990,0)</v>
      </c>
      <c r="K44" t="s">
        <v>3473</v>
      </c>
    </row>
    <row r="45" spans="4:11">
      <c r="D45" t="s">
        <v>3389</v>
      </c>
      <c r="E45" s="3" t="s">
        <v>75</v>
      </c>
      <c r="F45" t="s">
        <v>3390</v>
      </c>
      <c r="G45" t="s">
        <v>3344</v>
      </c>
      <c r="H45" t="s">
        <v>3391</v>
      </c>
      <c r="I45" t="str">
        <f t="shared" si="0"/>
        <v>IF($G$14="XGF-TC4S",'All data map'!$F$991:$J$1070,0)</v>
      </c>
      <c r="K45" t="s">
        <v>3474</v>
      </c>
    </row>
    <row r="46" spans="4:11">
      <c r="D46" t="s">
        <v>3389</v>
      </c>
      <c r="E46" s="3" t="s">
        <v>76</v>
      </c>
      <c r="F46" t="s">
        <v>3390</v>
      </c>
      <c r="G46" t="s">
        <v>3345</v>
      </c>
      <c r="H46" t="s">
        <v>3391</v>
      </c>
      <c r="I46" t="str">
        <f t="shared" si="0"/>
        <v>IF($G$14="XGF-RD8A",'All data map'!$F$1071:$J$1185,0)</v>
      </c>
      <c r="K46" t="s">
        <v>3475</v>
      </c>
    </row>
    <row r="47" spans="4:11">
      <c r="D47" t="s">
        <v>3389</v>
      </c>
      <c r="E47" s="3" t="s">
        <v>77</v>
      </c>
      <c r="F47" t="s">
        <v>3390</v>
      </c>
      <c r="G47" t="s">
        <v>3346</v>
      </c>
      <c r="H47" t="s">
        <v>3391</v>
      </c>
      <c r="I47" t="str">
        <f t="shared" si="0"/>
        <v>IF($G$14="XGF-TC4UD",'All data map'!$F$1186:$J$1272,0)</v>
      </c>
      <c r="K47" t="s">
        <v>3476</v>
      </c>
    </row>
    <row r="48" spans="4:11">
      <c r="D48" t="s">
        <v>3389</v>
      </c>
      <c r="E48" s="3" t="s">
        <v>78</v>
      </c>
      <c r="F48" t="s">
        <v>3390</v>
      </c>
      <c r="G48" t="s">
        <v>3347</v>
      </c>
      <c r="H48" t="s">
        <v>3391</v>
      </c>
      <c r="I48" t="str">
        <f t="shared" si="0"/>
        <v>IF($G$14="XGF-TC4RT",'All data map'!$F$1273:$J$1359,0)</v>
      </c>
      <c r="K48" s="69" t="s">
        <v>3477</v>
      </c>
    </row>
    <row r="49" spans="4:12">
      <c r="D49" t="s">
        <v>3389</v>
      </c>
      <c r="E49" s="18" t="s">
        <v>80</v>
      </c>
      <c r="F49" t="s">
        <v>3390</v>
      </c>
      <c r="G49" t="s">
        <v>3348</v>
      </c>
      <c r="H49" t="s">
        <v>3391</v>
      </c>
      <c r="I49" t="str">
        <f t="shared" si="0"/>
        <v>IF($G$14="XBE-DC08A",'All data map'!$F$1360:$J$1360,0)</v>
      </c>
      <c r="K49" t="s">
        <v>3392</v>
      </c>
      <c r="L49" t="str">
        <f>K49&amp;K50&amp;K51&amp;K52&amp;K53&amp;K54&amp;K55&amp;K56&amp;K57&amp;K58&amp;K59&amp;K60&amp;K61&amp;K62&amp;K63&amp;K64&amp;K65&amp;K66&amp;K67&amp;K68&amp;K69&amp;K70&amp;K71&amp;K72&amp;K73&amp;K74&amp;K75&amp;K76&amp;K77&amp;K78&amp;K79&amp;K80</f>
        <v xml:space="preserve">IF($G$14="XBE-DC08A",'All data map'!$F$1360:$J$1360, IF($G$14="XBE-DC16A",'All data map'!$F$1361:$J$1361, IF($G$14="XBE-DC16B",'All data map'!$F$1362:$J$1362, IF($G$14="XBE-DC32A",'All data map'!$F$1363:$J$1363, IF($G$14="XBE-AC08A",'All data map'!$F$1364:$J$1364, IF($G$14="XBE-TN08A",'All data map'!$F$1365:$J$1365, IF($G$14="XBE-TP08A",'All data map'!$F$1366:$J$1366, IF($G$14="XBE-TN16A",'All data map'!$F$1367:$J$1367, IF($G$14="XBE-TP16A",'All data map'!$F$1368:$J$1368, IF($G$14="XBE-TN32A",'All data map'!$F$1369:$J$1369, IF($G$14="XBE-TP32A",'All data map'!$F$1370:$J$1370, IF($G$14="XBE-RY08A",'All data map'!$F$1371:$J$1371, IF($G$14="XBE-RY08B",'All data map'!$F$1372:$J$1372, IF($G$14="XBE-RY16A",'All data map'!$F$1373:$J$1373, IF($G$14="XBE-DR16A",'All data map'!$F$1374:$J$1375, IF($G$14="XBE-DN32A",'All data map'!$F$1376:$J$1377, IF($G$14="XBF-AD04A",'All data map'!$F$1378:$J$1388, IF($G$14="XBF-AD08A",'All data map'!$F$1389:$J$1423, IF($G$14="XBF-AD04C",'All data map'!$F$1424:$J$1454, IF($G$14="XBF-DV04A",'All data map'!$F$1455:$J$1471, IF($G$14="XBF-DC04A",'All data map'!$F$1472:$J$1488, IF($G$14="XBF-DC04B",'All data map'!$F$1489:$J$1505, IF($G$14="XBF-DV04C",'All data map'!$F$1506:$J$1526, IF($G$14="XBF-DC04C",'All data map'!$F$1527:$J$1551, IF($G$14="XBF-AH04A",'All data map'!$F$1552:$J$1571, IF($G$14="XBF-RD04A",'All data map'!$F$1572:$J$1591, IF($G$14="XBF-RD01A",'All data map'!$F$1592:$J$1605, IF($G$14="XBF-TC04B",'All data map'!$F$1606:$J$1651, IF($G$14="XBF-TC04S",'All data map'!$F$1652:$J$1697, IF($G$14="XBF-LD02S",'All data map'!$F$1698:$J$1806, IF($G$14="XBF-HO02A",'All data map'!$F$1807:$J$1867, IF($G$14="XBF-HD02A",'All data map'!$F$1868:$J$1928, </v>
      </c>
    </row>
    <row r="50" spans="4:12">
      <c r="D50" t="s">
        <v>3389</v>
      </c>
      <c r="E50" s="18" t="s">
        <v>81</v>
      </c>
      <c r="F50" t="s">
        <v>3390</v>
      </c>
      <c r="G50" t="s">
        <v>3349</v>
      </c>
      <c r="H50" t="s">
        <v>3391</v>
      </c>
      <c r="I50" t="str">
        <f t="shared" si="0"/>
        <v>IF($G$14="XBE-DC16A",'All data map'!$F$1361:$J$1361,0)</v>
      </c>
      <c r="K50" t="s">
        <v>3393</v>
      </c>
      <c r="L50" s="67" t="s">
        <v>3482</v>
      </c>
    </row>
    <row r="51" spans="4:12">
      <c r="D51" t="s">
        <v>3389</v>
      </c>
      <c r="E51" s="18" t="s">
        <v>82</v>
      </c>
      <c r="F51" t="s">
        <v>3390</v>
      </c>
      <c r="G51" t="s">
        <v>3350</v>
      </c>
      <c r="H51" t="s">
        <v>3391</v>
      </c>
      <c r="I51" t="str">
        <f t="shared" si="0"/>
        <v>IF($G$14="XBE-DC16B",'All data map'!$F$1362:$J$1362,0)</v>
      </c>
      <c r="K51" t="s">
        <v>3394</v>
      </c>
      <c r="L51" t="str">
        <f>L50&amp;K95</f>
        <v>IF($G$14="XBE-DC08A",'All data map'!$F$1360:$J$1360, IF($G$14="XBE-DC16A",'All data map'!$F$1361:$J$1361, IF($G$14="XBE-DC16B",'All data map'!$F$1362:$J$1362, IF($G$14="XBE-DC32A",'All data map'!$F$1363:$J$1363, IF($G$14="XBE-AC08A",'All data map'!$F$1364:$J$1364, IF($G$14="XBE-TN08A",'All data map'!$F$1365:$J$1365, IF($G$14="XBE-TP08A",'All data map'!$F$1366:$J$1366, IF($G$14="XBE-TN16A",'All data map'!$F$1367:$J$1367, IF($G$14="XBE-TP16A",'All data map'!$F$1368:$J$1368, IF($G$14="XBE-TN32A",'All data map'!$F$1369:$J$1369, IF($G$14="XBE-TP32A",'All data map'!$F$1370:$J$1370, IF($G$14="XBE-RY08A",'All data map'!$F$1371:$J$1371, IF($G$14="XBE-RY08B",'All data map'!$F$1372:$J$1372, IF($G$14="XBE-RY16A",'All data map'!$F$1373:$J$1373, IF($G$14="XBE-DR16A",'All data map'!$F$1374:$J$1375, IF($G$14="XBE-DN32A",'All data map'!$F$1376:$J$1377, IF($G$14="XBF-AD04A",'All data map'!$F$1378:$J$1388, IF($G$14="XBF-AD08A",'All data map'!$F$1389:$J$1423, IF($G$14="XBF-AD04C",'All data map'!$F$1424:$J$1454, IF($G$14="XBF-DV04A",'All data map'!$F$1455:$J$1471, IF($G$14="XBF-DC04A",'All data map'!$F$1472:$J$1488, IF($G$14="XBF-DC04B",'All data map'!$F$1489:$J$1505, IF($G$14="XBF-DV04C",'All data map'!$F$1506:$J$1526, IF($G$14="XBF-DC04C",'All data map'!$F$1527:$J$1551, IF($G$14="XBF-AH04A",'All data map'!$F$1552:$J$1571, IF($G$14="XBF-RD04A",'All data map'!$F$1572:$J$1591, IF($G$14="XBF-RD01A",'All data map'!$F$1592:$J$1605, IF($G$14="XBF-TC04B",'All data map'!$F$1606:$J$1651, IF($G$14="XBF-TC04S",'All data map'!$F$1652:$J$1697, IF($G$14="XBF-LD02S",'All data map'!$F$1698:$J$1806, IF($G$14="XBF-HO02A",'All data map'!$F$1807:$J$1867, IF($G$14="XBF-HD02A",'All data map'!$F$1868:$J$1928,))))))))))))))))))))))))))))))))</v>
      </c>
    </row>
    <row r="52" spans="4:12">
      <c r="D52" t="s">
        <v>3389</v>
      </c>
      <c r="E52" s="18" t="s">
        <v>83</v>
      </c>
      <c r="F52" t="s">
        <v>3390</v>
      </c>
      <c r="G52" t="s">
        <v>3351</v>
      </c>
      <c r="H52" t="s">
        <v>3391</v>
      </c>
      <c r="I52" t="str">
        <f t="shared" si="0"/>
        <v>IF($G$14="XBE-DC32A",'All data map'!$F$1363:$J$1363,0)</v>
      </c>
      <c r="K52" t="s">
        <v>3395</v>
      </c>
      <c r="L52" s="68" t="s">
        <v>3493</v>
      </c>
    </row>
    <row r="53" spans="4:12">
      <c r="D53" t="s">
        <v>3389</v>
      </c>
      <c r="E53" s="18" t="s">
        <v>84</v>
      </c>
      <c r="F53" t="s">
        <v>3390</v>
      </c>
      <c r="G53" t="s">
        <v>3352</v>
      </c>
      <c r="H53" t="s">
        <v>3391</v>
      </c>
      <c r="I53" t="str">
        <f t="shared" si="0"/>
        <v>IF($G$14="XBE-AC08A",'All data map'!$F$1364:$J$1364,0)</v>
      </c>
      <c r="K53" t="s">
        <v>3396</v>
      </c>
    </row>
    <row r="54" spans="4:12">
      <c r="D54" t="s">
        <v>3389</v>
      </c>
      <c r="E54" s="18" t="s">
        <v>85</v>
      </c>
      <c r="F54" t="s">
        <v>3390</v>
      </c>
      <c r="G54" t="s">
        <v>3353</v>
      </c>
      <c r="H54" t="s">
        <v>3391</v>
      </c>
      <c r="I54" t="str">
        <f t="shared" si="0"/>
        <v>IF($G$14="XBE-TN08A",'All data map'!$F$1365:$J$1365,0)</v>
      </c>
      <c r="K54" t="s">
        <v>3423</v>
      </c>
    </row>
    <row r="55" spans="4:12">
      <c r="D55" t="s">
        <v>3389</v>
      </c>
      <c r="E55" s="18" t="s">
        <v>86</v>
      </c>
      <c r="F55" t="s">
        <v>3390</v>
      </c>
      <c r="G55" t="s">
        <v>3354</v>
      </c>
      <c r="H55" t="s">
        <v>3391</v>
      </c>
      <c r="I55" t="str">
        <f t="shared" si="0"/>
        <v>IF($G$14="XBE-TP08A",'All data map'!$F$1366:$J$1366,0)</v>
      </c>
      <c r="K55" t="s">
        <v>3397</v>
      </c>
    </row>
    <row r="56" spans="4:12">
      <c r="D56" t="s">
        <v>3389</v>
      </c>
      <c r="E56" s="18" t="s">
        <v>87</v>
      </c>
      <c r="F56" t="s">
        <v>3390</v>
      </c>
      <c r="G56" t="s">
        <v>3355</v>
      </c>
      <c r="H56" t="s">
        <v>3391</v>
      </c>
      <c r="I56" t="str">
        <f t="shared" si="0"/>
        <v>IF($G$14="XBE-TN16A",'All data map'!$F$1367:$J$1367,0)</v>
      </c>
      <c r="K56" t="s">
        <v>3398</v>
      </c>
    </row>
    <row r="57" spans="4:12">
      <c r="D57" t="s">
        <v>3389</v>
      </c>
      <c r="E57" s="18" t="s">
        <v>88</v>
      </c>
      <c r="F57" t="s">
        <v>3390</v>
      </c>
      <c r="G57" t="s">
        <v>3356</v>
      </c>
      <c r="H57" t="s">
        <v>3391</v>
      </c>
      <c r="I57" t="str">
        <f t="shared" si="0"/>
        <v>IF($G$14="XBE-TP16A",'All data map'!$F$1368:$J$1368,0)</v>
      </c>
      <c r="K57" t="s">
        <v>3399</v>
      </c>
    </row>
    <row r="58" spans="4:12">
      <c r="D58" t="s">
        <v>3389</v>
      </c>
      <c r="E58" s="18" t="s">
        <v>89</v>
      </c>
      <c r="F58" t="s">
        <v>3390</v>
      </c>
      <c r="G58" t="s">
        <v>3357</v>
      </c>
      <c r="H58" t="s">
        <v>3391</v>
      </c>
      <c r="I58" t="str">
        <f t="shared" si="0"/>
        <v>IF($G$14="XBE-TN32A",'All data map'!$F$1369:$J$1369,0)</v>
      </c>
      <c r="K58" t="s">
        <v>3422</v>
      </c>
    </row>
    <row r="59" spans="4:12">
      <c r="D59" t="s">
        <v>3389</v>
      </c>
      <c r="E59" s="18" t="s">
        <v>90</v>
      </c>
      <c r="F59" t="s">
        <v>3390</v>
      </c>
      <c r="G59" t="s">
        <v>3358</v>
      </c>
      <c r="H59" t="s">
        <v>3391</v>
      </c>
      <c r="I59" t="str">
        <f t="shared" si="0"/>
        <v>IF($G$14="XBE-TP32A",'All data map'!$F$1370:$J$1370,0)</v>
      </c>
      <c r="K59" t="s">
        <v>3400</v>
      </c>
    </row>
    <row r="60" spans="4:12">
      <c r="D60" t="s">
        <v>3389</v>
      </c>
      <c r="E60" s="18" t="s">
        <v>91</v>
      </c>
      <c r="F60" t="s">
        <v>3390</v>
      </c>
      <c r="G60" t="s">
        <v>3359</v>
      </c>
      <c r="H60" t="s">
        <v>3391</v>
      </c>
      <c r="I60" t="str">
        <f t="shared" si="0"/>
        <v>IF($G$14="XBE-RY08A",'All data map'!$F$1371:$J$1371,0)</v>
      </c>
      <c r="K60" t="s">
        <v>3401</v>
      </c>
    </row>
    <row r="61" spans="4:12">
      <c r="D61" t="s">
        <v>3389</v>
      </c>
      <c r="E61" s="18" t="s">
        <v>92</v>
      </c>
      <c r="F61" t="s">
        <v>3390</v>
      </c>
      <c r="G61" t="s">
        <v>3360</v>
      </c>
      <c r="H61" t="s">
        <v>3391</v>
      </c>
      <c r="I61" t="str">
        <f t="shared" si="0"/>
        <v>IF($G$14="XBE-RY08B",'All data map'!$F$1372:$J$1372,0)</v>
      </c>
      <c r="K61" t="s">
        <v>3402</v>
      </c>
    </row>
    <row r="62" spans="4:12">
      <c r="D62" t="s">
        <v>3389</v>
      </c>
      <c r="E62" s="18" t="s">
        <v>93</v>
      </c>
      <c r="F62" t="s">
        <v>3390</v>
      </c>
      <c r="G62" t="s">
        <v>3361</v>
      </c>
      <c r="H62" t="s">
        <v>3391</v>
      </c>
      <c r="I62" t="str">
        <f t="shared" si="0"/>
        <v>IF($G$14="XBE-RY16A",'All data map'!$F$1373:$J$1373,0)</v>
      </c>
      <c r="K62" t="s">
        <v>3403</v>
      </c>
    </row>
    <row r="63" spans="4:12">
      <c r="D63" t="s">
        <v>3389</v>
      </c>
      <c r="E63" s="18" t="s">
        <v>94</v>
      </c>
      <c r="F63" t="s">
        <v>3390</v>
      </c>
      <c r="G63" t="s">
        <v>3362</v>
      </c>
      <c r="H63" t="s">
        <v>3391</v>
      </c>
      <c r="I63" t="str">
        <f t="shared" si="0"/>
        <v>IF($G$14="XBE-DR16A",'All data map'!$F$1374:$J$1375,0)</v>
      </c>
      <c r="K63" t="s">
        <v>3404</v>
      </c>
    </row>
    <row r="64" spans="4:12">
      <c r="D64" t="s">
        <v>3389</v>
      </c>
      <c r="E64" s="18" t="s">
        <v>95</v>
      </c>
      <c r="F64" t="s">
        <v>3390</v>
      </c>
      <c r="G64" t="s">
        <v>3363</v>
      </c>
      <c r="H64" t="s">
        <v>3391</v>
      </c>
      <c r="I64" t="str">
        <f t="shared" si="0"/>
        <v>IF($G$14="XBE-DN32A",'All data map'!$F$1376:$J$1377,0)</v>
      </c>
      <c r="K64" t="s">
        <v>3405</v>
      </c>
    </row>
    <row r="65" spans="4:11">
      <c r="D65" t="s">
        <v>3389</v>
      </c>
      <c r="E65" s="19" t="s">
        <v>2327</v>
      </c>
      <c r="F65" t="s">
        <v>3390</v>
      </c>
      <c r="G65" t="s">
        <v>3364</v>
      </c>
      <c r="H65" t="s">
        <v>3391</v>
      </c>
      <c r="I65" t="str">
        <f t="shared" si="0"/>
        <v>IF($G$14="XBF-AD04A",'All data map'!$F$1378:$J$1388,0)</v>
      </c>
      <c r="K65" t="s">
        <v>3406</v>
      </c>
    </row>
    <row r="66" spans="4:11">
      <c r="D66" t="s">
        <v>3389</v>
      </c>
      <c r="E66" s="19" t="s">
        <v>97</v>
      </c>
      <c r="F66" t="s">
        <v>3390</v>
      </c>
      <c r="G66" t="s">
        <v>3365</v>
      </c>
      <c r="H66" t="s">
        <v>3391</v>
      </c>
      <c r="I66" t="str">
        <f t="shared" si="0"/>
        <v>IF($G$14="XBF-AD08A",'All data map'!$F$1389:$J$1423,0)</v>
      </c>
      <c r="K66" t="s">
        <v>3407</v>
      </c>
    </row>
    <row r="67" spans="4:11">
      <c r="D67" t="s">
        <v>3389</v>
      </c>
      <c r="E67" s="19" t="s">
        <v>98</v>
      </c>
      <c r="F67" t="s">
        <v>3390</v>
      </c>
      <c r="G67" t="s">
        <v>3366</v>
      </c>
      <c r="H67" t="s">
        <v>3391</v>
      </c>
      <c r="I67" t="str">
        <f t="shared" ref="I67:I88" si="1">D67&amp;E67&amp;F67&amp;G67&amp;H67</f>
        <v>IF($G$14="XBF-AD04C",'All data map'!$F$1424:$J$1454,0)</v>
      </c>
      <c r="K67" t="s">
        <v>3408</v>
      </c>
    </row>
    <row r="68" spans="4:11">
      <c r="D68" t="s">
        <v>3389</v>
      </c>
      <c r="E68" s="19" t="s">
        <v>99</v>
      </c>
      <c r="F68" t="s">
        <v>3390</v>
      </c>
      <c r="G68" t="s">
        <v>3367</v>
      </c>
      <c r="H68" t="s">
        <v>3391</v>
      </c>
      <c r="I68" t="str">
        <f t="shared" si="1"/>
        <v>IF($G$14="XBF-DV04A",'All data map'!$F$1455:$J$1471,0)</v>
      </c>
      <c r="K68" t="s">
        <v>3409</v>
      </c>
    </row>
    <row r="69" spans="4:11">
      <c r="D69" t="s">
        <v>3389</v>
      </c>
      <c r="E69" s="19" t="s">
        <v>100</v>
      </c>
      <c r="F69" t="s">
        <v>3390</v>
      </c>
      <c r="G69" t="s">
        <v>3368</v>
      </c>
      <c r="H69" t="s">
        <v>3391</v>
      </c>
      <c r="I69" t="str">
        <f t="shared" si="1"/>
        <v>IF($G$14="XBF-DC04A",'All data map'!$F$1472:$J$1488,0)</v>
      </c>
      <c r="K69" t="s">
        <v>3410</v>
      </c>
    </row>
    <row r="70" spans="4:11">
      <c r="D70" t="s">
        <v>3389</v>
      </c>
      <c r="E70" s="19" t="s">
        <v>101</v>
      </c>
      <c r="F70" t="s">
        <v>3390</v>
      </c>
      <c r="G70" t="s">
        <v>3369</v>
      </c>
      <c r="H70" t="s">
        <v>3391</v>
      </c>
      <c r="I70" t="str">
        <f t="shared" si="1"/>
        <v>IF($G$14="XBF-DC04B",'All data map'!$F$1489:$J$1505,0)</v>
      </c>
      <c r="K70" t="s">
        <v>3411</v>
      </c>
    </row>
    <row r="71" spans="4:11">
      <c r="D71" t="s">
        <v>3389</v>
      </c>
      <c r="E71" s="19" t="s">
        <v>102</v>
      </c>
      <c r="F71" t="s">
        <v>3390</v>
      </c>
      <c r="G71" t="s">
        <v>3370</v>
      </c>
      <c r="H71" t="s">
        <v>3391</v>
      </c>
      <c r="I71" t="str">
        <f t="shared" si="1"/>
        <v>IF($G$14="XBF-DV04C",'All data map'!$F$1506:$J$1526,0)</v>
      </c>
      <c r="K71" t="s">
        <v>3412</v>
      </c>
    </row>
    <row r="72" spans="4:11">
      <c r="D72" t="s">
        <v>3389</v>
      </c>
      <c r="E72" s="19" t="s">
        <v>103</v>
      </c>
      <c r="F72" t="s">
        <v>3390</v>
      </c>
      <c r="G72" t="s">
        <v>3371</v>
      </c>
      <c r="H72" t="s">
        <v>3391</v>
      </c>
      <c r="I72" t="str">
        <f t="shared" si="1"/>
        <v>IF($G$14="XBF-DC04C",'All data map'!$F$1527:$J$1551,0)</v>
      </c>
      <c r="K72" t="s">
        <v>3413</v>
      </c>
    </row>
    <row r="73" spans="4:11">
      <c r="D73" t="s">
        <v>3389</v>
      </c>
      <c r="E73" s="19" t="s">
        <v>104</v>
      </c>
      <c r="F73" t="s">
        <v>3390</v>
      </c>
      <c r="G73" t="s">
        <v>3372</v>
      </c>
      <c r="H73" t="s">
        <v>3391</v>
      </c>
      <c r="I73" t="str">
        <f t="shared" si="1"/>
        <v>IF($G$14="XBF-AH04A",'All data map'!$F$1552:$J$1571,0)</v>
      </c>
      <c r="K73" t="s">
        <v>3414</v>
      </c>
    </row>
    <row r="74" spans="4:11">
      <c r="D74" t="s">
        <v>3389</v>
      </c>
      <c r="E74" s="19" t="s">
        <v>105</v>
      </c>
      <c r="F74" t="s">
        <v>3390</v>
      </c>
      <c r="G74" t="s">
        <v>3373</v>
      </c>
      <c r="H74" t="s">
        <v>3391</v>
      </c>
      <c r="I74" t="str">
        <f t="shared" si="1"/>
        <v>IF($G$14="XBF-RD04A",'All data map'!$F$1572:$J$1591,0)</v>
      </c>
      <c r="K74" t="s">
        <v>3415</v>
      </c>
    </row>
    <row r="75" spans="4:11">
      <c r="D75" t="s">
        <v>3389</v>
      </c>
      <c r="E75" s="19" t="s">
        <v>106</v>
      </c>
      <c r="F75" t="s">
        <v>3390</v>
      </c>
      <c r="G75" t="s">
        <v>3374</v>
      </c>
      <c r="H75" t="s">
        <v>3391</v>
      </c>
      <c r="I75" t="str">
        <f t="shared" si="1"/>
        <v>IF($G$14="XBF-RD01A",'All data map'!$F$1592:$J$1605,0)</v>
      </c>
      <c r="K75" t="s">
        <v>3416</v>
      </c>
    </row>
    <row r="76" spans="4:11">
      <c r="D76" t="s">
        <v>3389</v>
      </c>
      <c r="E76" s="19" t="s">
        <v>107</v>
      </c>
      <c r="F76" t="s">
        <v>3390</v>
      </c>
      <c r="G76" t="s">
        <v>3375</v>
      </c>
      <c r="H76" t="s">
        <v>3391</v>
      </c>
      <c r="I76" t="str">
        <f t="shared" si="1"/>
        <v>IF($G$14="XBF-TC04B",'All data map'!$F$1606:$J$1651,0)</v>
      </c>
      <c r="K76" t="s">
        <v>3417</v>
      </c>
    </row>
    <row r="77" spans="4:11">
      <c r="D77" t="s">
        <v>3389</v>
      </c>
      <c r="E77" s="19" t="s">
        <v>108</v>
      </c>
      <c r="F77" t="s">
        <v>3390</v>
      </c>
      <c r="G77" t="s">
        <v>3376</v>
      </c>
      <c r="H77" t="s">
        <v>3391</v>
      </c>
      <c r="I77" t="str">
        <f t="shared" si="1"/>
        <v>IF($G$14="XBF-TC04S",'All data map'!$F$1652:$J$1697,0)</v>
      </c>
      <c r="K77" t="s">
        <v>3418</v>
      </c>
    </row>
    <row r="78" spans="4:11">
      <c r="D78" t="s">
        <v>3389</v>
      </c>
      <c r="E78" s="19" t="s">
        <v>109</v>
      </c>
      <c r="F78" t="s">
        <v>3390</v>
      </c>
      <c r="G78" t="s">
        <v>3377</v>
      </c>
      <c r="H78" t="s">
        <v>3391</v>
      </c>
      <c r="I78" t="str">
        <f t="shared" si="1"/>
        <v>IF($G$14="XBF-LD02S",'All data map'!$F$1698:$J$1806,0)</v>
      </c>
      <c r="K78" t="s">
        <v>3419</v>
      </c>
    </row>
    <row r="79" spans="4:11">
      <c r="D79" t="s">
        <v>3389</v>
      </c>
      <c r="E79" s="19" t="s">
        <v>110</v>
      </c>
      <c r="F79" t="s">
        <v>3390</v>
      </c>
      <c r="G79" t="s">
        <v>3378</v>
      </c>
      <c r="H79" t="s">
        <v>3391</v>
      </c>
      <c r="I79" t="str">
        <f t="shared" si="1"/>
        <v>IF($G$14="XBF-HO02A",'All data map'!$F$1807:$J$1867,0)</v>
      </c>
      <c r="K79" t="s">
        <v>3420</v>
      </c>
    </row>
    <row r="80" spans="4:11">
      <c r="D80" t="s">
        <v>3389</v>
      </c>
      <c r="E80" s="19" t="s">
        <v>111</v>
      </c>
      <c r="F80" t="s">
        <v>3390</v>
      </c>
      <c r="G80" t="s">
        <v>3379</v>
      </c>
      <c r="H80" t="s">
        <v>3391</v>
      </c>
      <c r="I80" t="str">
        <f t="shared" si="1"/>
        <v>IF($G$14="XBF-HD02A",'All data map'!$F$1868:$J$1928,0)</v>
      </c>
      <c r="K80" s="69" t="s">
        <v>3421</v>
      </c>
    </row>
    <row r="81" spans="3:12">
      <c r="D81" t="s">
        <v>3389</v>
      </c>
      <c r="E81" s="3" t="s">
        <v>363</v>
      </c>
      <c r="F81" t="s">
        <v>3390</v>
      </c>
      <c r="G81" t="s">
        <v>3380</v>
      </c>
      <c r="H81" t="s">
        <v>3391</v>
      </c>
      <c r="I81" t="str">
        <f t="shared" si="1"/>
        <v>IF($G$14="GEL-D24C",'All data map'!$F$1929:$J$1929,0)</v>
      </c>
      <c r="K81" t="s">
        <v>3424</v>
      </c>
      <c r="L81" t="str">
        <f>K81&amp;K82&amp;K83&amp;K84&amp;K85&amp;K86&amp;K87&amp;K88</f>
        <v>IF($G$14="GEL-D24C",'All data map'!$F$1929:$J$1929,IF($G$14="GEL-RY2C",'All data map'!$F$1930:$J$1930,IF($G$14="GEL-TR4C1",'All data map'!$F$1931:$J$1931,IF($G$14="GEL-DT4C1",'All data map'!$F$1932:$J$1933,IF($G$14="GEL-AC8C",'All data map'!$F$1934:$J$1976,IF($G$14="GEL-AV8C",'All data map'!$F$1977:$J$2019,IF($G$14="GEL-DC4C",'All data map'!$F$2020:$J$2041,IF($G$14="GEL-DV4C",'All data map'!$F$2042:$J$2063,</v>
      </c>
    </row>
    <row r="82" spans="3:12">
      <c r="D82" t="s">
        <v>3389</v>
      </c>
      <c r="E82" s="3" t="s">
        <v>364</v>
      </c>
      <c r="F82" t="s">
        <v>3390</v>
      </c>
      <c r="G82" t="s">
        <v>3381</v>
      </c>
      <c r="H82" t="s">
        <v>3391</v>
      </c>
      <c r="I82" t="str">
        <f t="shared" si="1"/>
        <v>IF($G$14="GEL-RY2C",'All data map'!$F$1930:$J$1930,0)</v>
      </c>
      <c r="K82" t="s">
        <v>3425</v>
      </c>
      <c r="L82" s="67" t="s">
        <v>3481</v>
      </c>
    </row>
    <row r="83" spans="3:12">
      <c r="D83" t="s">
        <v>3389</v>
      </c>
      <c r="E83" s="3" t="s">
        <v>365</v>
      </c>
      <c r="F83" t="s">
        <v>3390</v>
      </c>
      <c r="G83" t="s">
        <v>3382</v>
      </c>
      <c r="H83" t="s">
        <v>3391</v>
      </c>
      <c r="I83" t="str">
        <f t="shared" si="1"/>
        <v>IF($G$14="GEL-TR4C1",'All data map'!$F$1931:$J$1931,0)</v>
      </c>
      <c r="K83" t="s">
        <v>3426</v>
      </c>
      <c r="L83" t="str">
        <f>L82&amp;K96</f>
        <v>IF($G$14="GEL-D24C",'All data map'!$F$1929:$J$1929,IF($G$14="GEL-RY2C",'All data map'!$F$1930:$J$1930,IF($G$14="GEL-TR4C1",'All data map'!$F$1931:$J$1931,IF($G$14="GEL-DT4C1",'All data map'!$F$1932:$J$1933,IF($G$14="GEL-AC8C",'All data map'!$F$1934:$J$1976,IF($G$14="GEL-AV8C",'All data map'!$F$1977:$J$2019,IF($G$14="GEL-DC4C",'All data map'!$F$2020:$J$2041,IF($G$14="GEL-DV4C",'All data map'!$F$2042:$J$2063,))))))))</v>
      </c>
    </row>
    <row r="84" spans="3:12">
      <c r="D84" t="s">
        <v>3389</v>
      </c>
      <c r="E84" s="3" t="s">
        <v>366</v>
      </c>
      <c r="F84" t="s">
        <v>3390</v>
      </c>
      <c r="G84" t="s">
        <v>3383</v>
      </c>
      <c r="H84" t="s">
        <v>3391</v>
      </c>
      <c r="I84" t="str">
        <f t="shared" si="1"/>
        <v>IF($G$14="GEL-DT4C1",'All data map'!$F$1932:$J$1933,0)</v>
      </c>
      <c r="K84" t="s">
        <v>3427</v>
      </c>
      <c r="L84" s="68" t="s">
        <v>3494</v>
      </c>
    </row>
    <row r="85" spans="3:12">
      <c r="D85" t="s">
        <v>3389</v>
      </c>
      <c r="E85" s="3" t="s">
        <v>367</v>
      </c>
      <c r="F85" t="s">
        <v>3390</v>
      </c>
      <c r="G85" t="s">
        <v>3384</v>
      </c>
      <c r="H85" t="s">
        <v>3391</v>
      </c>
      <c r="I85" t="str">
        <f t="shared" si="1"/>
        <v>IF($G$14="GEL-AC8C",'All data map'!$F$1934:$J$1976,0)</v>
      </c>
      <c r="K85" t="s">
        <v>3428</v>
      </c>
    </row>
    <row r="86" spans="3:12">
      <c r="D86" t="s">
        <v>3389</v>
      </c>
      <c r="E86" s="3" t="s">
        <v>368</v>
      </c>
      <c r="F86" t="s">
        <v>3390</v>
      </c>
      <c r="G86" t="s">
        <v>3385</v>
      </c>
      <c r="H86" t="s">
        <v>3391</v>
      </c>
      <c r="I86" t="str">
        <f t="shared" si="1"/>
        <v>IF($G$14="GEL-AV8C",'All data map'!$F$1977:$J$2019,0)</v>
      </c>
      <c r="K86" t="s">
        <v>3429</v>
      </c>
    </row>
    <row r="87" spans="3:12">
      <c r="D87" t="s">
        <v>3389</v>
      </c>
      <c r="E87" s="3" t="s">
        <v>369</v>
      </c>
      <c r="F87" t="s">
        <v>3390</v>
      </c>
      <c r="G87" t="s">
        <v>3386</v>
      </c>
      <c r="H87" t="s">
        <v>3391</v>
      </c>
      <c r="I87" t="str">
        <f t="shared" si="1"/>
        <v>IF($G$14="GEL-DC4C",'All data map'!$F$2020:$J$2041,0)</v>
      </c>
      <c r="K87" t="s">
        <v>3430</v>
      </c>
    </row>
    <row r="88" spans="3:12">
      <c r="D88" t="s">
        <v>3389</v>
      </c>
      <c r="E88" s="3" t="s">
        <v>370</v>
      </c>
      <c r="F88" t="s">
        <v>3390</v>
      </c>
      <c r="G88" t="s">
        <v>3387</v>
      </c>
      <c r="H88" t="s">
        <v>3391</v>
      </c>
      <c r="I88" t="str">
        <f t="shared" si="1"/>
        <v>IF($G$14="GEL-DV4C",'All data map'!$F$2042:$J$2063,0)</v>
      </c>
      <c r="K88" t="s">
        <v>3431</v>
      </c>
    </row>
    <row r="89" spans="3:12">
      <c r="C89" t="s">
        <v>3573</v>
      </c>
      <c r="D89" t="s">
        <v>3389</v>
      </c>
      <c r="E89" s="3" t="s">
        <v>2</v>
      </c>
      <c r="F89" t="s">
        <v>3390</v>
      </c>
      <c r="G89" s="65" t="s">
        <v>3571</v>
      </c>
      <c r="H89" t="s">
        <v>3391</v>
      </c>
      <c r="I89" t="str">
        <f>D89&amp;E89&amp;F89&amp;G89&amp;H89</f>
        <v>IF($G$14="Header",All data map'!$F$2066:$J$2076,0)</v>
      </c>
      <c r="K89" t="s">
        <v>3577</v>
      </c>
      <c r="L89" s="17" t="str">
        <f>L10&amp;L50&amp;L82&amp;K93</f>
        <v>IF($G$14="XGI-D21A",'All data map'!$F$3:$J$3, IF($G$14="XGI-D22A",'All data map'!$F$4:$J$4, IF($G$14="XGI-D22B",'All data map'!$F$5:$J$5, IF($G$14="XGI-D24A",'All data map'!$F$6:$J$6, IF($G$14="XGI-D24B",'All data map'!$F$7:$J$7, IF($G$14="XGI-D28A",'All data map'!$F$8:$J$9, IF($G$14="XGI-A12A",'All data map'!$F$10:$J$10, IF($G$14="XGI-A21A",'All data map'!$F$11:$J$12, IF($G$14="XGI-D21D",'All data map'!$F$13:$J$13, IF($G$14="XGQ-RY1A",'All data map'!$F$14:$J$14, IF($G$14="XGQ-RY2A",'All data map'!$F$15:$J$15, IF($G$14="XGQ-RY2B",'All data map'!$F$16:$J$16, IF($G$14="XGQ-TR1C",'All data map'!$F$17:$J$17, IF($G$14="XGQ-TR2A",'All data map'!$F$18:$J$18, IF($G$14="XGQ-TR2B",'All data map'!$F$19:$J$19, IF($G$14="XGQ-TR4A",'All data map'!$F$20:$J$20, IF($G$14="XGQ-TR4B",'All data map'!$F$21:$J$21, IF($G$14="XGQ-TR8A",'All data map'!$F$22:$J$22, IF($G$14="XGQ-TR8B",'All data map'!$F$23:$J$23, IF($G$14="XGQ-SS2A",'All data map'!$F$24:$J$24, IF($G$14="XGQ-RY1D",'All data map'!$F$25:$J$25, IF($G$14="XGH-DT4A",'All data map'!$F$26:$J$27, IF($G$14="XGF-AV8A",'All data map'!$F$28:$J$70, IF($G$14="XGF-AC8A",'All data map'!$F$71:$J$113, IF($G$14="XGF-AD4S",'All data map'!$F$114:$J$154, IF($G$14="XGF-AD8A",'All data map'!$F$155:$J$197, IF($G$14="XGF-AD16A",'All data map'!$F$198:$J$281, IF($G$14="XGF-AC4H",'All data map'!$F$282:$J$325, IF($G$14="XGF-AW4S",'All data map'!$F$327:$J$367, IF($G$14="XGF-DV4A",'All data map'!$F$368:$J$389, IF($G$14="XGF-DV8A",'All data map'!$F$390:$J$423, IF($G$14="XGF-DC4A",'All data map'!$F$424:$J$445, IF($G$14="XGF-DC8A",'All data map'!$F$446:$J$479, IF($G$14="XGF-DV4S",'All data map'!$F$480:$J$501, IF($G$14="XGF-DC4S",'All data map'!$F$502:$J$523, IF($G$14="XGF-DC4H",'All data map'!$F$524:$J$557, IF($G$14="XGF-AH6A",'All data map'!$F$558:$J$584, IF($G$14="XGF-HO2A",'All data map'!$F$585:$J$646, IF($G$14="XGF-HD2A",'All data map'!$F$647:$J$708, IF($G$14="XGF-HO8A",'All data map'!$F$709:$J$838, IF($G$14="XGF-RD4A",'All data map'!$F$839:$J$914, IF($G$14="XGF-RD4S",'All data map'!$F$915:$J$990, IF($G$14="XGF-TC4S",'All data map'!$F$991:$J$1070, IF($G$14="XGF-RD8A",'All data map'!$F$1071:$J$1185, IF($G$14="XGF-TC4UD",'All data map'!$F$1186:$J$1272, IF($G$14="XGF-TC4RT",'All data map'!$F$1273:$J$1359, IF($G$14="XBE-DC08A",'All data map'!$F$1360:$J$1360, IF($G$14="XBE-DC16A",'All data map'!$F$1361:$J$1361, IF($G$14="XBE-DC16B",'All data map'!$F$1362:$J$1362, IF($G$14="XBE-DC32A",'All data map'!$F$1363:$J$1363, IF($G$14="XBE-AC08A",'All data map'!$F$1364:$J$1364, IF($G$14="XBE-TN08A",'All data map'!$F$1365:$J$1365, IF($G$14="XBE-TP08A",'All data map'!$F$1366:$J$1366, IF($G$14="XBE-TN16A",'All data map'!$F$1367:$J$1367, IF($G$14="XBE-TP16A",'All data map'!$F$1368:$J$1368, IF($G$14="XBE-TN32A",'All data map'!$F$1369:$J$1369, IF($G$14="XBE-TP32A",'All data map'!$F$1370:$J$1370, IF($G$14="XBE-RY08A",'All data map'!$F$1371:$J$1371, IF($G$14="XBE-RY08B",'All data map'!$F$1372:$J$1372, IF($G$14="XBE-RY16A",'All data map'!$F$1373:$J$1373, IF($G$14="XBE-DR16A",'All data map'!$F$1374:$J$1375, IF($G$14="XBE-DN32A",'All data map'!$F$1376:$J$1377, IF($G$14="XBF-AD04A",'All data map'!$F$1378:$J$1388, IF($G$14="XBF-AD08A",'All data map'!$F$1389:$J$1423, IF($G$14="XBF-AD04C",'All data map'!$F$1424:$J$1454, IF($G$14="XBF-DV04A",'All data map'!$F$1455:$J$1471, IF($G$14="XBF-DC04A",'All data map'!$F$1472:$J$1488, IF($G$14="XBF-DC04B",'All data map'!$F$1489:$J$1505, IF($G$14="XBF-DV04C",'All data map'!$F$1506:$J$1526, IF($G$14="XBF-DC04C",'All data map'!$F$1527:$J$1551, IF($G$14="XBF-AH04A",'All data map'!$F$1552:$J$1571, IF($G$14="XBF-RD04A",'All data map'!$F$1572:$J$1591, IF($G$14="XBF-RD01A",'All data map'!$F$1592:$J$1605, IF($G$14="XBF-TC04B",'All data map'!$F$1606:$J$1651, IF($G$14="XBF-TC04S",'All data map'!$F$1652:$J$1697, IF($G$14="XBF-LD02S",'All data map'!$F$1698:$J$1806, IF($G$14="XBF-HO02A",'All data map'!$F$1807:$J$1867, IF($G$14="XBF-HD02A",'All data map'!$F$1868:$J$1928,IF($G$14="GEL-D24C",'All data map'!$F$1929:$J$1929,IF($G$14="GEL-RY2C",'All data map'!$F$1930:$J$1930,IF($G$14="GEL-TR4C1",'All data map'!$F$1931:$J$1931,IF($G$14="GEL-DT4C1",'All data map'!$F$1932:$J$1933,IF($G$14="GEL-AC8C",'All data map'!$F$1934:$J$1976,IF($G$14="GEL-AV8C",'All data map'!$F$1977:$J$2019,IF($G$14="GEL-DC4C",'All data map'!$F$2020:$J$2041,IF($G$14="GEL-DV4C",'All data map'!$F$2042:$J$2063,))))))))))))))))))))))))))))))))))))))))))))))))))))))))))))))))))))))))))))))))))))))</v>
      </c>
    </row>
    <row r="90" spans="3:12">
      <c r="C90" t="s">
        <v>3572</v>
      </c>
      <c r="D90" t="s">
        <v>3389</v>
      </c>
      <c r="E90" s="3" t="s">
        <v>2</v>
      </c>
      <c r="F90" t="s">
        <v>3390</v>
      </c>
      <c r="G90" s="65" t="s">
        <v>3575</v>
      </c>
      <c r="H90" t="s">
        <v>3391</v>
      </c>
      <c r="I90" t="str">
        <f>D90&amp;E90&amp;F90&amp;G90&amp;H90</f>
        <v>IF($G$14="Header",All data map'!$F$2077:$J$2089,0)</v>
      </c>
      <c r="K90" t="s">
        <v>3578</v>
      </c>
      <c r="L90" s="70" t="s">
        <v>3485</v>
      </c>
    </row>
    <row r="91" spans="3:12">
      <c r="C91" t="s">
        <v>3574</v>
      </c>
      <c r="D91" t="s">
        <v>3389</v>
      </c>
      <c r="E91" s="3" t="s">
        <v>2</v>
      </c>
      <c r="F91" t="s">
        <v>3390</v>
      </c>
      <c r="G91" s="65" t="s">
        <v>3576</v>
      </c>
      <c r="H91" t="s">
        <v>3391</v>
      </c>
      <c r="I91" t="str">
        <f>D91&amp;E91&amp;F91&amp;G91&amp;H91</f>
        <v>IF($G$14="Header",All data map'!$F$2089:$J$2098,0)</v>
      </c>
      <c r="K91" t="s">
        <v>3579</v>
      </c>
      <c r="L91" s="70"/>
    </row>
    <row r="92" spans="3:12">
      <c r="L92" s="70"/>
    </row>
    <row r="93" spans="3:12">
      <c r="H93">
        <v>1</v>
      </c>
      <c r="I93" t="s">
        <v>3483</v>
      </c>
      <c r="J93" t="s">
        <v>3486</v>
      </c>
      <c r="K93" t="s">
        <v>3484</v>
      </c>
    </row>
    <row r="94" spans="3:12">
      <c r="H94">
        <v>2</v>
      </c>
      <c r="I94" t="s">
        <v>3483</v>
      </c>
      <c r="J94" t="s">
        <v>3489</v>
      </c>
      <c r="K94" t="s">
        <v>3490</v>
      </c>
    </row>
    <row r="95" spans="3:12">
      <c r="H95">
        <v>3</v>
      </c>
      <c r="I95" t="s">
        <v>3483</v>
      </c>
      <c r="J95" t="s">
        <v>3488</v>
      </c>
      <c r="K95" t="s">
        <v>3491</v>
      </c>
    </row>
    <row r="96" spans="3:12">
      <c r="H96">
        <v>4</v>
      </c>
      <c r="I96" t="s">
        <v>3483</v>
      </c>
      <c r="J96" t="s">
        <v>3487</v>
      </c>
      <c r="K96" t="s">
        <v>3492</v>
      </c>
    </row>
    <row r="97" spans="8:9">
      <c r="H97">
        <v>5</v>
      </c>
      <c r="I97" t="s">
        <v>3483</v>
      </c>
    </row>
    <row r="98" spans="8:9">
      <c r="H98">
        <v>6</v>
      </c>
      <c r="I98" t="s">
        <v>3483</v>
      </c>
    </row>
    <row r="99" spans="8:9">
      <c r="H99">
        <v>7</v>
      </c>
      <c r="I99" t="s">
        <v>3483</v>
      </c>
    </row>
    <row r="100" spans="8:9">
      <c r="H100">
        <v>8</v>
      </c>
      <c r="I100" t="s">
        <v>3483</v>
      </c>
    </row>
    <row r="101" spans="8:9">
      <c r="H101">
        <v>9</v>
      </c>
      <c r="I101" t="s">
        <v>3483</v>
      </c>
    </row>
    <row r="102" spans="8:9">
      <c r="H102">
        <v>10</v>
      </c>
      <c r="I102" t="s">
        <v>3483</v>
      </c>
    </row>
    <row r="103" spans="8:9">
      <c r="H103">
        <v>11</v>
      </c>
      <c r="I103" t="s">
        <v>3483</v>
      </c>
    </row>
    <row r="104" spans="8:9">
      <c r="H104">
        <v>12</v>
      </c>
      <c r="I104" t="s">
        <v>3483</v>
      </c>
    </row>
    <row r="105" spans="8:9">
      <c r="H105">
        <v>13</v>
      </c>
      <c r="I105" t="s">
        <v>3483</v>
      </c>
    </row>
    <row r="106" spans="8:9">
      <c r="H106">
        <v>14</v>
      </c>
      <c r="I106" t="s">
        <v>3483</v>
      </c>
    </row>
    <row r="107" spans="8:9">
      <c r="H107">
        <v>15</v>
      </c>
      <c r="I107" t="s">
        <v>3483</v>
      </c>
    </row>
    <row r="108" spans="8:9">
      <c r="H108">
        <v>16</v>
      </c>
      <c r="I108" t="s">
        <v>3483</v>
      </c>
    </row>
    <row r="109" spans="8:9">
      <c r="H109">
        <v>17</v>
      </c>
      <c r="I109" t="s">
        <v>3483</v>
      </c>
    </row>
    <row r="110" spans="8:9">
      <c r="H110">
        <v>18</v>
      </c>
      <c r="I110" t="s">
        <v>3483</v>
      </c>
    </row>
    <row r="111" spans="8:9">
      <c r="H111">
        <v>19</v>
      </c>
      <c r="I111" t="s">
        <v>3483</v>
      </c>
    </row>
    <row r="112" spans="8:9">
      <c r="H112">
        <v>20</v>
      </c>
      <c r="I112" t="s">
        <v>3483</v>
      </c>
    </row>
    <row r="113" spans="8:9">
      <c r="H113">
        <v>21</v>
      </c>
      <c r="I113" t="s">
        <v>3483</v>
      </c>
    </row>
    <row r="114" spans="8:9">
      <c r="H114">
        <v>22</v>
      </c>
      <c r="I114" t="s">
        <v>3483</v>
      </c>
    </row>
    <row r="115" spans="8:9">
      <c r="H115">
        <v>23</v>
      </c>
      <c r="I115" t="s">
        <v>3483</v>
      </c>
    </row>
    <row r="116" spans="8:9">
      <c r="H116">
        <v>24</v>
      </c>
      <c r="I116" t="s">
        <v>3483</v>
      </c>
    </row>
    <row r="117" spans="8:9">
      <c r="H117">
        <v>25</v>
      </c>
      <c r="I117" t="s">
        <v>3483</v>
      </c>
    </row>
    <row r="118" spans="8:9">
      <c r="H118">
        <v>26</v>
      </c>
      <c r="I118" t="s">
        <v>3483</v>
      </c>
    </row>
    <row r="119" spans="8:9">
      <c r="H119">
        <v>27</v>
      </c>
      <c r="I119" t="s">
        <v>3483</v>
      </c>
    </row>
    <row r="120" spans="8:9">
      <c r="H120">
        <v>28</v>
      </c>
      <c r="I120" t="s">
        <v>3483</v>
      </c>
    </row>
    <row r="121" spans="8:9">
      <c r="H121">
        <v>29</v>
      </c>
      <c r="I121" t="s">
        <v>3483</v>
      </c>
    </row>
    <row r="122" spans="8:9">
      <c r="H122">
        <v>30</v>
      </c>
      <c r="I122" t="s">
        <v>3483</v>
      </c>
    </row>
    <row r="123" spans="8:9">
      <c r="H123">
        <v>31</v>
      </c>
      <c r="I123" t="s">
        <v>3483</v>
      </c>
    </row>
    <row r="124" spans="8:9">
      <c r="H124">
        <v>32</v>
      </c>
      <c r="I124" t="s">
        <v>3483</v>
      </c>
    </row>
    <row r="125" spans="8:9">
      <c r="H125">
        <v>33</v>
      </c>
      <c r="I125" t="s">
        <v>3483</v>
      </c>
    </row>
    <row r="126" spans="8:9">
      <c r="H126">
        <v>34</v>
      </c>
      <c r="I126" t="s">
        <v>3483</v>
      </c>
    </row>
    <row r="127" spans="8:9">
      <c r="H127">
        <v>35</v>
      </c>
      <c r="I127" t="s">
        <v>3483</v>
      </c>
    </row>
    <row r="128" spans="8:9">
      <c r="H128">
        <v>36</v>
      </c>
      <c r="I128" t="s">
        <v>3483</v>
      </c>
    </row>
    <row r="129" spans="8:9">
      <c r="H129">
        <v>37</v>
      </c>
      <c r="I129" t="s">
        <v>3483</v>
      </c>
    </row>
    <row r="130" spans="8:9">
      <c r="H130">
        <v>38</v>
      </c>
      <c r="I130" t="s">
        <v>3483</v>
      </c>
    </row>
    <row r="131" spans="8:9">
      <c r="H131">
        <v>39</v>
      </c>
      <c r="I131" t="s">
        <v>3483</v>
      </c>
    </row>
    <row r="132" spans="8:9">
      <c r="H132">
        <v>40</v>
      </c>
      <c r="I132" t="s">
        <v>3483</v>
      </c>
    </row>
    <row r="133" spans="8:9">
      <c r="H133">
        <v>41</v>
      </c>
      <c r="I133" t="s">
        <v>3483</v>
      </c>
    </row>
    <row r="134" spans="8:9">
      <c r="H134">
        <v>42</v>
      </c>
      <c r="I134" t="s">
        <v>3483</v>
      </c>
    </row>
    <row r="135" spans="8:9">
      <c r="H135">
        <v>43</v>
      </c>
      <c r="I135" t="s">
        <v>3483</v>
      </c>
    </row>
    <row r="136" spans="8:9">
      <c r="H136">
        <v>44</v>
      </c>
      <c r="I136" t="s">
        <v>3483</v>
      </c>
    </row>
    <row r="137" spans="8:9">
      <c r="H137">
        <v>45</v>
      </c>
      <c r="I137" t="s">
        <v>3483</v>
      </c>
    </row>
    <row r="138" spans="8:9">
      <c r="H138">
        <v>46</v>
      </c>
      <c r="I138" t="s">
        <v>3483</v>
      </c>
    </row>
    <row r="139" spans="8:9">
      <c r="H139">
        <v>47</v>
      </c>
      <c r="I139" t="s">
        <v>3483</v>
      </c>
    </row>
    <row r="140" spans="8:9">
      <c r="H140">
        <v>48</v>
      </c>
      <c r="I140" t="s">
        <v>3483</v>
      </c>
    </row>
    <row r="141" spans="8:9">
      <c r="H141">
        <v>49</v>
      </c>
      <c r="I141" t="s">
        <v>3483</v>
      </c>
    </row>
    <row r="142" spans="8:9">
      <c r="H142">
        <v>50</v>
      </c>
      <c r="I142" t="s">
        <v>3483</v>
      </c>
    </row>
    <row r="143" spans="8:9">
      <c r="H143">
        <v>51</v>
      </c>
      <c r="I143" t="s">
        <v>3483</v>
      </c>
    </row>
    <row r="144" spans="8:9">
      <c r="H144">
        <v>52</v>
      </c>
      <c r="I144" t="s">
        <v>3483</v>
      </c>
    </row>
    <row r="145" spans="8:9">
      <c r="H145">
        <v>53</v>
      </c>
      <c r="I145" t="s">
        <v>3483</v>
      </c>
    </row>
    <row r="146" spans="8:9">
      <c r="H146">
        <v>54</v>
      </c>
      <c r="I146" t="s">
        <v>3483</v>
      </c>
    </row>
    <row r="147" spans="8:9">
      <c r="H147">
        <v>55</v>
      </c>
      <c r="I147" t="s">
        <v>3483</v>
      </c>
    </row>
    <row r="148" spans="8:9">
      <c r="H148">
        <v>56</v>
      </c>
      <c r="I148" t="s">
        <v>3483</v>
      </c>
    </row>
    <row r="149" spans="8:9">
      <c r="H149">
        <v>57</v>
      </c>
      <c r="I149" t="s">
        <v>3483</v>
      </c>
    </row>
    <row r="150" spans="8:9">
      <c r="H150">
        <v>58</v>
      </c>
      <c r="I150" t="s">
        <v>3483</v>
      </c>
    </row>
    <row r="151" spans="8:9">
      <c r="H151">
        <v>59</v>
      </c>
      <c r="I151" t="s">
        <v>3483</v>
      </c>
    </row>
    <row r="152" spans="8:9">
      <c r="H152">
        <v>60</v>
      </c>
      <c r="I152" t="s">
        <v>3483</v>
      </c>
    </row>
    <row r="153" spans="8:9">
      <c r="H153">
        <v>61</v>
      </c>
      <c r="I153" t="s">
        <v>3483</v>
      </c>
    </row>
    <row r="154" spans="8:9">
      <c r="H154">
        <v>62</v>
      </c>
      <c r="I154" t="s">
        <v>3483</v>
      </c>
    </row>
    <row r="155" spans="8:9">
      <c r="H155">
        <v>63</v>
      </c>
      <c r="I155" t="s">
        <v>3483</v>
      </c>
    </row>
    <row r="156" spans="8:9">
      <c r="H156">
        <v>64</v>
      </c>
      <c r="I156" t="s">
        <v>3483</v>
      </c>
    </row>
    <row r="157" spans="8:9">
      <c r="H157">
        <v>65</v>
      </c>
      <c r="I157" t="s">
        <v>3483</v>
      </c>
    </row>
    <row r="158" spans="8:9">
      <c r="H158">
        <v>66</v>
      </c>
      <c r="I158" t="s">
        <v>3483</v>
      </c>
    </row>
    <row r="159" spans="8:9">
      <c r="H159">
        <v>67</v>
      </c>
      <c r="I159" t="s">
        <v>3483</v>
      </c>
    </row>
    <row r="160" spans="8:9">
      <c r="H160">
        <v>68</v>
      </c>
      <c r="I160" t="s">
        <v>3483</v>
      </c>
    </row>
    <row r="161" spans="8:9">
      <c r="H161">
        <v>69</v>
      </c>
      <c r="I161" t="s">
        <v>3483</v>
      </c>
    </row>
    <row r="162" spans="8:9">
      <c r="H162">
        <v>70</v>
      </c>
      <c r="I162" t="s">
        <v>3483</v>
      </c>
    </row>
    <row r="163" spans="8:9">
      <c r="H163">
        <v>71</v>
      </c>
      <c r="I163" t="s">
        <v>3483</v>
      </c>
    </row>
    <row r="164" spans="8:9">
      <c r="H164">
        <v>72</v>
      </c>
      <c r="I164" t="s">
        <v>3483</v>
      </c>
    </row>
    <row r="165" spans="8:9">
      <c r="H165">
        <v>73</v>
      </c>
      <c r="I165" t="s">
        <v>3483</v>
      </c>
    </row>
    <row r="166" spans="8:9">
      <c r="H166">
        <v>74</v>
      </c>
      <c r="I166" t="s">
        <v>3483</v>
      </c>
    </row>
    <row r="167" spans="8:9">
      <c r="H167">
        <v>75</v>
      </c>
      <c r="I167" t="s">
        <v>3483</v>
      </c>
    </row>
    <row r="168" spans="8:9">
      <c r="H168">
        <v>76</v>
      </c>
      <c r="I168" t="s">
        <v>3483</v>
      </c>
    </row>
    <row r="169" spans="8:9">
      <c r="H169">
        <v>77</v>
      </c>
      <c r="I169" t="s">
        <v>3483</v>
      </c>
    </row>
    <row r="170" spans="8:9">
      <c r="H170">
        <v>78</v>
      </c>
      <c r="I170" t="s">
        <v>3483</v>
      </c>
    </row>
    <row r="171" spans="8:9">
      <c r="H171">
        <v>79</v>
      </c>
      <c r="I171" t="s">
        <v>3483</v>
      </c>
    </row>
    <row r="172" spans="8:9">
      <c r="H172">
        <v>80</v>
      </c>
      <c r="I172" t="s">
        <v>3483</v>
      </c>
    </row>
    <row r="173" spans="8:9">
      <c r="H173">
        <v>81</v>
      </c>
      <c r="I173" t="s">
        <v>3483</v>
      </c>
    </row>
    <row r="174" spans="8:9">
      <c r="H174">
        <v>82</v>
      </c>
      <c r="I174" t="s">
        <v>3483</v>
      </c>
    </row>
    <row r="175" spans="8:9">
      <c r="H175">
        <v>83</v>
      </c>
      <c r="I175" t="s">
        <v>3483</v>
      </c>
    </row>
    <row r="176" spans="8:9">
      <c r="H176">
        <v>84</v>
      </c>
      <c r="I176" t="s">
        <v>3483</v>
      </c>
    </row>
    <row r="177" spans="8:9">
      <c r="H177">
        <v>85</v>
      </c>
      <c r="I177" t="s">
        <v>3483</v>
      </c>
    </row>
    <row r="178" spans="8:9">
      <c r="H178">
        <v>86</v>
      </c>
      <c r="I178" t="s">
        <v>3483</v>
      </c>
    </row>
  </sheetData>
  <autoFilter ref="E2:E88" xr:uid="{A686F41D-B6BB-4B65-8852-C5CF252A8E3C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2:E18"/>
  <sheetViews>
    <sheetView workbookViewId="0">
      <selection activeCell="L84" sqref="L84"/>
    </sheetView>
  </sheetViews>
  <sheetFormatPr defaultRowHeight="17"/>
  <cols>
    <col min="1" max="1" width="7.33203125" bestFit="1" customWidth="1"/>
  </cols>
  <sheetData>
    <row r="2" spans="1:5">
      <c r="B2" s="16" t="s">
        <v>30</v>
      </c>
      <c r="C2" s="15"/>
      <c r="D2" s="15"/>
      <c r="E2" s="15"/>
    </row>
    <row r="3" spans="1:5">
      <c r="B3" s="15" t="s">
        <v>28</v>
      </c>
      <c r="C3" s="15" t="s">
        <v>26</v>
      </c>
      <c r="D3" s="15" t="s">
        <v>29</v>
      </c>
      <c r="E3" s="15" t="s">
        <v>26</v>
      </c>
    </row>
    <row r="4" spans="1:5">
      <c r="B4" s="15"/>
      <c r="C4" s="15" t="s">
        <v>27</v>
      </c>
      <c r="D4" s="15"/>
      <c r="E4" s="15" t="s">
        <v>27</v>
      </c>
    </row>
    <row r="5" spans="1:5">
      <c r="A5" t="s">
        <v>118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</row>
    <row r="6" spans="1:5">
      <c r="A6">
        <v>0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</row>
    <row r="7" spans="1:5">
      <c r="A7">
        <v>1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</row>
    <row r="8" spans="1:5">
      <c r="A8">
        <v>2</v>
      </c>
      <c r="B8" t="e">
        <f>#REF!</f>
        <v>#REF!</v>
      </c>
      <c r="C8" t="e">
        <f>#REF!</f>
        <v>#REF!</v>
      </c>
      <c r="D8" t="e">
        <f>#REF!</f>
        <v>#REF!</v>
      </c>
      <c r="E8" t="e">
        <f>#REF!</f>
        <v>#REF!</v>
      </c>
    </row>
    <row r="9" spans="1:5">
      <c r="A9">
        <v>3</v>
      </c>
      <c r="B9" t="e">
        <f>#REF!</f>
        <v>#REF!</v>
      </c>
      <c r="C9" t="e">
        <f>#REF!</f>
        <v>#REF!</v>
      </c>
      <c r="D9" t="e">
        <f>#REF!</f>
        <v>#REF!</v>
      </c>
      <c r="E9" t="e">
        <f>#REF!</f>
        <v>#REF!</v>
      </c>
    </row>
    <row r="10" spans="1:5">
      <c r="A10">
        <v>4</v>
      </c>
      <c r="B10" t="e">
        <f>#REF!</f>
        <v>#REF!</v>
      </c>
      <c r="C10" t="e">
        <f>#REF!</f>
        <v>#REF!</v>
      </c>
      <c r="D10" t="e">
        <f>#REF!</f>
        <v>#REF!</v>
      </c>
      <c r="E10" t="e">
        <f>#REF!</f>
        <v>#REF!</v>
      </c>
    </row>
    <row r="11" spans="1:5">
      <c r="A11">
        <v>5</v>
      </c>
      <c r="B11" t="e">
        <f>#REF!</f>
        <v>#REF!</v>
      </c>
      <c r="C11" t="e">
        <f>#REF!</f>
        <v>#REF!</v>
      </c>
      <c r="D11" t="e">
        <f>#REF!</f>
        <v>#REF!</v>
      </c>
      <c r="E11" t="e">
        <f>#REF!</f>
        <v>#REF!</v>
      </c>
    </row>
    <row r="12" spans="1:5">
      <c r="A12">
        <v>6</v>
      </c>
      <c r="B12" t="e">
        <f>#REF!</f>
        <v>#REF!</v>
      </c>
      <c r="C12" t="e">
        <f>#REF!</f>
        <v>#REF!</v>
      </c>
      <c r="D12" t="e">
        <f>#REF!</f>
        <v>#REF!</v>
      </c>
      <c r="E12" t="e">
        <f>#REF!</f>
        <v>#REF!</v>
      </c>
    </row>
    <row r="13" spans="1:5">
      <c r="A13">
        <v>7</v>
      </c>
      <c r="B13" t="e">
        <f>#REF!</f>
        <v>#REF!</v>
      </c>
      <c r="C13" t="e">
        <f>#REF!</f>
        <v>#REF!</v>
      </c>
      <c r="D13" t="e">
        <f>#REF!</f>
        <v>#REF!</v>
      </c>
      <c r="E13" t="e">
        <f>#REF!</f>
        <v>#REF!</v>
      </c>
    </row>
    <row r="14" spans="1:5">
      <c r="A14">
        <v>8</v>
      </c>
      <c r="B14" t="e">
        <f>#REF!</f>
        <v>#REF!</v>
      </c>
      <c r="C14" t="e">
        <f>#REF!</f>
        <v>#REF!</v>
      </c>
      <c r="D14" t="e">
        <f>#REF!</f>
        <v>#REF!</v>
      </c>
      <c r="E14" t="e">
        <f>#REF!</f>
        <v>#REF!</v>
      </c>
    </row>
    <row r="15" spans="1:5">
      <c r="A15">
        <v>9</v>
      </c>
      <c r="B15" t="e">
        <f>#REF!</f>
        <v>#REF!</v>
      </c>
      <c r="C15" t="e">
        <f>#REF!</f>
        <v>#REF!</v>
      </c>
      <c r="D15" t="e">
        <f>#REF!</f>
        <v>#REF!</v>
      </c>
      <c r="E15" t="e">
        <f>#REF!</f>
        <v>#REF!</v>
      </c>
    </row>
    <row r="16" spans="1:5">
      <c r="A16">
        <v>10</v>
      </c>
      <c r="B16" t="e">
        <f>#REF!</f>
        <v>#REF!</v>
      </c>
      <c r="C16" t="e">
        <f>#REF!</f>
        <v>#REF!</v>
      </c>
      <c r="D16" t="e">
        <f>#REF!</f>
        <v>#REF!</v>
      </c>
      <c r="E16" t="e">
        <f>#REF!</f>
        <v>#REF!</v>
      </c>
    </row>
    <row r="17" spans="1:5">
      <c r="A17">
        <v>11</v>
      </c>
      <c r="B17" t="e">
        <f>#REF!</f>
        <v>#REF!</v>
      </c>
      <c r="C17" t="e">
        <f>#REF!</f>
        <v>#REF!</v>
      </c>
      <c r="D17" t="e">
        <f>#REF!</f>
        <v>#REF!</v>
      </c>
      <c r="E17" t="e">
        <f>#REF!</f>
        <v>#REF!</v>
      </c>
    </row>
    <row r="18" spans="1:5">
      <c r="A18" s="17" t="s">
        <v>31</v>
      </c>
      <c r="B18" s="17" t="e">
        <f>#REF!</f>
        <v>#REF!</v>
      </c>
      <c r="C18" s="17"/>
      <c r="D18" s="17" t="e">
        <f>#REF!</f>
        <v>#REF!</v>
      </c>
      <c r="E18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2:E90"/>
  <sheetViews>
    <sheetView topLeftCell="A61" workbookViewId="0">
      <selection activeCell="L84" sqref="L84"/>
    </sheetView>
  </sheetViews>
  <sheetFormatPr defaultRowHeight="17"/>
  <cols>
    <col min="2" max="2" width="10" bestFit="1" customWidth="1"/>
    <col min="3" max="3" width="13.25" customWidth="1"/>
    <col min="4" max="4" width="10.75" customWidth="1"/>
    <col min="5" max="5" width="11.08203125" customWidth="1"/>
    <col min="7" max="8" width="9.08203125" customWidth="1"/>
  </cols>
  <sheetData>
    <row r="2" spans="2:5" ht="15.75" customHeight="1">
      <c r="C2" s="21" t="s">
        <v>112</v>
      </c>
      <c r="D2" s="2" t="s">
        <v>113</v>
      </c>
      <c r="E2" s="2" t="s">
        <v>114</v>
      </c>
    </row>
    <row r="3" spans="2:5">
      <c r="B3" t="s">
        <v>116</v>
      </c>
      <c r="C3" s="3" t="s">
        <v>32</v>
      </c>
      <c r="D3" s="4">
        <v>2</v>
      </c>
      <c r="E3" s="4">
        <v>0</v>
      </c>
    </row>
    <row r="4" spans="2:5">
      <c r="C4" s="3" t="s">
        <v>33</v>
      </c>
      <c r="D4" s="4">
        <v>2</v>
      </c>
      <c r="E4" s="4">
        <v>0</v>
      </c>
    </row>
    <row r="5" spans="2:5">
      <c r="C5" s="3" t="s">
        <v>34</v>
      </c>
      <c r="D5" s="4">
        <v>2</v>
      </c>
      <c r="E5" s="4">
        <v>0</v>
      </c>
    </row>
    <row r="6" spans="2:5">
      <c r="C6" s="3" t="s">
        <v>35</v>
      </c>
      <c r="D6" s="4">
        <v>4</v>
      </c>
      <c r="E6" s="4">
        <v>0</v>
      </c>
    </row>
    <row r="7" spans="2:5">
      <c r="C7" s="3" t="s">
        <v>36</v>
      </c>
      <c r="D7" s="4">
        <v>4</v>
      </c>
      <c r="E7" s="4">
        <v>0</v>
      </c>
    </row>
    <row r="8" spans="2:5">
      <c r="C8" s="3" t="s">
        <v>37</v>
      </c>
      <c r="D8" s="4">
        <v>8</v>
      </c>
      <c r="E8" s="4">
        <v>0</v>
      </c>
    </row>
    <row r="9" spans="2:5">
      <c r="C9" s="3" t="s">
        <v>38</v>
      </c>
      <c r="D9" s="4">
        <v>8</v>
      </c>
      <c r="E9" s="4">
        <v>0</v>
      </c>
    </row>
    <row r="10" spans="2:5">
      <c r="C10" s="3" t="s">
        <v>39</v>
      </c>
      <c r="D10" s="4">
        <v>2</v>
      </c>
      <c r="E10" s="4">
        <v>0</v>
      </c>
    </row>
    <row r="11" spans="2:5">
      <c r="C11" s="3" t="s">
        <v>40</v>
      </c>
      <c r="D11" s="4">
        <v>2</v>
      </c>
      <c r="E11" s="4">
        <v>0</v>
      </c>
    </row>
    <row r="12" spans="2:5">
      <c r="C12" s="3" t="s">
        <v>41</v>
      </c>
      <c r="D12" s="4">
        <v>2</v>
      </c>
      <c r="E12" s="4">
        <v>0</v>
      </c>
    </row>
    <row r="13" spans="2:5">
      <c r="C13" s="3" t="s">
        <v>42</v>
      </c>
      <c r="D13" s="4">
        <v>2</v>
      </c>
      <c r="E13" s="4">
        <v>0</v>
      </c>
    </row>
    <row r="14" spans="2:5">
      <c r="C14" s="3" t="s">
        <v>43</v>
      </c>
      <c r="D14" s="4">
        <v>0</v>
      </c>
      <c r="E14" s="4">
        <v>2</v>
      </c>
    </row>
    <row r="15" spans="2:5">
      <c r="C15" s="3" t="s">
        <v>44</v>
      </c>
      <c r="D15" s="4">
        <v>0</v>
      </c>
      <c r="E15" s="4">
        <v>2</v>
      </c>
    </row>
    <row r="16" spans="2:5">
      <c r="C16" s="3" t="s">
        <v>45</v>
      </c>
      <c r="D16" s="4">
        <v>0</v>
      </c>
      <c r="E16" s="4">
        <v>2</v>
      </c>
    </row>
    <row r="17" spans="3:5">
      <c r="C17" s="3" t="s">
        <v>46</v>
      </c>
      <c r="D17" s="4">
        <v>0</v>
      </c>
      <c r="E17" s="4">
        <v>2</v>
      </c>
    </row>
    <row r="18" spans="3:5">
      <c r="C18" s="3" t="s">
        <v>47</v>
      </c>
      <c r="D18" s="4">
        <v>0</v>
      </c>
      <c r="E18" s="4">
        <v>2</v>
      </c>
    </row>
    <row r="19" spans="3:5">
      <c r="C19" s="3" t="s">
        <v>48</v>
      </c>
      <c r="D19" s="4">
        <v>0</v>
      </c>
      <c r="E19" s="4">
        <v>2</v>
      </c>
    </row>
    <row r="20" spans="3:5">
      <c r="C20" s="3" t="s">
        <v>49</v>
      </c>
      <c r="D20" s="4">
        <v>0</v>
      </c>
      <c r="E20" s="4">
        <v>4</v>
      </c>
    </row>
    <row r="21" spans="3:5">
      <c r="C21" s="3" t="s">
        <v>50</v>
      </c>
      <c r="D21" s="4">
        <v>0</v>
      </c>
      <c r="E21" s="4">
        <v>4</v>
      </c>
    </row>
    <row r="22" spans="3:5">
      <c r="C22" s="3" t="s">
        <v>51</v>
      </c>
      <c r="D22" s="4">
        <v>0</v>
      </c>
      <c r="E22" s="4">
        <v>8</v>
      </c>
    </row>
    <row r="23" spans="3:5">
      <c r="C23" s="3" t="s">
        <v>52</v>
      </c>
      <c r="D23" s="4">
        <v>0</v>
      </c>
      <c r="E23" s="4">
        <v>8</v>
      </c>
    </row>
    <row r="24" spans="3:5">
      <c r="C24" s="3" t="s">
        <v>53</v>
      </c>
      <c r="D24" s="4">
        <v>0</v>
      </c>
      <c r="E24" s="4">
        <v>2</v>
      </c>
    </row>
    <row r="25" spans="3:5">
      <c r="C25" s="3" t="s">
        <v>54</v>
      </c>
      <c r="D25" s="4">
        <v>2</v>
      </c>
      <c r="E25" s="4">
        <v>2</v>
      </c>
    </row>
    <row r="26" spans="3:5">
      <c r="C26" s="3" t="s">
        <v>79</v>
      </c>
      <c r="D26" s="4">
        <v>2</v>
      </c>
      <c r="E26" s="4">
        <v>2</v>
      </c>
    </row>
    <row r="27" spans="3:5">
      <c r="C27" s="3" t="s">
        <v>55</v>
      </c>
      <c r="D27" s="4">
        <v>26</v>
      </c>
      <c r="E27" s="4">
        <v>2</v>
      </c>
    </row>
    <row r="28" spans="3:5">
      <c r="C28" s="3" t="s">
        <v>56</v>
      </c>
      <c r="D28" s="4">
        <v>26</v>
      </c>
      <c r="E28" s="4">
        <v>2</v>
      </c>
    </row>
    <row r="29" spans="3:5">
      <c r="C29" s="3" t="s">
        <v>57</v>
      </c>
      <c r="D29" s="4">
        <v>22</v>
      </c>
      <c r="E29" s="4">
        <v>2</v>
      </c>
    </row>
    <row r="30" spans="3:5">
      <c r="C30" s="3" t="s">
        <v>58</v>
      </c>
      <c r="D30" s="4">
        <v>26</v>
      </c>
      <c r="E30" s="4">
        <v>2</v>
      </c>
    </row>
    <row r="31" spans="3:5">
      <c r="C31" s="3" t="s">
        <v>59</v>
      </c>
      <c r="D31" s="4">
        <v>44</v>
      </c>
      <c r="E31" s="4">
        <v>2</v>
      </c>
    </row>
    <row r="32" spans="3:5">
      <c r="C32" s="3" t="s">
        <v>60</v>
      </c>
      <c r="D32" s="4">
        <v>22</v>
      </c>
      <c r="E32" s="4">
        <v>2</v>
      </c>
    </row>
    <row r="33" spans="3:5">
      <c r="C33" s="3" t="s">
        <v>61</v>
      </c>
      <c r="D33" s="4">
        <v>22</v>
      </c>
      <c r="E33" s="4">
        <v>2</v>
      </c>
    </row>
    <row r="34" spans="3:5">
      <c r="C34" s="3" t="s">
        <v>62</v>
      </c>
      <c r="D34" s="4">
        <v>4</v>
      </c>
      <c r="E34" s="4">
        <v>20</v>
      </c>
    </row>
    <row r="35" spans="3:5">
      <c r="C35" s="3" t="s">
        <v>63</v>
      </c>
      <c r="D35" s="4">
        <v>4</v>
      </c>
      <c r="E35" s="4">
        <v>20</v>
      </c>
    </row>
    <row r="36" spans="3:5">
      <c r="C36" s="3" t="s">
        <v>64</v>
      </c>
      <c r="D36" s="4">
        <v>4</v>
      </c>
      <c r="E36" s="4">
        <v>20</v>
      </c>
    </row>
    <row r="37" spans="3:5">
      <c r="C37" s="3" t="s">
        <v>65</v>
      </c>
      <c r="D37" s="4">
        <v>4</v>
      </c>
      <c r="E37" s="4">
        <v>20</v>
      </c>
    </row>
    <row r="38" spans="3:5">
      <c r="C38" s="3" t="s">
        <v>66</v>
      </c>
      <c r="D38" s="4">
        <v>4</v>
      </c>
      <c r="E38" s="4">
        <v>20</v>
      </c>
    </row>
    <row r="39" spans="3:5">
      <c r="C39" s="3" t="s">
        <v>67</v>
      </c>
      <c r="D39" s="4">
        <v>4</v>
      </c>
      <c r="E39" s="4">
        <v>20</v>
      </c>
    </row>
    <row r="40" spans="3:5">
      <c r="C40" s="3" t="s">
        <v>68</v>
      </c>
      <c r="D40" s="4">
        <v>4</v>
      </c>
      <c r="E40" s="4">
        <v>20</v>
      </c>
    </row>
    <row r="41" spans="3:5">
      <c r="C41" s="3" t="s">
        <v>69</v>
      </c>
      <c r="D41" s="4">
        <v>14</v>
      </c>
      <c r="E41" s="4">
        <v>10</v>
      </c>
    </row>
    <row r="42" spans="3:5">
      <c r="C42" s="3" t="s">
        <v>70</v>
      </c>
      <c r="D42" s="4">
        <v>46</v>
      </c>
      <c r="E42" s="4">
        <v>4</v>
      </c>
    </row>
    <row r="43" spans="3:5">
      <c r="C43" s="3" t="s">
        <v>71</v>
      </c>
      <c r="D43" s="4">
        <v>46</v>
      </c>
      <c r="E43" s="4">
        <v>4</v>
      </c>
    </row>
    <row r="44" spans="3:5">
      <c r="C44" s="3" t="s">
        <v>72</v>
      </c>
      <c r="D44" s="4">
        <v>42</v>
      </c>
      <c r="E44" s="4">
        <v>8</v>
      </c>
    </row>
    <row r="45" spans="3:5">
      <c r="C45" s="3" t="s">
        <v>73</v>
      </c>
      <c r="D45" s="4">
        <v>58</v>
      </c>
      <c r="E45" s="4">
        <v>2</v>
      </c>
    </row>
    <row r="46" spans="3:5">
      <c r="C46" s="3" t="s">
        <v>74</v>
      </c>
      <c r="D46" s="4">
        <v>58</v>
      </c>
      <c r="E46" s="4">
        <v>2</v>
      </c>
    </row>
    <row r="47" spans="3:5">
      <c r="C47" s="3" t="s">
        <v>75</v>
      </c>
      <c r="D47" s="4">
        <v>58</v>
      </c>
      <c r="E47" s="4">
        <v>2</v>
      </c>
    </row>
    <row r="48" spans="3:5">
      <c r="C48" s="3" t="s">
        <v>76</v>
      </c>
      <c r="D48" s="4">
        <v>44</v>
      </c>
      <c r="E48" s="4">
        <v>2</v>
      </c>
    </row>
    <row r="49" spans="2:5">
      <c r="C49" s="3" t="s">
        <v>77</v>
      </c>
      <c r="D49" s="4">
        <v>36</v>
      </c>
      <c r="E49" s="4">
        <v>26</v>
      </c>
    </row>
    <row r="50" spans="2:5">
      <c r="C50" s="3" t="s">
        <v>78</v>
      </c>
      <c r="D50" s="4">
        <v>36</v>
      </c>
      <c r="E50" s="4">
        <v>26</v>
      </c>
    </row>
    <row r="51" spans="2:5">
      <c r="B51" t="s">
        <v>117</v>
      </c>
      <c r="C51" s="18" t="s">
        <v>80</v>
      </c>
      <c r="D51" s="20">
        <v>2</v>
      </c>
      <c r="E51" s="20">
        <v>0</v>
      </c>
    </row>
    <row r="52" spans="2:5">
      <c r="C52" s="18" t="s">
        <v>81</v>
      </c>
      <c r="D52" s="20">
        <v>2</v>
      </c>
      <c r="E52" s="20">
        <v>0</v>
      </c>
    </row>
    <row r="53" spans="2:5">
      <c r="C53" s="18" t="s">
        <v>82</v>
      </c>
      <c r="D53" s="20">
        <v>2</v>
      </c>
      <c r="E53" s="20">
        <v>0</v>
      </c>
    </row>
    <row r="54" spans="2:5">
      <c r="C54" s="18" t="s">
        <v>83</v>
      </c>
      <c r="D54" s="20">
        <v>4</v>
      </c>
      <c r="E54" s="20">
        <v>0</v>
      </c>
    </row>
    <row r="55" spans="2:5">
      <c r="C55" s="18" t="s">
        <v>84</v>
      </c>
      <c r="D55" s="20">
        <v>2</v>
      </c>
      <c r="E55" s="20">
        <v>0</v>
      </c>
    </row>
    <row r="56" spans="2:5">
      <c r="C56" s="18" t="s">
        <v>85</v>
      </c>
      <c r="D56" s="20">
        <v>0</v>
      </c>
      <c r="E56" s="20">
        <v>2</v>
      </c>
    </row>
    <row r="57" spans="2:5">
      <c r="C57" s="18" t="s">
        <v>86</v>
      </c>
      <c r="D57" s="20">
        <v>0</v>
      </c>
      <c r="E57" s="20">
        <v>2</v>
      </c>
    </row>
    <row r="58" spans="2:5">
      <c r="C58" s="18" t="s">
        <v>87</v>
      </c>
      <c r="D58" s="20">
        <v>0</v>
      </c>
      <c r="E58" s="20">
        <v>2</v>
      </c>
    </row>
    <row r="59" spans="2:5">
      <c r="C59" s="18" t="s">
        <v>88</v>
      </c>
      <c r="D59" s="20">
        <v>0</v>
      </c>
      <c r="E59" s="20">
        <v>2</v>
      </c>
    </row>
    <row r="60" spans="2:5">
      <c r="C60" s="18" t="s">
        <v>89</v>
      </c>
      <c r="D60" s="20">
        <v>0</v>
      </c>
      <c r="E60" s="20">
        <v>4</v>
      </c>
    </row>
    <row r="61" spans="2:5">
      <c r="C61" s="18" t="s">
        <v>90</v>
      </c>
      <c r="D61" s="20">
        <v>0</v>
      </c>
      <c r="E61" s="20">
        <v>4</v>
      </c>
    </row>
    <row r="62" spans="2:5">
      <c r="C62" s="18" t="s">
        <v>91</v>
      </c>
      <c r="D62" s="20">
        <v>0</v>
      </c>
      <c r="E62" s="20">
        <v>2</v>
      </c>
    </row>
    <row r="63" spans="2:5">
      <c r="C63" s="18" t="s">
        <v>92</v>
      </c>
      <c r="D63" s="20">
        <v>0</v>
      </c>
      <c r="E63" s="20">
        <v>2</v>
      </c>
    </row>
    <row r="64" spans="2:5">
      <c r="C64" s="18" t="s">
        <v>93</v>
      </c>
      <c r="D64" s="20">
        <v>0</v>
      </c>
      <c r="E64" s="20">
        <v>2</v>
      </c>
    </row>
    <row r="65" spans="3:5">
      <c r="C65" s="18" t="s">
        <v>94</v>
      </c>
      <c r="D65" s="20">
        <v>2</v>
      </c>
      <c r="E65" s="20">
        <v>2</v>
      </c>
    </row>
    <row r="66" spans="3:5">
      <c r="C66" s="18" t="s">
        <v>95</v>
      </c>
      <c r="D66" s="20">
        <v>2</v>
      </c>
      <c r="E66" s="20">
        <v>2</v>
      </c>
    </row>
    <row r="67" spans="3:5">
      <c r="C67" s="19" t="s">
        <v>96</v>
      </c>
      <c r="D67" s="20">
        <v>12</v>
      </c>
      <c r="E67" s="20">
        <v>2</v>
      </c>
    </row>
    <row r="68" spans="3:5">
      <c r="C68" s="19" t="s">
        <v>97</v>
      </c>
      <c r="D68" s="20">
        <v>22</v>
      </c>
      <c r="E68" s="20">
        <v>2</v>
      </c>
    </row>
    <row r="69" spans="3:5">
      <c r="C69" s="19" t="s">
        <v>98</v>
      </c>
      <c r="D69" s="20">
        <v>26</v>
      </c>
      <c r="E69" s="20">
        <v>2</v>
      </c>
    </row>
    <row r="70" spans="3:5">
      <c r="C70" s="19" t="s">
        <v>99</v>
      </c>
      <c r="D70" s="20">
        <v>4</v>
      </c>
      <c r="E70" s="20">
        <v>10</v>
      </c>
    </row>
    <row r="71" spans="3:5">
      <c r="C71" s="19" t="s">
        <v>100</v>
      </c>
      <c r="D71" s="20">
        <v>4</v>
      </c>
      <c r="E71" s="20">
        <v>10</v>
      </c>
    </row>
    <row r="72" spans="3:5">
      <c r="C72" s="19" t="s">
        <v>101</v>
      </c>
      <c r="D72" s="20">
        <v>4</v>
      </c>
      <c r="E72" s="20">
        <v>10</v>
      </c>
    </row>
    <row r="73" spans="3:5">
      <c r="C73" s="19" t="s">
        <v>102</v>
      </c>
      <c r="D73" s="20">
        <v>4</v>
      </c>
      <c r="E73" s="20">
        <v>10</v>
      </c>
    </row>
    <row r="74" spans="3:5">
      <c r="C74" s="19" t="s">
        <v>103</v>
      </c>
      <c r="D74" s="20">
        <v>4</v>
      </c>
      <c r="E74" s="20">
        <v>10</v>
      </c>
    </row>
    <row r="75" spans="3:5">
      <c r="C75" s="19" t="s">
        <v>104</v>
      </c>
      <c r="D75" s="20">
        <v>12</v>
      </c>
      <c r="E75" s="20">
        <v>6</v>
      </c>
    </row>
    <row r="76" spans="3:5">
      <c r="C76" s="19" t="s">
        <v>105</v>
      </c>
      <c r="D76" s="20">
        <v>24</v>
      </c>
      <c r="E76" s="20">
        <v>0</v>
      </c>
    </row>
    <row r="77" spans="3:5">
      <c r="C77" s="19" t="s">
        <v>106</v>
      </c>
      <c r="D77" s="20">
        <v>24</v>
      </c>
      <c r="E77" s="20">
        <v>0</v>
      </c>
    </row>
    <row r="78" spans="3:5">
      <c r="C78" s="19" t="s">
        <v>107</v>
      </c>
      <c r="D78" s="20">
        <v>40</v>
      </c>
      <c r="E78" s="20">
        <v>2</v>
      </c>
    </row>
    <row r="79" spans="3:5">
      <c r="C79" s="19" t="s">
        <v>108</v>
      </c>
      <c r="D79" s="20">
        <v>40</v>
      </c>
      <c r="E79" s="20">
        <v>2</v>
      </c>
    </row>
    <row r="80" spans="3:5">
      <c r="C80" s="19" t="s">
        <v>109</v>
      </c>
      <c r="D80" s="20">
        <v>58</v>
      </c>
      <c r="E80" s="20">
        <v>6</v>
      </c>
    </row>
    <row r="81" spans="2:5">
      <c r="C81" s="19" t="s">
        <v>110</v>
      </c>
      <c r="D81" s="20">
        <v>44</v>
      </c>
      <c r="E81" s="20">
        <v>4</v>
      </c>
    </row>
    <row r="82" spans="2:5">
      <c r="C82" s="19" t="s">
        <v>111</v>
      </c>
      <c r="D82" s="20">
        <v>44</v>
      </c>
      <c r="E82" s="20">
        <v>4</v>
      </c>
    </row>
    <row r="83" spans="2:5">
      <c r="B83" t="s">
        <v>115</v>
      </c>
      <c r="C83" s="73" t="s">
        <v>363</v>
      </c>
      <c r="D83" s="4">
        <v>4</v>
      </c>
      <c r="E83" s="4">
        <v>0</v>
      </c>
    </row>
    <row r="84" spans="2:5">
      <c r="C84" s="73" t="s">
        <v>364</v>
      </c>
      <c r="D84" s="4">
        <v>0</v>
      </c>
      <c r="E84" s="4">
        <v>2</v>
      </c>
    </row>
    <row r="85" spans="2:5">
      <c r="C85" s="73" t="s">
        <v>365</v>
      </c>
      <c r="D85" s="4">
        <v>0</v>
      </c>
      <c r="E85" s="4">
        <v>4</v>
      </c>
    </row>
    <row r="86" spans="2:5">
      <c r="C86" s="73" t="s">
        <v>366</v>
      </c>
      <c r="D86" s="4">
        <v>2</v>
      </c>
      <c r="E86" s="4">
        <v>2</v>
      </c>
    </row>
    <row r="87" spans="2:5">
      <c r="C87" s="73" t="s">
        <v>367</v>
      </c>
      <c r="D87" s="4">
        <v>26</v>
      </c>
      <c r="E87" s="4">
        <v>2</v>
      </c>
    </row>
    <row r="88" spans="2:5">
      <c r="C88" s="73" t="s">
        <v>368</v>
      </c>
      <c r="D88" s="4">
        <v>26</v>
      </c>
      <c r="E88" s="4">
        <v>2</v>
      </c>
    </row>
    <row r="89" spans="2:5">
      <c r="C89" s="73" t="s">
        <v>369</v>
      </c>
      <c r="D89" s="4">
        <v>4</v>
      </c>
      <c r="E89" s="4">
        <v>20</v>
      </c>
    </row>
    <row r="90" spans="2:5">
      <c r="C90" s="73" t="s">
        <v>370</v>
      </c>
      <c r="D90" s="4">
        <v>4</v>
      </c>
      <c r="E90" s="4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2:F50"/>
  <sheetViews>
    <sheetView workbookViewId="0">
      <selection activeCell="L84" sqref="L84"/>
    </sheetView>
  </sheetViews>
  <sheetFormatPr defaultRowHeight="17"/>
  <cols>
    <col min="2" max="2" width="17.25" customWidth="1"/>
    <col min="4" max="4" width="14.75" bestFit="1" customWidth="1"/>
    <col min="5" max="5" width="17.33203125" bestFit="1" customWidth="1"/>
    <col min="6" max="6" width="17.58203125" customWidth="1"/>
  </cols>
  <sheetData>
    <row r="2" spans="2:6">
      <c r="B2" s="1" t="s">
        <v>23</v>
      </c>
      <c r="D2" s="1" t="s">
        <v>22</v>
      </c>
      <c r="E2" s="1" t="s">
        <v>24</v>
      </c>
      <c r="F2" s="1" t="s">
        <v>20</v>
      </c>
    </row>
    <row r="3" spans="2:6">
      <c r="B3" s="1" t="s">
        <v>25</v>
      </c>
      <c r="D3" s="3" t="s">
        <v>32</v>
      </c>
      <c r="E3" s="18" t="s">
        <v>80</v>
      </c>
      <c r="F3" s="73" t="s">
        <v>363</v>
      </c>
    </row>
    <row r="4" spans="2:6">
      <c r="B4" s="1" t="s">
        <v>21</v>
      </c>
      <c r="D4" s="3" t="s">
        <v>33</v>
      </c>
      <c r="E4" s="18" t="s">
        <v>81</v>
      </c>
      <c r="F4" s="73" t="s">
        <v>364</v>
      </c>
    </row>
    <row r="5" spans="2:6">
      <c r="D5" s="3" t="s">
        <v>34</v>
      </c>
      <c r="E5" s="18" t="s">
        <v>82</v>
      </c>
      <c r="F5" s="73" t="s">
        <v>365</v>
      </c>
    </row>
    <row r="6" spans="2:6">
      <c r="B6" s="26">
        <v>0</v>
      </c>
      <c r="D6" s="3" t="s">
        <v>35</v>
      </c>
      <c r="E6" s="18" t="s">
        <v>83</v>
      </c>
      <c r="F6" s="73" t="s">
        <v>366</v>
      </c>
    </row>
    <row r="7" spans="2:6">
      <c r="B7" s="26">
        <v>1</v>
      </c>
      <c r="D7" s="3" t="s">
        <v>36</v>
      </c>
      <c r="E7" s="18" t="s">
        <v>84</v>
      </c>
      <c r="F7" s="73" t="s">
        <v>367</v>
      </c>
    </row>
    <row r="8" spans="2:6">
      <c r="D8" s="3" t="s">
        <v>37</v>
      </c>
      <c r="E8" s="18" t="s">
        <v>85</v>
      </c>
      <c r="F8" s="73" t="s">
        <v>368</v>
      </c>
    </row>
    <row r="9" spans="2:6">
      <c r="D9" s="3" t="s">
        <v>38</v>
      </c>
      <c r="E9" s="18" t="s">
        <v>86</v>
      </c>
      <c r="F9" s="73" t="s">
        <v>369</v>
      </c>
    </row>
    <row r="10" spans="2:6">
      <c r="D10" s="3" t="s">
        <v>39</v>
      </c>
      <c r="E10" s="18" t="s">
        <v>87</v>
      </c>
      <c r="F10" s="73" t="s">
        <v>370</v>
      </c>
    </row>
    <row r="11" spans="2:6">
      <c r="D11" s="3" t="s">
        <v>40</v>
      </c>
      <c r="E11" s="18" t="s">
        <v>88</v>
      </c>
    </row>
    <row r="12" spans="2:6">
      <c r="D12" s="3" t="s">
        <v>41</v>
      </c>
      <c r="E12" s="18" t="s">
        <v>89</v>
      </c>
    </row>
    <row r="13" spans="2:6">
      <c r="D13" s="3" t="s">
        <v>42</v>
      </c>
      <c r="E13" s="18" t="s">
        <v>90</v>
      </c>
    </row>
    <row r="14" spans="2:6">
      <c r="D14" s="3" t="s">
        <v>43</v>
      </c>
      <c r="E14" s="18" t="s">
        <v>91</v>
      </c>
    </row>
    <row r="15" spans="2:6">
      <c r="D15" s="3" t="s">
        <v>44</v>
      </c>
      <c r="E15" s="18" t="s">
        <v>92</v>
      </c>
    </row>
    <row r="16" spans="2:6">
      <c r="D16" s="3" t="s">
        <v>45</v>
      </c>
      <c r="E16" s="18" t="s">
        <v>93</v>
      </c>
    </row>
    <row r="17" spans="4:5">
      <c r="D17" s="3" t="s">
        <v>46</v>
      </c>
      <c r="E17" s="18" t="s">
        <v>94</v>
      </c>
    </row>
    <row r="18" spans="4:5">
      <c r="D18" s="3" t="s">
        <v>47</v>
      </c>
      <c r="E18" s="18" t="s">
        <v>95</v>
      </c>
    </row>
    <row r="19" spans="4:5">
      <c r="D19" s="3" t="s">
        <v>48</v>
      </c>
      <c r="E19" s="19" t="s">
        <v>96</v>
      </c>
    </row>
    <row r="20" spans="4:5">
      <c r="D20" s="3" t="s">
        <v>49</v>
      </c>
      <c r="E20" s="19" t="s">
        <v>97</v>
      </c>
    </row>
    <row r="21" spans="4:5">
      <c r="D21" s="3" t="s">
        <v>50</v>
      </c>
      <c r="E21" s="19" t="s">
        <v>98</v>
      </c>
    </row>
    <row r="22" spans="4:5">
      <c r="D22" s="3" t="s">
        <v>51</v>
      </c>
      <c r="E22" s="19" t="s">
        <v>99</v>
      </c>
    </row>
    <row r="23" spans="4:5">
      <c r="D23" s="3" t="s">
        <v>52</v>
      </c>
      <c r="E23" s="19" t="s">
        <v>100</v>
      </c>
    </row>
    <row r="24" spans="4:5">
      <c r="D24" s="3" t="s">
        <v>53</v>
      </c>
      <c r="E24" s="19" t="s">
        <v>101</v>
      </c>
    </row>
    <row r="25" spans="4:5">
      <c r="D25" s="3" t="s">
        <v>54</v>
      </c>
      <c r="E25" s="19" t="s">
        <v>102</v>
      </c>
    </row>
    <row r="26" spans="4:5">
      <c r="D26" s="3" t="s">
        <v>0</v>
      </c>
      <c r="E26" s="19" t="s">
        <v>103</v>
      </c>
    </row>
    <row r="27" spans="4:5">
      <c r="D27" s="3" t="s">
        <v>55</v>
      </c>
      <c r="E27" s="19" t="s">
        <v>104</v>
      </c>
    </row>
    <row r="28" spans="4:5">
      <c r="D28" s="3" t="s">
        <v>56</v>
      </c>
      <c r="E28" s="19" t="s">
        <v>105</v>
      </c>
    </row>
    <row r="29" spans="4:5">
      <c r="D29" s="3" t="s">
        <v>57</v>
      </c>
      <c r="E29" s="19" t="s">
        <v>106</v>
      </c>
    </row>
    <row r="30" spans="4:5">
      <c r="D30" s="3" t="s">
        <v>58</v>
      </c>
      <c r="E30" s="19" t="s">
        <v>107</v>
      </c>
    </row>
    <row r="31" spans="4:5">
      <c r="D31" s="3" t="s">
        <v>59</v>
      </c>
      <c r="E31" s="19" t="s">
        <v>108</v>
      </c>
    </row>
    <row r="32" spans="4:5">
      <c r="D32" s="3" t="s">
        <v>60</v>
      </c>
      <c r="E32" s="19" t="s">
        <v>109</v>
      </c>
    </row>
    <row r="33" spans="4:5">
      <c r="D33" s="3" t="s">
        <v>61</v>
      </c>
      <c r="E33" s="19" t="s">
        <v>110</v>
      </c>
    </row>
    <row r="34" spans="4:5">
      <c r="D34" s="3" t="s">
        <v>62</v>
      </c>
      <c r="E34" s="19" t="s">
        <v>111</v>
      </c>
    </row>
    <row r="35" spans="4:5">
      <c r="D35" s="3" t="s">
        <v>63</v>
      </c>
    </row>
    <row r="36" spans="4:5">
      <c r="D36" s="3" t="s">
        <v>64</v>
      </c>
    </row>
    <row r="37" spans="4:5">
      <c r="D37" s="3" t="s">
        <v>65</v>
      </c>
    </row>
    <row r="38" spans="4:5">
      <c r="D38" s="3" t="s">
        <v>66</v>
      </c>
    </row>
    <row r="39" spans="4:5">
      <c r="D39" s="3" t="s">
        <v>67</v>
      </c>
    </row>
    <row r="40" spans="4:5">
      <c r="D40" s="3" t="s">
        <v>68</v>
      </c>
    </row>
    <row r="41" spans="4:5">
      <c r="D41" s="3" t="s">
        <v>69</v>
      </c>
    </row>
    <row r="42" spans="4:5">
      <c r="D42" s="3" t="s">
        <v>70</v>
      </c>
    </row>
    <row r="43" spans="4:5">
      <c r="D43" s="3" t="s">
        <v>71</v>
      </c>
    </row>
    <row r="44" spans="4:5">
      <c r="D44" s="3" t="s">
        <v>72</v>
      </c>
    </row>
    <row r="45" spans="4:5">
      <c r="D45" s="3" t="s">
        <v>73</v>
      </c>
    </row>
    <row r="46" spans="4:5">
      <c r="D46" s="3" t="s">
        <v>74</v>
      </c>
    </row>
    <row r="47" spans="4:5">
      <c r="D47" s="3" t="s">
        <v>75</v>
      </c>
    </row>
    <row r="48" spans="4:5">
      <c r="D48" s="3" t="s">
        <v>76</v>
      </c>
    </row>
    <row r="49" spans="4:4">
      <c r="D49" s="3" t="s">
        <v>77</v>
      </c>
    </row>
    <row r="50" spans="4:4">
      <c r="D50" s="3" t="s">
        <v>78</v>
      </c>
    </row>
  </sheetData>
  <dataConsolidate/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"/>
  <sheetViews>
    <sheetView workbookViewId="0">
      <selection activeCell="L84" sqref="L84"/>
    </sheetView>
  </sheetViews>
  <sheetFormatPr defaultRowHeight="17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E7C9-036B-43C6-A786-6B96CF48B3BE}">
  <dimension ref="C3:C17"/>
  <sheetViews>
    <sheetView workbookViewId="0">
      <selection activeCell="C6" sqref="C6"/>
    </sheetView>
  </sheetViews>
  <sheetFormatPr defaultRowHeight="17"/>
  <sheetData>
    <row r="3" spans="3:3" ht="17.5" thickBot="1"/>
    <row r="4" spans="3:3">
      <c r="C4" s="61" t="s">
        <v>1</v>
      </c>
    </row>
    <row r="5" spans="3:3">
      <c r="C5" s="45" t="s">
        <v>2</v>
      </c>
    </row>
    <row r="6" spans="3:3">
      <c r="C6" s="43">
        <v>0</v>
      </c>
    </row>
    <row r="7" spans="3:3">
      <c r="C7" s="43">
        <v>1</v>
      </c>
    </row>
    <row r="8" spans="3:3">
      <c r="C8" s="43">
        <v>2</v>
      </c>
    </row>
    <row r="9" spans="3:3">
      <c r="C9" s="43">
        <v>3</v>
      </c>
    </row>
    <row r="10" spans="3:3">
      <c r="C10" s="43">
        <v>4</v>
      </c>
    </row>
    <row r="11" spans="3:3">
      <c r="C11" s="43">
        <v>5</v>
      </c>
    </row>
    <row r="12" spans="3:3">
      <c r="C12" s="43">
        <v>6</v>
      </c>
    </row>
    <row r="13" spans="3:3">
      <c r="C13" s="43">
        <v>7</v>
      </c>
    </row>
    <row r="14" spans="3:3">
      <c r="C14" s="43">
        <v>8</v>
      </c>
    </row>
    <row r="15" spans="3:3">
      <c r="C15" s="43">
        <v>9</v>
      </c>
    </row>
    <row r="16" spans="3:3">
      <c r="C16" s="43">
        <v>10</v>
      </c>
    </row>
    <row r="17" spans="3:3" ht="17.5" thickBot="1">
      <c r="C17" s="44">
        <v>11</v>
      </c>
    </row>
  </sheetData>
  <phoneticPr fontId="1" type="noConversion"/>
  <conditionalFormatting sqref="C6">
    <cfRule type="expression" dxfId="2" priority="1">
      <formula>$C$6 = "Smart_IO"</formula>
    </cfRule>
  </conditionalFormatting>
  <conditionalFormatting sqref="C6:C13">
    <cfRule type="expression" dxfId="1" priority="2">
      <formula>$C$6 = "Expansion_Smart_IO"</formula>
    </cfRule>
  </conditionalFormatting>
  <conditionalFormatting sqref="C6:C17">
    <cfRule type="expression" dxfId="0" priority="3">
      <formula>$C$6 = "Expansion_Driver"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97C4-D399-466E-A079-469454F8EE21}">
  <sheetPr codeName="Sheet8"/>
  <dimension ref="A1"/>
  <sheetViews>
    <sheetView workbookViewId="0">
      <selection activeCell="L84" sqref="L84"/>
    </sheetView>
  </sheetViews>
  <sheetFormatPr defaultRowHeight="17"/>
  <sheetData/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76F48B-96D3-480E-BF1C-A5CD636D6C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6</vt:i4>
      </vt:variant>
    </vt:vector>
  </HeadingPairs>
  <TitlesOfParts>
    <vt:vector size="17" baseType="lpstr">
      <vt:lpstr>XEL-BSSRx_Device mapping</vt:lpstr>
      <vt:lpstr>XGL-DBDx_Device mapping</vt:lpstr>
      <vt:lpstr>GEL-xxxx_Device mapping</vt:lpstr>
      <vt:lpstr>All data map</vt:lpstr>
      <vt:lpstr>ADDR</vt:lpstr>
      <vt:lpstr>Address mapping</vt:lpstr>
      <vt:lpstr>refresh size</vt:lpstr>
      <vt:lpstr>ref</vt:lpstr>
      <vt:lpstr>a.3 Special module data list</vt:lpstr>
      <vt:lpstr>slot</vt:lpstr>
      <vt:lpstr>Sample</vt:lpstr>
      <vt:lpstr>Expansion_Driver</vt:lpstr>
      <vt:lpstr>Expansion_Smart_IO</vt:lpstr>
      <vt:lpstr>Smart_IO</vt:lpstr>
      <vt:lpstr>단독형_Smart_IO</vt:lpstr>
      <vt:lpstr>증설_드라이브</vt:lpstr>
      <vt:lpstr>증설형_Smart_IO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강남욱 (namoog.kang)</dc:creator>
  <cp:lastModifiedBy>lee munyeop</cp:lastModifiedBy>
  <dcterms:created xsi:type="dcterms:W3CDTF">2020-07-09T02:52:15Z</dcterms:created>
  <dcterms:modified xsi:type="dcterms:W3CDTF">2023-11-14T03:31:31Z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46e5e1-5d42-4630-bacd-c69bfdcbd5e8_Enabled">
    <vt:lpwstr>true</vt:lpwstr>
  </property>
  <property fmtid="{D5CDD505-2E9C-101B-9397-08002B2CF9AE}" pid="3" name="MSIP_Label_d546e5e1-5d42-4630-bacd-c69bfdcbd5e8_SetDate">
    <vt:lpwstr>2021-06-11T09:04:29Z</vt:lpwstr>
  </property>
  <property fmtid="{D5CDD505-2E9C-101B-9397-08002B2CF9AE}" pid="4" name="MSIP_Label_d546e5e1-5d42-4630-bacd-c69bfdcbd5e8_Method">
    <vt:lpwstr>Standard</vt:lpwstr>
  </property>
  <property fmtid="{D5CDD505-2E9C-101B-9397-08002B2CF9AE}" pid="5" name="MSIP_Label_d546e5e1-5d42-4630-bacd-c69bfdcbd5e8_Name">
    <vt:lpwstr>d546e5e1-5d42-4630-bacd-c69bfdcbd5e8</vt:lpwstr>
  </property>
  <property fmtid="{D5CDD505-2E9C-101B-9397-08002B2CF9AE}" pid="6" name="MSIP_Label_d546e5e1-5d42-4630-bacd-c69bfdcbd5e8_SiteId">
    <vt:lpwstr>96ece526-9c7d-48b0-8daf-8b93c90a5d18</vt:lpwstr>
  </property>
  <property fmtid="{D5CDD505-2E9C-101B-9397-08002B2CF9AE}" pid="7" name="MSIP_Label_d546e5e1-5d42-4630-bacd-c69bfdcbd5e8_ActionId">
    <vt:lpwstr>def7ab16-d622-470a-896e-46737b5dc69f</vt:lpwstr>
  </property>
  <property fmtid="{D5CDD505-2E9C-101B-9397-08002B2CF9AE}" pid="8" name="MSIP_Label_d546e5e1-5d42-4630-bacd-c69bfdcbd5e8_ContentBits">
    <vt:lpwstr>0</vt:lpwstr>
  </property>
  <property fmtid="{D5CDD505-2E9C-101B-9397-08002B2CF9AE}" pid="9" name="SmartTag">
    <vt:lpwstr>4</vt:lpwstr>
  </property>
</Properties>
</file>